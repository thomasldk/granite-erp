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saveExternalLinkValues="0" codeName="ThisWorkbook"/>
  <mc:AlternateContent xmlns:mc="http://schemas.openxmlformats.org/markup-compatibility/2006">
    <mc:Choice Requires="x15">
      <x15ac:absPath xmlns:x15ac="http://schemas.microsoft.com/office/spreadsheetml/2010/11/ac" url="H:\Modeles\Directe\"/>
    </mc:Choice>
  </mc:AlternateContent>
  <xr:revisionPtr revIDLastSave="0" documentId="13_ncr:1_{C70F3EEE-0EA6-46A0-8C83-520E52512301}" xr6:coauthVersionLast="47" xr6:coauthVersionMax="47" xr10:uidLastSave="{00000000-0000-0000-0000-000000000000}"/>
  <bookViews>
    <workbookView xWindow="870" yWindow="960" windowWidth="27915" windowHeight="14235" tabRatio="444" firstSheet="1" activeTab="2" xr2:uid="{00000000-000D-0000-FFFF-FFFF00000000}"/>
  </bookViews>
  <sheets>
    <sheet name="Paramètre" sheetId="73" r:id="rId1"/>
    <sheet name="Traduction" sheetId="78" r:id="rId2"/>
    <sheet name="Cotation" sheetId="61" r:id="rId3"/>
    <sheet name="Modele couleur" sheetId="72" r:id="rId4"/>
    <sheet name="BASE CALCULS " sheetId="77" r:id="rId5"/>
  </sheets>
  <definedNames>
    <definedName name="_xlnm._FilterDatabase" localSheetId="2" hidden="1">Cotation!$A$11:$AI$14</definedName>
    <definedName name="_xlnm._FilterDatabase" localSheetId="3" hidden="1">'Modele couleur'!$A$7:$BX$8</definedName>
    <definedName name="Accompte">Paramètre!$D$36</definedName>
    <definedName name="action_fin">'BASE CALCULS '!$J$4:$K$4</definedName>
    <definedName name="Ancrage">Cotation!$AO$13</definedName>
    <definedName name="Ancrage_tot">Cotation!$AO$15</definedName>
    <definedName name="arrayDeviseCode">Traduction!$H$5:$I$13</definedName>
    <definedName name="clientAdresse1">Paramètre!$D$8</definedName>
    <definedName name="clientAdresse2">Paramètre!$D$9</definedName>
    <definedName name="clientCP">Paramètre!$D$13</definedName>
    <definedName name="clientNom">Paramètre!$D$7</definedName>
    <definedName name="clientPays">Paramètre!$D$12</definedName>
    <definedName name="clientRegion">Paramètre!$D$11</definedName>
    <definedName name="clientVille">Paramètre!$D$10</definedName>
    <definedName name="codeDevise">Paramètre!$D$66</definedName>
    <definedName name="Complexite">Paramètre!$D$59</definedName>
    <definedName name="ConditionPaiement">Paramètre!$D$43</definedName>
    <definedName name="ConditionPaiementInd">Paramètre!$D$42</definedName>
    <definedName name="ConditionPaiementSaisie">Paramètre!$D$44</definedName>
    <definedName name="contactCel">Paramètre!$D$17</definedName>
    <definedName name="contactFax">Paramètre!$D$18</definedName>
    <definedName name="contactMail">Paramètre!$D$19</definedName>
    <definedName name="contactNom">Paramètre!$D$15</definedName>
    <definedName name="contactPrenom">Paramètre!$D$14</definedName>
    <definedName name="contactTel">Paramètre!$D$16</definedName>
    <definedName name="cotationEmetteur">Paramètre!$D$22</definedName>
    <definedName name="cotationEmission">Paramètre!$D$24</definedName>
    <definedName name="cotationEmissionAn">Paramètre!$E$24</definedName>
    <definedName name="cotationEmissionJour">Paramètre!$H$24</definedName>
    <definedName name="cotationEmissionMois">Paramètre!$G$24</definedName>
    <definedName name="cotationNom">Paramètre!$D$20</definedName>
    <definedName name="cotationNumero">Paramètre!$D$21</definedName>
    <definedName name="cotationValideur">Paramètre!$D$23</definedName>
    <definedName name="Couleur">'Modele couleur'!$G$2</definedName>
    <definedName name="cout_achat_pierre">Cotation!$AE$9</definedName>
    <definedName name="CratePU">Paramètre!$D$37</definedName>
    <definedName name="debutCotation">Cotation!$A$13</definedName>
    <definedName name="debutTableau">'Modele couleur'!$E$8</definedName>
    <definedName name="DelaiEscompte">Paramètre!$D$34</definedName>
    <definedName name="delaiNbr">Paramètre!$D$31</definedName>
    <definedName name="devideERP">Paramètre!$D$65</definedName>
    <definedName name="devideERPLibelle">Paramètre!$E$65</definedName>
    <definedName name="Devise.Client.Code">Paramètre!$D$65</definedName>
    <definedName name="Devise.Client.Libelle">Paramètre!$E$65</definedName>
    <definedName name="Devise.Libelle.en">Traduction!$E$5:$E$9</definedName>
    <definedName name="Devise.Libelle.fr">Traduction!$F$5:$F$9</definedName>
    <definedName name="deviseFacture">Cotation!$K$21</definedName>
    <definedName name="diam_trou">'BASE CALCULS '!$J$9:$Y$9</definedName>
    <definedName name="dim_chan">'BASE CALCULS '!$J$3:$AB$3</definedName>
    <definedName name="DureValidite">Paramètre!$D$32</definedName>
    <definedName name="encoche_">'BASE CALCULS '!$J$15:$R$15</definedName>
    <definedName name="encoche_largeur">'BASE CALCULS '!$J$13:$Y$13</definedName>
    <definedName name="Escompte">Paramètre!$D$35</definedName>
    <definedName name="Export">Paramètre!$D$62</definedName>
    <definedName name="Feuille">Paramètre!$D$61</definedName>
    <definedName name="fin_cote_man">'BASE CALCULS '!$J$7:$U$7</definedName>
    <definedName name="fin_des_auto">'BASE CALCULS '!$J$5:$S$5</definedName>
    <definedName name="fin_des_man">'BASE CALCULS '!$J$6:$S$6</definedName>
    <definedName name="Finition">Cotation!$AN$13</definedName>
    <definedName name="Finition_tot">Cotation!$AN$15</definedName>
    <definedName name="HautStandardReference">Cotation!$AX$12</definedName>
    <definedName name="_xlnm.Print_Titles" localSheetId="2">Cotation!$10:$12</definedName>
    <definedName name="Imprimante">Paramètre!$D$63</definedName>
    <definedName name="Incoterm">Paramètre!$D$46</definedName>
    <definedName name="IncotermInd">Paramètre!$D$45</definedName>
    <definedName name="IncotermS">Paramètre!$D$47</definedName>
    <definedName name="Langue">Paramètre!$D$39</definedName>
    <definedName name="LangueColonne">Paramètre!$E$39</definedName>
    <definedName name="LargStandardReference">Cotation!$AW$12</definedName>
    <definedName name="Ligne1">Cotation!$H$13</definedName>
    <definedName name="Liste_de_condition_de_paiement">Paramètre!$G$12:$I$19</definedName>
    <definedName name="ListeUnite.en">Paramètre!$K$12:$K$18</definedName>
    <definedName name="ListeUnite.fr">Paramètre!$L$12:$L$18</definedName>
    <definedName name="LOADAdresse1">Paramètre!$D$49</definedName>
    <definedName name="LOADAdresse2">Paramètre!$D$50</definedName>
    <definedName name="LOADAdresse3">Paramètre!$D$51</definedName>
    <definedName name="LOADCode">Paramètre!$D$57</definedName>
    <definedName name="LOADName">Paramètre!$D$48</definedName>
    <definedName name="LOADPays">Paramètre!$D$56</definedName>
    <definedName name="LOADPaysTraduit">Paramètre!$D$55</definedName>
    <definedName name="LOADRegion">Paramètre!$D$53</definedName>
    <definedName name="LOADRegiondsp">Paramètre!$D$54</definedName>
    <definedName name="LOADVille">Paramètre!$D$52</definedName>
    <definedName name="long_slot">'BASE CALCULS '!$J$12:$S$12</definedName>
    <definedName name="LongStandardReference">Cotation!$AV$12</definedName>
    <definedName name="lstConditionPaiement">Paramètre!$G$12:$I$19</definedName>
    <definedName name="Mesure">Paramètre!$E$40</definedName>
    <definedName name="mesureDefaut">Paramètre!$D$41</definedName>
    <definedName name="nb_slot">'BASE CALCULS '!$J$11:$T$11</definedName>
    <definedName name="nb_trou">'BASE CALCULS '!$J$8:$Z$8</definedName>
    <definedName name="nbrLigne">Cotation!$AH$5</definedName>
    <definedName name="nmCouleur">Cotation!$K$11</definedName>
    <definedName name="nmFichierParametre">Paramètre!$D$4</definedName>
    <definedName name="nomFichier">Paramètre!$D$6</definedName>
    <definedName name="NumColonnePrix">'Modele couleur'!$BS$1</definedName>
    <definedName name="ou_cote">'BASE CALCULS '!$J$2:$R$2</definedName>
    <definedName name="ou_fin_cote">'BASE CALCULS '!$A$57:$A$62</definedName>
    <definedName name="Paiement">Paramètre!$D$33</definedName>
    <definedName name="perte">'Modele couleur'!$J$2</definedName>
    <definedName name="PoidsUnitaire">Paramètre!$D$58</definedName>
    <definedName name="PoidTotal">Cotation!$U$15</definedName>
    <definedName name="Prix">'Modele couleur'!$H$2</definedName>
    <definedName name="prof_encoche_">'BASE CALCULS '!$J$14:$AB$14</definedName>
    <definedName name="prof_trou">'BASE CALCULS '!$J$10:$Y$10</definedName>
    <definedName name="profilage">Cotation!$AM$13</definedName>
    <definedName name="profilage_tot">Cotation!$AM$15</definedName>
    <definedName name="qualite">'Modele couleur'!$O$2</definedName>
    <definedName name="representantCel">Paramètre!$D$28</definedName>
    <definedName name="representantFax">Paramètre!$D$29</definedName>
    <definedName name="representantMail">Paramètre!$D$30</definedName>
    <definedName name="representantNom">Paramètre!$D$25</definedName>
    <definedName name="representantPrenom">Paramètre!$D$26</definedName>
    <definedName name="representantTel">Paramètre!$D$27</definedName>
    <definedName name="scPrimaire">Cotation!$AK$13</definedName>
    <definedName name="scPrimaire_Tot">Cotation!$AK$15</definedName>
    <definedName name="scSecondaire">Cotation!$AL$13</definedName>
    <definedName name="scSecondaire_Tot">Cotation!$AL$15</definedName>
    <definedName name="surfaceTotal">Cotation!$S$15</definedName>
    <definedName name="SystemeMesure">Paramètre!$D$41</definedName>
    <definedName name="table_chan">'BASE CALCULS '!$AT$21:$AU$38</definedName>
    <definedName name="table_cot_manu">'BASE CALCULS '!$AH$21:$AR$120</definedName>
    <definedName name="table_enc">'BASE CALCULS '!$CF$21:$CU$38</definedName>
    <definedName name="table_fd_auto">'BASE CALCULS '!$J$21:$R$120</definedName>
    <definedName name="table_fd_manu">'BASE CALCULS '!$V$21:$AD$120</definedName>
    <definedName name="table_secondaire">'BASE CALCULS '!$D$21:$F$50</definedName>
    <definedName name="table_slot">'BASE CALCULS '!$BI$21:$BJ$30</definedName>
    <definedName name="table_trou">'BASE CALCULS '!$BM$21:$CB$36</definedName>
    <definedName name="tableauTraductions">Traduction!$B$5:$C$202</definedName>
    <definedName name="tableepaisseur">'BASE CALCULS '!$A$21:$B$50</definedName>
    <definedName name="TAG">Paramètre!$E$21</definedName>
    <definedName name="TauxChange">Cotation!$AE$6</definedName>
    <definedName name="tempsTotal">Cotation!$AQ$13</definedName>
    <definedName name="tempsTotal_tot">Cotation!$AQ$15</definedName>
    <definedName name="tempsUnitaire">Cotation!$AP$13</definedName>
    <definedName name="tempsUnitaire_moy">Cotation!$AP$15</definedName>
    <definedName name="Total">Cotation!$Z$15</definedName>
    <definedName name="TotalInterne">Cotation!$Y$15</definedName>
    <definedName name="transport">Paramètre!$D$46</definedName>
    <definedName name="Transporteur">Cotation!$K$25</definedName>
    <definedName name="TxSemi">Paramètre!$D$60</definedName>
    <definedName name="UC">Paramètre!$D$64</definedName>
    <definedName name="Unite">'Modele couleur'!$I$2</definedName>
    <definedName name="valeurPierre">Cotation!$AJ$13</definedName>
    <definedName name="valeurPierre_Tot">Cotation!$AJ$15</definedName>
    <definedName name="versionMacro">Paramètre!$D$5</definedName>
    <definedName name="volumepetitetaille">'BASE CALCULS '!$E$5:$F$15</definedName>
    <definedName name="volumeTotal">Cotation!$T$15</definedName>
    <definedName name="Z_6327D75B_24CD_4C6E_BB1B_1F76DA5E3C64_.wvu.FilterData" hidden="1">#REF!</definedName>
    <definedName name="Z_6327D75B_24CD_4C6E_BB1B_1F76DA5E3C64_.wvu.PrintArea" hidden="1">#REF!</definedName>
    <definedName name="Z_89F6A343_0EED_492E_A4AA_5D2B13E46C73_.wvu.FilterData" hidden="1">#REF!</definedName>
    <definedName name="Z_A168366A_E092_4A09_813E_1C1A2952D765_.wvu.Cols" localSheetId="3" hidden="1">#REF!,#REF!</definedName>
    <definedName name="Z_A168366A_E092_4A09_813E_1C1A2952D765_.wvu.Cols" hidden="1">#REF!,#REF!</definedName>
    <definedName name="Z_A168366A_E092_4A09_813E_1C1A2952D765_.wvu.FilterData" localSheetId="3" hidden="1">#REF!</definedName>
    <definedName name="Z_A168366A_E092_4A09_813E_1C1A2952D765_.wvu.FilterData" hidden="1">#REF!</definedName>
    <definedName name="Z_A168366A_E092_4A09_813E_1C1A2952D765_.wvu.PrintArea" localSheetId="3" hidden="1">#REF!</definedName>
    <definedName name="Z_A168366A_E092_4A09_813E_1C1A2952D765_.wvu.PrintArea" hidden="1">#REF!</definedName>
    <definedName name="Z_A168366A_E092_4A09_813E_1C1A2952D765_.wvu.PrintTitles" localSheetId="3" hidden="1">#REF!</definedName>
    <definedName name="Z_A168366A_E092_4A09_813E_1C1A2952D765_.wvu.PrintTitles" hidden="1">#REF!</definedName>
    <definedName name="Z_C387D1D5_94A0_4F63_911B_975B759007A3_.wvu.FilterData" localSheetId="3" hidden="1">#REF!</definedName>
    <definedName name="Z_C387D1D5_94A0_4F63_911B_975B759007A3_.wvu.FilterData" hidden="1">#REF!</definedName>
    <definedName name="Z_C387D1D5_94A0_4F63_911B_975B759007A3_.wvu.PrintArea" localSheetId="3" hidden="1">#REF!</definedName>
    <definedName name="Z_C387D1D5_94A0_4F63_911B_975B759007A3_.wvu.PrintArea" hidden="1">#REF!</definedName>
    <definedName name="Z_C387D1D5_94A0_4F63_911B_975B759007A3_.wvu.PrintTitles" localSheetId="3" hidden="1">#REF!</definedName>
    <definedName name="Z_C387D1D5_94A0_4F63_911B_975B759007A3_.wvu.PrintTitles" hidden="1">#REF!</definedName>
    <definedName name="_xlnm.Print_Area" localSheetId="2">Cotation!$H$1:$Z$34</definedName>
    <definedName name="_xlnm.Print_Area" localSheetId="0">Paramètre!$F$1:$L$20</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61" l="1"/>
  <c r="I16" i="73"/>
  <c r="H16" i="73"/>
  <c r="I15" i="73"/>
  <c r="I14" i="73"/>
  <c r="H14" i="73"/>
  <c r="AE5" i="61"/>
  <c r="BL8" i="72"/>
  <c r="W18" i="77" l="1"/>
  <c r="AI18" i="77" l="1"/>
  <c r="AI43" i="77" s="1"/>
  <c r="V18" i="77"/>
  <c r="V23" i="77" s="1"/>
  <c r="AD18" i="77"/>
  <c r="AR18" i="77" s="1"/>
  <c r="AQ11" i="61"/>
  <c r="AP11" i="61"/>
  <c r="AO11" i="61"/>
  <c r="AN11" i="61"/>
  <c r="AM11" i="61"/>
  <c r="AL11" i="61"/>
  <c r="AK11" i="61"/>
  <c r="AJ11" i="61"/>
  <c r="AQ12" i="61"/>
  <c r="AP12" i="61"/>
  <c r="AO12" i="61"/>
  <c r="AN12" i="61"/>
  <c r="AM12" i="61"/>
  <c r="AL12" i="61"/>
  <c r="AK12" i="61"/>
  <c r="AJ12" i="61"/>
  <c r="H13" i="73"/>
  <c r="I13" i="73"/>
  <c r="E21" i="73"/>
  <c r="J13" i="61" s="1"/>
  <c r="B8" i="72" s="1"/>
  <c r="D24" i="73"/>
  <c r="D34" i="73"/>
  <c r="I19" i="73"/>
  <c r="E39" i="73"/>
  <c r="P11" i="61" s="1"/>
  <c r="E41" i="73"/>
  <c r="E67" i="73"/>
  <c r="U1" i="61"/>
  <c r="N3" i="61"/>
  <c r="G4" i="61"/>
  <c r="U5" i="61"/>
  <c r="AH5" i="61"/>
  <c r="J6" i="61"/>
  <c r="J7" i="61"/>
  <c r="J8" i="61"/>
  <c r="J9" i="61"/>
  <c r="AE9" i="61"/>
  <c r="E13" i="61"/>
  <c r="G13" i="61"/>
  <c r="R13" i="61"/>
  <c r="AC13" i="61" s="1"/>
  <c r="AG13" i="61" s="1"/>
  <c r="S13" i="61"/>
  <c r="AD13" i="61" s="1"/>
  <c r="AH13" i="61" s="1"/>
  <c r="T13" i="61"/>
  <c r="L15" i="61"/>
  <c r="K23" i="61"/>
  <c r="K25" i="61"/>
  <c r="H34" i="61"/>
  <c r="Q34" i="61"/>
  <c r="BY1" i="72"/>
  <c r="K2" i="72"/>
  <c r="G3" i="72"/>
  <c r="H3" i="72"/>
  <c r="AO6" i="72"/>
  <c r="AP6" i="72"/>
  <c r="AQ6" i="72"/>
  <c r="AR6" i="72"/>
  <c r="AS6" i="72"/>
  <c r="AT6" i="72"/>
  <c r="AU6" i="72"/>
  <c r="AV6" i="72"/>
  <c r="AW6" i="72"/>
  <c r="AX6" i="72"/>
  <c r="AY6" i="72"/>
  <c r="AZ6" i="72"/>
  <c r="BA6" i="72"/>
  <c r="BB6" i="72"/>
  <c r="BC6" i="72"/>
  <c r="BE6" i="72"/>
  <c r="BF6" i="72"/>
  <c r="BH6" i="72"/>
  <c r="BK6" i="72"/>
  <c r="BL6" i="72"/>
  <c r="BM6" i="72"/>
  <c r="BN6" i="72"/>
  <c r="AN7" i="72"/>
  <c r="A8" i="72"/>
  <c r="C8" i="72"/>
  <c r="D8" i="72"/>
  <c r="E8" i="72"/>
  <c r="F8" i="72"/>
  <c r="G8" i="72"/>
  <c r="AO8" i="72"/>
  <c r="AP8" i="72"/>
  <c r="AQ8" i="72"/>
  <c r="AR8" i="72"/>
  <c r="AS8" i="72"/>
  <c r="AT8" i="72"/>
  <c r="AU8" i="72"/>
  <c r="AV8" i="72"/>
  <c r="AW8" i="72"/>
  <c r="AX8" i="72"/>
  <c r="AY8" i="72"/>
  <c r="BE8" i="72"/>
  <c r="BH8" i="72"/>
  <c r="BG8" i="72" s="1"/>
  <c r="BI8" i="72"/>
  <c r="BJ8" i="72"/>
  <c r="BK8" i="72"/>
  <c r="BM8" i="72"/>
  <c r="BN8" i="72"/>
  <c r="BP8" i="72"/>
  <c r="BX8" i="72"/>
  <c r="CB8" i="72" s="1"/>
  <c r="S3" i="77"/>
  <c r="T3" i="77"/>
  <c r="U3" i="77" s="1"/>
  <c r="V3" i="77" s="1"/>
  <c r="W3" i="77" s="1"/>
  <c r="X3" i="77" s="1"/>
  <c r="Y3" i="77" s="1"/>
  <c r="Z3" i="77" s="1"/>
  <c r="AA3" i="77" s="1"/>
  <c r="AB3" i="77" s="1"/>
  <c r="K9" i="77"/>
  <c r="L9" i="77" s="1"/>
  <c r="M9" i="77" s="1"/>
  <c r="N9" i="77" s="1"/>
  <c r="O9" i="77" s="1"/>
  <c r="P9" i="77" s="1"/>
  <c r="Q9" i="77" s="1"/>
  <c r="R9" i="77" s="1"/>
  <c r="S9" i="77" s="1"/>
  <c r="T9" i="77" s="1"/>
  <c r="U9" i="77" s="1"/>
  <c r="V9" i="77" s="1"/>
  <c r="W9" i="77" s="1"/>
  <c r="X9" i="77" s="1"/>
  <c r="Y9" i="77" s="1"/>
  <c r="K10" i="77"/>
  <c r="L10" i="77" s="1"/>
  <c r="M10" i="77" s="1"/>
  <c r="N10" i="77" s="1"/>
  <c r="O10" i="77"/>
  <c r="P10" i="77" s="1"/>
  <c r="Q10" i="77" s="1"/>
  <c r="R10" i="77" s="1"/>
  <c r="S10" i="77" s="1"/>
  <c r="T10" i="77" s="1"/>
  <c r="U10" i="77" s="1"/>
  <c r="V10" i="77" s="1"/>
  <c r="W10" i="77" s="1"/>
  <c r="X10" i="77" s="1"/>
  <c r="Y10" i="77" s="1"/>
  <c r="CG16" i="77"/>
  <c r="CH16" i="77" s="1"/>
  <c r="CI16" i="77" s="1"/>
  <c r="CJ16" i="77" s="1"/>
  <c r="X18" i="77"/>
  <c r="X40" i="77" s="1"/>
  <c r="X64" i="77"/>
  <c r="Y18" i="77"/>
  <c r="Y22" i="77" s="1"/>
  <c r="Z18" i="77"/>
  <c r="AA18" i="77"/>
  <c r="AA60" i="77" s="1"/>
  <c r="AB18" i="77"/>
  <c r="AB24" i="77" s="1"/>
  <c r="AC18" i="77"/>
  <c r="AQ18" i="77" s="1"/>
  <c r="BN18" i="77"/>
  <c r="BO18" i="77" s="1"/>
  <c r="CF18" i="77"/>
  <c r="CF36" i="77" s="1"/>
  <c r="BN20" i="77"/>
  <c r="BO20" i="77" s="1"/>
  <c r="BP20" i="77" s="1"/>
  <c r="BQ20" i="77" s="1"/>
  <c r="BR20" i="77" s="1"/>
  <c r="BS20" i="77" s="1"/>
  <c r="BT20" i="77" s="1"/>
  <c r="BU20" i="77" s="1"/>
  <c r="BV20" i="77" s="1"/>
  <c r="BW20" i="77" s="1"/>
  <c r="BX20" i="77" s="1"/>
  <c r="BY20" i="77" s="1"/>
  <c r="BZ20" i="77" s="1"/>
  <c r="CA20" i="77" s="1"/>
  <c r="CB20" i="77" s="1"/>
  <c r="F21" i="77"/>
  <c r="J21" i="77"/>
  <c r="K21" i="77"/>
  <c r="L21" i="77"/>
  <c r="M21" i="77"/>
  <c r="N21" i="77"/>
  <c r="O21" i="77"/>
  <c r="P21" i="77"/>
  <c r="Q21" i="77"/>
  <c r="R21" i="77"/>
  <c r="W21" i="77"/>
  <c r="AO21" i="77"/>
  <c r="AP21" i="77"/>
  <c r="AY21" i="77"/>
  <c r="AZ21" i="77"/>
  <c r="BA21" i="77"/>
  <c r="BB21" i="77"/>
  <c r="BC21" i="77"/>
  <c r="BD21" i="77"/>
  <c r="BE21" i="77"/>
  <c r="BF21" i="77"/>
  <c r="BG21" i="77"/>
  <c r="BM21" i="77"/>
  <c r="F22" i="77"/>
  <c r="J22" i="77"/>
  <c r="K22" i="77"/>
  <c r="L22" i="77"/>
  <c r="M22" i="77"/>
  <c r="N22" i="77"/>
  <c r="O22" i="77"/>
  <c r="P22" i="77"/>
  <c r="Q22" i="77"/>
  <c r="R22" i="77"/>
  <c r="W22" i="77"/>
  <c r="AO22" i="77"/>
  <c r="AP22" i="77"/>
  <c r="AU22" i="77"/>
  <c r="AU23" i="77"/>
  <c r="AU24" i="77" s="1"/>
  <c r="AU25" i="77" s="1"/>
  <c r="AU26" i="77" s="1"/>
  <c r="AU27" i="77" s="1"/>
  <c r="AU28" i="77" s="1"/>
  <c r="AU29" i="77" s="1"/>
  <c r="AU30" i="77" s="1"/>
  <c r="AU31" i="77" s="1"/>
  <c r="AU32" i="77" s="1"/>
  <c r="AU33" i="77" s="1"/>
  <c r="AU34" i="77" s="1"/>
  <c r="AY22" i="77"/>
  <c r="AZ22" i="77"/>
  <c r="BA22" i="77"/>
  <c r="BB22" i="77"/>
  <c r="BC22" i="77"/>
  <c r="BD22" i="77"/>
  <c r="BE22" i="77"/>
  <c r="BF22" i="77"/>
  <c r="BG22" i="77"/>
  <c r="BJ22" i="77"/>
  <c r="BJ23" i="77" s="1"/>
  <c r="BJ24" i="77" s="1"/>
  <c r="BJ25" i="77" s="1"/>
  <c r="BJ26" i="77" s="1"/>
  <c r="BJ27" i="77" s="1"/>
  <c r="BJ28" i="77" s="1"/>
  <c r="BJ29" i="77" s="1"/>
  <c r="BJ30" i="77" s="1"/>
  <c r="BL22" i="77"/>
  <c r="F23" i="77"/>
  <c r="J23" i="77"/>
  <c r="K23" i="77"/>
  <c r="L23" i="77"/>
  <c r="M23" i="77"/>
  <c r="N23" i="77"/>
  <c r="O23" i="77"/>
  <c r="P23" i="77"/>
  <c r="Q23" i="77"/>
  <c r="R23" i="77"/>
  <c r="W23" i="77"/>
  <c r="AO23" i="77"/>
  <c r="AP23" i="77"/>
  <c r="AY23" i="77"/>
  <c r="AZ23" i="77"/>
  <c r="BA23" i="77"/>
  <c r="BB23" i="77"/>
  <c r="BC23" i="77"/>
  <c r="BD23" i="77"/>
  <c r="BE23" i="77"/>
  <c r="BF23" i="77"/>
  <c r="BG23" i="77"/>
  <c r="F24" i="77"/>
  <c r="J24" i="77"/>
  <c r="K24" i="77"/>
  <c r="L24" i="77"/>
  <c r="M24" i="77"/>
  <c r="N24" i="77"/>
  <c r="O24" i="77"/>
  <c r="P24" i="77"/>
  <c r="Q24" i="77"/>
  <c r="R24" i="77"/>
  <c r="W24" i="77"/>
  <c r="AO24" i="77"/>
  <c r="AP24" i="77"/>
  <c r="AY24" i="77"/>
  <c r="AZ24" i="77"/>
  <c r="BA24" i="77"/>
  <c r="BB24" i="77"/>
  <c r="BC24" i="77"/>
  <c r="BD24" i="77"/>
  <c r="BE24" i="77"/>
  <c r="BF24" i="77"/>
  <c r="BG24" i="77"/>
  <c r="F25" i="77"/>
  <c r="J25" i="77"/>
  <c r="K25" i="77"/>
  <c r="L25" i="77"/>
  <c r="M25" i="77"/>
  <c r="N25" i="77"/>
  <c r="O25" i="77"/>
  <c r="P25" i="77"/>
  <c r="Q25" i="77"/>
  <c r="R25" i="77"/>
  <c r="W25" i="77"/>
  <c r="AO25" i="77"/>
  <c r="AP25" i="77"/>
  <c r="AY25" i="77"/>
  <c r="AZ25" i="77"/>
  <c r="BA25" i="77"/>
  <c r="BB25" i="77"/>
  <c r="BC25" i="77"/>
  <c r="BD25" i="77"/>
  <c r="BE25" i="77"/>
  <c r="BF25" i="77"/>
  <c r="BG25" i="77"/>
  <c r="F26" i="77"/>
  <c r="J26" i="77"/>
  <c r="K26" i="77"/>
  <c r="L26" i="77"/>
  <c r="M26" i="77"/>
  <c r="N26" i="77"/>
  <c r="O26" i="77"/>
  <c r="P26" i="77"/>
  <c r="Q26" i="77"/>
  <c r="R26" i="77"/>
  <c r="V26" i="77"/>
  <c r="W26" i="77"/>
  <c r="AB26" i="77"/>
  <c r="AO26" i="77"/>
  <c r="AP26" i="77"/>
  <c r="AY26" i="77"/>
  <c r="AZ26" i="77"/>
  <c r="BA26" i="77"/>
  <c r="BB26" i="77"/>
  <c r="BC26" i="77"/>
  <c r="BD26" i="77"/>
  <c r="BE26" i="77"/>
  <c r="BF26" i="77"/>
  <c r="BG26" i="77"/>
  <c r="F27" i="77"/>
  <c r="J27" i="77"/>
  <c r="K27" i="77"/>
  <c r="L27" i="77"/>
  <c r="M27" i="77"/>
  <c r="N27" i="77"/>
  <c r="O27" i="77"/>
  <c r="P27" i="77"/>
  <c r="Q27" i="77"/>
  <c r="R27" i="77"/>
  <c r="V27" i="77"/>
  <c r="W27" i="77"/>
  <c r="AO27" i="77"/>
  <c r="AP27" i="77"/>
  <c r="AY27" i="77"/>
  <c r="AZ27" i="77"/>
  <c r="BA27" i="77"/>
  <c r="BB27" i="77"/>
  <c r="BC27" i="77"/>
  <c r="BD27" i="77"/>
  <c r="BE27" i="77"/>
  <c r="BF27" i="77"/>
  <c r="BG27" i="77"/>
  <c r="F28" i="77"/>
  <c r="J28" i="77"/>
  <c r="K28" i="77"/>
  <c r="L28" i="77"/>
  <c r="M28" i="77"/>
  <c r="N28" i="77"/>
  <c r="O28" i="77"/>
  <c r="P28" i="77"/>
  <c r="Q28" i="77"/>
  <c r="R28" i="77"/>
  <c r="W28" i="77"/>
  <c r="AO28" i="77"/>
  <c r="AP28" i="77"/>
  <c r="AY28" i="77"/>
  <c r="AZ28" i="77"/>
  <c r="BA28" i="77"/>
  <c r="BB28" i="77"/>
  <c r="BC28" i="77"/>
  <c r="BD28" i="77"/>
  <c r="BE28" i="77"/>
  <c r="BF28" i="77"/>
  <c r="BG28" i="77"/>
  <c r="F29" i="77"/>
  <c r="J29" i="77"/>
  <c r="K29" i="77"/>
  <c r="L29" i="77"/>
  <c r="M29" i="77"/>
  <c r="N29" i="77"/>
  <c r="O29" i="77"/>
  <c r="P29" i="77"/>
  <c r="Q29" i="77"/>
  <c r="R29" i="77"/>
  <c r="W29" i="77"/>
  <c r="AO29" i="77"/>
  <c r="AP29" i="77"/>
  <c r="AY29" i="77"/>
  <c r="AZ29" i="77"/>
  <c r="BA29" i="77"/>
  <c r="BB29" i="77"/>
  <c r="BC29" i="77"/>
  <c r="BD29" i="77"/>
  <c r="BE29" i="77"/>
  <c r="BF29" i="77"/>
  <c r="BG29" i="77"/>
  <c r="F30" i="77"/>
  <c r="J30" i="77"/>
  <c r="K30" i="77"/>
  <c r="L30" i="77"/>
  <c r="M30" i="77"/>
  <c r="N30" i="77"/>
  <c r="O30" i="77"/>
  <c r="P30" i="77"/>
  <c r="Q30" i="77"/>
  <c r="R30" i="77"/>
  <c r="W30" i="77"/>
  <c r="AO30" i="77"/>
  <c r="AP30" i="77"/>
  <c r="AY30" i="77"/>
  <c r="AZ30" i="77"/>
  <c r="BA30" i="77"/>
  <c r="BB30" i="77"/>
  <c r="BC30" i="77"/>
  <c r="BD30" i="77"/>
  <c r="BE30" i="77"/>
  <c r="BF30" i="77"/>
  <c r="BG30" i="77"/>
  <c r="F31" i="77"/>
  <c r="J31" i="77"/>
  <c r="K31" i="77"/>
  <c r="L31" i="77"/>
  <c r="M31" i="77"/>
  <c r="N31" i="77"/>
  <c r="O31" i="77"/>
  <c r="P31" i="77"/>
  <c r="Q31" i="77"/>
  <c r="R31" i="77"/>
  <c r="V31" i="77"/>
  <c r="W31" i="77"/>
  <c r="AO31" i="77"/>
  <c r="AP31" i="77"/>
  <c r="AY31" i="77"/>
  <c r="AZ31" i="77"/>
  <c r="BA31" i="77"/>
  <c r="BB31" i="77"/>
  <c r="BC31" i="77"/>
  <c r="BD31" i="77"/>
  <c r="BE31" i="77"/>
  <c r="BF31" i="77"/>
  <c r="BG31" i="77"/>
  <c r="F32" i="77"/>
  <c r="J32" i="77"/>
  <c r="K32" i="77"/>
  <c r="L32" i="77"/>
  <c r="M32" i="77"/>
  <c r="N32" i="77"/>
  <c r="O32" i="77"/>
  <c r="P32" i="77"/>
  <c r="Q32" i="77"/>
  <c r="R32" i="77"/>
  <c r="W32" i="77"/>
  <c r="Z32" i="77"/>
  <c r="AD32" i="77"/>
  <c r="AO32" i="77"/>
  <c r="AP32" i="77"/>
  <c r="AY32" i="77"/>
  <c r="AZ32" i="77"/>
  <c r="BA32" i="77"/>
  <c r="BB32" i="77"/>
  <c r="BC32" i="77"/>
  <c r="BD32" i="77"/>
  <c r="BE32" i="77"/>
  <c r="BF32" i="77"/>
  <c r="BG32" i="77"/>
  <c r="F33" i="77"/>
  <c r="J33" i="77"/>
  <c r="K33" i="77"/>
  <c r="L33" i="77"/>
  <c r="M33" i="77"/>
  <c r="N33" i="77"/>
  <c r="O33" i="77"/>
  <c r="P33" i="77"/>
  <c r="Q33" i="77"/>
  <c r="R33" i="77"/>
  <c r="V33" i="77"/>
  <c r="W33" i="77"/>
  <c r="AO33" i="77"/>
  <c r="AP33" i="77"/>
  <c r="AY33" i="77"/>
  <c r="AZ33" i="77"/>
  <c r="BA33" i="77"/>
  <c r="BB33" i="77"/>
  <c r="BC33" i="77"/>
  <c r="BD33" i="77"/>
  <c r="BE33" i="77"/>
  <c r="BF33" i="77"/>
  <c r="BG33" i="77"/>
  <c r="F34" i="77"/>
  <c r="J34" i="77"/>
  <c r="K34" i="77"/>
  <c r="L34" i="77"/>
  <c r="M34" i="77"/>
  <c r="N34" i="77"/>
  <c r="O34" i="77"/>
  <c r="P34" i="77"/>
  <c r="Q34" i="77"/>
  <c r="R34" i="77"/>
  <c r="W34" i="77"/>
  <c r="AB34" i="77"/>
  <c r="AO34" i="77"/>
  <c r="AP34" i="77"/>
  <c r="AY34" i="77"/>
  <c r="AZ34" i="77"/>
  <c r="BA34" i="77"/>
  <c r="BB34" i="77"/>
  <c r="BC34" i="77"/>
  <c r="BD34" i="77"/>
  <c r="BE34" i="77"/>
  <c r="BF34" i="77"/>
  <c r="BG34" i="77"/>
  <c r="F35" i="77"/>
  <c r="J35" i="77"/>
  <c r="K35" i="77"/>
  <c r="L35" i="77"/>
  <c r="M35" i="77"/>
  <c r="N35" i="77"/>
  <c r="O35" i="77"/>
  <c r="P35" i="77"/>
  <c r="Q35" i="77"/>
  <c r="R35" i="77"/>
  <c r="W35" i="77"/>
  <c r="AO35" i="77"/>
  <c r="AP35" i="77"/>
  <c r="AT35" i="77"/>
  <c r="AW35" i="77"/>
  <c r="AY35" i="77"/>
  <c r="AZ35" i="77"/>
  <c r="BA35" i="77"/>
  <c r="BB35" i="77"/>
  <c r="BC35" i="77"/>
  <c r="BD35" i="77"/>
  <c r="BE35" i="77"/>
  <c r="BF35" i="77"/>
  <c r="BG35" i="77"/>
  <c r="F36" i="77"/>
  <c r="J36" i="77"/>
  <c r="K36" i="77"/>
  <c r="L36" i="77"/>
  <c r="M36" i="77"/>
  <c r="N36" i="77"/>
  <c r="O36" i="77"/>
  <c r="P36" i="77"/>
  <c r="Q36" i="77"/>
  <c r="R36" i="77"/>
  <c r="V36" i="77"/>
  <c r="W36" i="77"/>
  <c r="AO36" i="77"/>
  <c r="AP36" i="77"/>
  <c r="AT36" i="77"/>
  <c r="AW36" i="77"/>
  <c r="AY36" i="77"/>
  <c r="AZ36" i="77"/>
  <c r="BA36" i="77"/>
  <c r="BB36" i="77"/>
  <c r="BC36" i="77"/>
  <c r="BD36" i="77"/>
  <c r="BE36" i="77"/>
  <c r="BF36" i="77"/>
  <c r="BG36" i="77"/>
  <c r="F37" i="77"/>
  <c r="J37" i="77"/>
  <c r="K37" i="77"/>
  <c r="L37" i="77"/>
  <c r="M37" i="77"/>
  <c r="N37" i="77"/>
  <c r="O37" i="77"/>
  <c r="P37" i="77"/>
  <c r="Q37" i="77"/>
  <c r="R37" i="77"/>
  <c r="W37" i="77"/>
  <c r="AB37" i="77"/>
  <c r="AO37" i="77"/>
  <c r="AP37" i="77"/>
  <c r="AT37" i="77"/>
  <c r="AW37" i="77"/>
  <c r="AY37" i="77"/>
  <c r="AZ37" i="77"/>
  <c r="BA37" i="77"/>
  <c r="BB37" i="77"/>
  <c r="BC37" i="77"/>
  <c r="BD37" i="77"/>
  <c r="BE37" i="77"/>
  <c r="BF37" i="77"/>
  <c r="BG37" i="77"/>
  <c r="F38" i="77"/>
  <c r="J38" i="77"/>
  <c r="K38" i="77"/>
  <c r="L38" i="77"/>
  <c r="M38" i="77"/>
  <c r="N38" i="77"/>
  <c r="O38" i="77"/>
  <c r="P38" i="77"/>
  <c r="Q38" i="77"/>
  <c r="R38" i="77"/>
  <c r="W38" i="77"/>
  <c r="AO38" i="77"/>
  <c r="AP38" i="77"/>
  <c r="AT38" i="77"/>
  <c r="AW38" i="77"/>
  <c r="AY38" i="77"/>
  <c r="AZ38" i="77"/>
  <c r="BA38" i="77"/>
  <c r="BB38" i="77"/>
  <c r="BC38" i="77"/>
  <c r="BD38" i="77"/>
  <c r="BE38" i="77"/>
  <c r="BF38" i="77"/>
  <c r="BG38" i="77"/>
  <c r="F39" i="77"/>
  <c r="J39" i="77"/>
  <c r="K39" i="77"/>
  <c r="L39" i="77"/>
  <c r="M39" i="77"/>
  <c r="N39" i="77"/>
  <c r="O39" i="77"/>
  <c r="P39" i="77"/>
  <c r="Q39" i="77"/>
  <c r="R39" i="77"/>
  <c r="V39" i="77"/>
  <c r="W39" i="77"/>
  <c r="AB39" i="77"/>
  <c r="AO39" i="77"/>
  <c r="AP39" i="77"/>
  <c r="F40" i="77"/>
  <c r="J40" i="77"/>
  <c r="K40" i="77"/>
  <c r="L40" i="77"/>
  <c r="M40" i="77"/>
  <c r="N40" i="77"/>
  <c r="O40" i="77"/>
  <c r="P40" i="77"/>
  <c r="Q40" i="77"/>
  <c r="R40" i="77"/>
  <c r="V40" i="77"/>
  <c r="W40" i="77"/>
  <c r="AB40" i="77"/>
  <c r="AO40" i="77"/>
  <c r="AP40" i="77"/>
  <c r="F41" i="77"/>
  <c r="J41" i="77"/>
  <c r="K41" i="77"/>
  <c r="L41" i="77"/>
  <c r="M41" i="77"/>
  <c r="N41" i="77"/>
  <c r="O41" i="77"/>
  <c r="P41" i="77"/>
  <c r="Q41" i="77"/>
  <c r="R41" i="77"/>
  <c r="V41" i="77"/>
  <c r="W41" i="77"/>
  <c r="AO41" i="77"/>
  <c r="AP41" i="77"/>
  <c r="F42" i="77"/>
  <c r="J42" i="77"/>
  <c r="K42" i="77"/>
  <c r="L42" i="77"/>
  <c r="M42" i="77"/>
  <c r="N42" i="77"/>
  <c r="O42" i="77"/>
  <c r="P42" i="77"/>
  <c r="Q42" i="77"/>
  <c r="R42" i="77"/>
  <c r="W42" i="77"/>
  <c r="AO42" i="77"/>
  <c r="AP42" i="77"/>
  <c r="F43" i="77"/>
  <c r="J43" i="77"/>
  <c r="K43" i="77"/>
  <c r="L43" i="77"/>
  <c r="M43" i="77"/>
  <c r="N43" i="77"/>
  <c r="O43" i="77"/>
  <c r="P43" i="77"/>
  <c r="Q43" i="77"/>
  <c r="R43" i="77"/>
  <c r="V43" i="77"/>
  <c r="W43" i="77"/>
  <c r="AB43" i="77"/>
  <c r="AO43" i="77"/>
  <c r="AP43" i="77"/>
  <c r="F44" i="77"/>
  <c r="J44" i="77"/>
  <c r="K44" i="77"/>
  <c r="L44" i="77"/>
  <c r="M44" i="77"/>
  <c r="N44" i="77"/>
  <c r="O44" i="77"/>
  <c r="P44" i="77"/>
  <c r="Q44" i="77"/>
  <c r="R44" i="77"/>
  <c r="W44" i="77"/>
  <c r="AB44" i="77"/>
  <c r="AO44" i="77"/>
  <c r="AP44" i="77"/>
  <c r="F45" i="77"/>
  <c r="J45" i="77"/>
  <c r="K45" i="77"/>
  <c r="L45" i="77"/>
  <c r="M45" i="77"/>
  <c r="N45" i="77"/>
  <c r="O45" i="77"/>
  <c r="P45" i="77"/>
  <c r="Q45" i="77"/>
  <c r="R45" i="77"/>
  <c r="W45" i="77"/>
  <c r="AO45" i="77"/>
  <c r="AP45" i="77"/>
  <c r="F46" i="77"/>
  <c r="J46" i="77"/>
  <c r="K46" i="77"/>
  <c r="L46" i="77"/>
  <c r="M46" i="77"/>
  <c r="N46" i="77"/>
  <c r="O46" i="77"/>
  <c r="P46" i="77"/>
  <c r="Q46" i="77"/>
  <c r="R46" i="77"/>
  <c r="V46" i="77"/>
  <c r="W46" i="77"/>
  <c r="AO46" i="77"/>
  <c r="AP46" i="77"/>
  <c r="F47" i="77"/>
  <c r="J47" i="77"/>
  <c r="K47" i="77"/>
  <c r="L47" i="77"/>
  <c r="M47" i="77"/>
  <c r="N47" i="77"/>
  <c r="O47" i="77"/>
  <c r="P47" i="77"/>
  <c r="Q47" i="77"/>
  <c r="R47" i="77"/>
  <c r="W47" i="77"/>
  <c r="AB47" i="77"/>
  <c r="AO47" i="77"/>
  <c r="AP47" i="77"/>
  <c r="F48" i="77"/>
  <c r="J48" i="77"/>
  <c r="K48" i="77"/>
  <c r="L48" i="77"/>
  <c r="M48" i="77"/>
  <c r="N48" i="77"/>
  <c r="O48" i="77"/>
  <c r="P48" i="77"/>
  <c r="Q48" i="77"/>
  <c r="R48" i="77"/>
  <c r="W48" i="77"/>
  <c r="AB48" i="77"/>
  <c r="AO48" i="77"/>
  <c r="AP48" i="77"/>
  <c r="F49" i="77"/>
  <c r="J49" i="77"/>
  <c r="K49" i="77"/>
  <c r="L49" i="77"/>
  <c r="M49" i="77"/>
  <c r="N49" i="77"/>
  <c r="O49" i="77"/>
  <c r="P49" i="77"/>
  <c r="Q49" i="77"/>
  <c r="R49" i="77"/>
  <c r="W49" i="77"/>
  <c r="AO49" i="77"/>
  <c r="AP49" i="77"/>
  <c r="F50" i="77"/>
  <c r="J50" i="77"/>
  <c r="K50" i="77"/>
  <c r="L50" i="77"/>
  <c r="M50" i="77"/>
  <c r="N50" i="77"/>
  <c r="O50" i="77"/>
  <c r="P50" i="77"/>
  <c r="Q50" i="77"/>
  <c r="R50" i="77"/>
  <c r="W50" i="77"/>
  <c r="X50" i="77"/>
  <c r="AO50" i="77"/>
  <c r="AP50" i="77"/>
  <c r="J51" i="77"/>
  <c r="K51" i="77"/>
  <c r="L51" i="77"/>
  <c r="M51" i="77"/>
  <c r="N51" i="77"/>
  <c r="O51" i="77"/>
  <c r="P51" i="77"/>
  <c r="Q51" i="77"/>
  <c r="R51" i="77"/>
  <c r="W51" i="77"/>
  <c r="Z51" i="77"/>
  <c r="AB51" i="77"/>
  <c r="AD51" i="77"/>
  <c r="AO51" i="77"/>
  <c r="AP51" i="77"/>
  <c r="J52" i="77"/>
  <c r="K52" i="77"/>
  <c r="L52" i="77"/>
  <c r="M52" i="77"/>
  <c r="N52" i="77"/>
  <c r="O52" i="77"/>
  <c r="P52" i="77"/>
  <c r="Q52" i="77"/>
  <c r="R52" i="77"/>
  <c r="W52" i="77"/>
  <c r="AO52" i="77"/>
  <c r="AP52" i="77"/>
  <c r="J53" i="77"/>
  <c r="K53" i="77"/>
  <c r="L53" i="77"/>
  <c r="M53" i="77"/>
  <c r="N53" i="77"/>
  <c r="O53" i="77"/>
  <c r="P53" i="77"/>
  <c r="Q53" i="77"/>
  <c r="R53" i="77"/>
  <c r="W53" i="77"/>
  <c r="AO53" i="77"/>
  <c r="AP53" i="77"/>
  <c r="J54" i="77"/>
  <c r="K54" i="77"/>
  <c r="L54" i="77"/>
  <c r="M54" i="77"/>
  <c r="N54" i="77"/>
  <c r="O54" i="77"/>
  <c r="P54" i="77"/>
  <c r="Q54" i="77"/>
  <c r="R54" i="77"/>
  <c r="W54" i="77"/>
  <c r="AO54" i="77"/>
  <c r="AP54" i="77"/>
  <c r="J55" i="77"/>
  <c r="K55" i="77"/>
  <c r="L55" i="77"/>
  <c r="M55" i="77"/>
  <c r="N55" i="77"/>
  <c r="O55" i="77"/>
  <c r="P55" i="77"/>
  <c r="Q55" i="77"/>
  <c r="R55" i="77"/>
  <c r="V55" i="77"/>
  <c r="W55" i="77"/>
  <c r="Z55" i="77"/>
  <c r="AD55" i="77"/>
  <c r="AO55" i="77"/>
  <c r="AP55" i="77"/>
  <c r="J56" i="77"/>
  <c r="K56" i="77"/>
  <c r="L56" i="77"/>
  <c r="M56" i="77"/>
  <c r="N56" i="77"/>
  <c r="O56" i="77"/>
  <c r="P56" i="77"/>
  <c r="Q56" i="77"/>
  <c r="R56" i="77"/>
  <c r="W56" i="77"/>
  <c r="AB56" i="77"/>
  <c r="AO56" i="77"/>
  <c r="AP56" i="77"/>
  <c r="J57" i="77"/>
  <c r="K57" i="77"/>
  <c r="L57" i="77"/>
  <c r="M57" i="77"/>
  <c r="N57" i="77"/>
  <c r="O57" i="77"/>
  <c r="P57" i="77"/>
  <c r="Q57" i="77"/>
  <c r="R57" i="77"/>
  <c r="W57" i="77"/>
  <c r="AO57" i="77"/>
  <c r="AP57" i="77"/>
  <c r="J58" i="77"/>
  <c r="K58" i="77"/>
  <c r="L58" i="77"/>
  <c r="M58" i="77"/>
  <c r="N58" i="77"/>
  <c r="O58" i="77"/>
  <c r="P58" i="77"/>
  <c r="Q58" i="77"/>
  <c r="R58" i="77"/>
  <c r="W58" i="77"/>
  <c r="AB58" i="77"/>
  <c r="AO58" i="77"/>
  <c r="AP58" i="77"/>
  <c r="J59" i="77"/>
  <c r="K59" i="77"/>
  <c r="L59" i="77"/>
  <c r="M59" i="77"/>
  <c r="N59" i="77"/>
  <c r="O59" i="77"/>
  <c r="P59" i="77"/>
  <c r="Q59" i="77"/>
  <c r="R59" i="77"/>
  <c r="V59" i="77"/>
  <c r="W59" i="77"/>
  <c r="Z59" i="77"/>
  <c r="AC59" i="77"/>
  <c r="AD59" i="77"/>
  <c r="AO59" i="77"/>
  <c r="AP59" i="77"/>
  <c r="J60" i="77"/>
  <c r="K60" i="77"/>
  <c r="L60" i="77"/>
  <c r="M60" i="77"/>
  <c r="N60" i="77"/>
  <c r="O60" i="77"/>
  <c r="P60" i="77"/>
  <c r="Q60" i="77"/>
  <c r="R60" i="77"/>
  <c r="V60" i="77"/>
  <c r="W60" i="77"/>
  <c r="Z60" i="77"/>
  <c r="AD60" i="77"/>
  <c r="AO60" i="77"/>
  <c r="AP60" i="77"/>
  <c r="J61" i="77"/>
  <c r="K61" i="77"/>
  <c r="L61" i="77"/>
  <c r="M61" i="77"/>
  <c r="N61" i="77"/>
  <c r="O61" i="77"/>
  <c r="P61" i="77"/>
  <c r="Q61" i="77"/>
  <c r="R61" i="77"/>
  <c r="V61" i="77"/>
  <c r="W61" i="77"/>
  <c r="Z61" i="77"/>
  <c r="AB61" i="77"/>
  <c r="AD61" i="77"/>
  <c r="AO61" i="77"/>
  <c r="AP61" i="77"/>
  <c r="J62" i="77"/>
  <c r="K62" i="77"/>
  <c r="L62" i="77"/>
  <c r="M62" i="77"/>
  <c r="N62" i="77"/>
  <c r="O62" i="77"/>
  <c r="P62" i="77"/>
  <c r="Q62" i="77"/>
  <c r="R62" i="77"/>
  <c r="W62" i="77"/>
  <c r="Z62" i="77"/>
  <c r="AD62" i="77"/>
  <c r="AO62" i="77"/>
  <c r="AP62" i="77"/>
  <c r="J63" i="77"/>
  <c r="K63" i="77"/>
  <c r="L63" i="77"/>
  <c r="M63" i="77"/>
  <c r="N63" i="77"/>
  <c r="O63" i="77"/>
  <c r="P63" i="77"/>
  <c r="Q63" i="77"/>
  <c r="R63" i="77"/>
  <c r="V63" i="77"/>
  <c r="W63" i="77"/>
  <c r="Z63" i="77"/>
  <c r="AD63" i="77"/>
  <c r="AO63" i="77"/>
  <c r="AP63" i="77"/>
  <c r="J64" i="77"/>
  <c r="K64" i="77"/>
  <c r="L64" i="77"/>
  <c r="M64" i="77"/>
  <c r="N64" i="77"/>
  <c r="O64" i="77"/>
  <c r="P64" i="77"/>
  <c r="Q64" i="77"/>
  <c r="R64" i="77"/>
  <c r="W64" i="77"/>
  <c r="Z64" i="77"/>
  <c r="AD64" i="77"/>
  <c r="AO64" i="77"/>
  <c r="AP64" i="77"/>
  <c r="J65" i="77"/>
  <c r="K65" i="77"/>
  <c r="L65" i="77"/>
  <c r="M65" i="77"/>
  <c r="N65" i="77"/>
  <c r="O65" i="77"/>
  <c r="P65" i="77"/>
  <c r="Q65" i="77"/>
  <c r="R65" i="77"/>
  <c r="W65" i="77"/>
  <c r="Z65" i="77"/>
  <c r="AC65" i="77"/>
  <c r="AD65" i="77"/>
  <c r="AO65" i="77"/>
  <c r="AP65" i="77"/>
  <c r="J66" i="77"/>
  <c r="K66" i="77"/>
  <c r="L66" i="77"/>
  <c r="M66" i="77"/>
  <c r="N66" i="77"/>
  <c r="O66" i="77"/>
  <c r="P66" i="77"/>
  <c r="Q66" i="77"/>
  <c r="R66" i="77"/>
  <c r="W66" i="77"/>
  <c r="Z66" i="77"/>
  <c r="AD66" i="77"/>
  <c r="AO66" i="77"/>
  <c r="AP66" i="77"/>
  <c r="J67" i="77"/>
  <c r="K67" i="77"/>
  <c r="L67" i="77"/>
  <c r="M67" i="77"/>
  <c r="N67" i="77"/>
  <c r="O67" i="77"/>
  <c r="P67" i="77"/>
  <c r="Q67" i="77"/>
  <c r="R67" i="77"/>
  <c r="W67" i="77"/>
  <c r="Z67" i="77"/>
  <c r="AD67" i="77"/>
  <c r="AO67" i="77"/>
  <c r="AP67" i="77"/>
  <c r="J68" i="77"/>
  <c r="K68" i="77"/>
  <c r="L68" i="77"/>
  <c r="M68" i="77"/>
  <c r="N68" i="77"/>
  <c r="O68" i="77"/>
  <c r="P68" i="77"/>
  <c r="Q68" i="77"/>
  <c r="R68" i="77"/>
  <c r="V68" i="77"/>
  <c r="W68" i="77"/>
  <c r="Z68" i="77"/>
  <c r="AB68" i="77"/>
  <c r="AD68" i="77"/>
  <c r="AO68" i="77"/>
  <c r="AP68" i="77"/>
  <c r="J69" i="77"/>
  <c r="K69" i="77"/>
  <c r="L69" i="77"/>
  <c r="M69" i="77"/>
  <c r="N69" i="77"/>
  <c r="O69" i="77"/>
  <c r="P69" i="77"/>
  <c r="Q69" i="77"/>
  <c r="R69" i="77"/>
  <c r="V69" i="77"/>
  <c r="W69" i="77"/>
  <c r="Z69" i="77"/>
  <c r="AD69" i="77"/>
  <c r="AO69" i="77"/>
  <c r="AP69" i="77"/>
  <c r="J70" i="77"/>
  <c r="K70" i="77"/>
  <c r="L70" i="77"/>
  <c r="M70" i="77"/>
  <c r="N70" i="77"/>
  <c r="O70" i="77"/>
  <c r="P70" i="77"/>
  <c r="Q70" i="77"/>
  <c r="R70" i="77"/>
  <c r="W70" i="77"/>
  <c r="Z70" i="77"/>
  <c r="AB70" i="77"/>
  <c r="AD70" i="77"/>
  <c r="AO70" i="77"/>
  <c r="AP70" i="77"/>
  <c r="J71" i="77"/>
  <c r="K71" i="77"/>
  <c r="L71" i="77"/>
  <c r="M71" i="77"/>
  <c r="N71" i="77"/>
  <c r="O71" i="77"/>
  <c r="P71" i="77"/>
  <c r="Q71" i="77"/>
  <c r="R71" i="77"/>
  <c r="W71" i="77"/>
  <c r="Z71" i="77"/>
  <c r="AD71" i="77"/>
  <c r="AO71" i="77"/>
  <c r="AP71" i="77"/>
  <c r="J72" i="77"/>
  <c r="K72" i="77"/>
  <c r="L72" i="77"/>
  <c r="M72" i="77"/>
  <c r="N72" i="77"/>
  <c r="O72" i="77"/>
  <c r="P72" i="77"/>
  <c r="Q72" i="77"/>
  <c r="R72" i="77"/>
  <c r="W72" i="77"/>
  <c r="Z72" i="77"/>
  <c r="AD72" i="77"/>
  <c r="AO72" i="77"/>
  <c r="AP72" i="77"/>
  <c r="J73" i="77"/>
  <c r="K73" i="77"/>
  <c r="L73" i="77"/>
  <c r="M73" i="77"/>
  <c r="N73" i="77"/>
  <c r="O73" i="77"/>
  <c r="P73" i="77"/>
  <c r="Q73" i="77"/>
  <c r="R73" i="77"/>
  <c r="W73" i="77"/>
  <c r="Z73" i="77"/>
  <c r="AD73" i="77"/>
  <c r="AO73" i="77"/>
  <c r="AP73" i="77"/>
  <c r="J74" i="77"/>
  <c r="K74" i="77"/>
  <c r="L74" i="77"/>
  <c r="M74" i="77"/>
  <c r="N74" i="77"/>
  <c r="O74" i="77"/>
  <c r="P74" i="77"/>
  <c r="Q74" i="77"/>
  <c r="R74" i="77"/>
  <c r="V74" i="77"/>
  <c r="W74" i="77"/>
  <c r="Z74" i="77"/>
  <c r="AD74" i="77"/>
  <c r="AO74" i="77"/>
  <c r="AP74" i="77"/>
  <c r="J75" i="77"/>
  <c r="K75" i="77"/>
  <c r="L75" i="77"/>
  <c r="M75" i="77"/>
  <c r="N75" i="77"/>
  <c r="O75" i="77"/>
  <c r="P75" i="77"/>
  <c r="Q75" i="77"/>
  <c r="R75" i="77"/>
  <c r="W75" i="77"/>
  <c r="Z75" i="77"/>
  <c r="AB75" i="77"/>
  <c r="AD75" i="77"/>
  <c r="AO75" i="77"/>
  <c r="AP75" i="77"/>
  <c r="J76" i="77"/>
  <c r="K76" i="77"/>
  <c r="L76" i="77"/>
  <c r="M76" i="77"/>
  <c r="N76" i="77"/>
  <c r="O76" i="77"/>
  <c r="P76" i="77"/>
  <c r="Q76" i="77"/>
  <c r="R76" i="77"/>
  <c r="W76" i="77"/>
  <c r="Z76" i="77"/>
  <c r="AD76" i="77"/>
  <c r="AO76" i="77"/>
  <c r="AP76" i="77"/>
  <c r="J77" i="77"/>
  <c r="K77" i="77"/>
  <c r="L77" i="77"/>
  <c r="M77" i="77"/>
  <c r="N77" i="77"/>
  <c r="O77" i="77"/>
  <c r="P77" i="77"/>
  <c r="Q77" i="77"/>
  <c r="R77" i="77"/>
  <c r="W77" i="77"/>
  <c r="Z77" i="77"/>
  <c r="AB77" i="77"/>
  <c r="AC77" i="77"/>
  <c r="AD77" i="77"/>
  <c r="AO77" i="77"/>
  <c r="AP77" i="77"/>
  <c r="J78" i="77"/>
  <c r="K78" i="77"/>
  <c r="L78" i="77"/>
  <c r="M78" i="77"/>
  <c r="N78" i="77"/>
  <c r="O78" i="77"/>
  <c r="P78" i="77"/>
  <c r="Q78" i="77"/>
  <c r="R78" i="77"/>
  <c r="W78" i="77"/>
  <c r="Z78" i="77"/>
  <c r="AD78" i="77"/>
  <c r="AO78" i="77"/>
  <c r="AP78" i="77"/>
  <c r="J79" i="77"/>
  <c r="K79" i="77"/>
  <c r="L79" i="77"/>
  <c r="M79" i="77"/>
  <c r="N79" i="77"/>
  <c r="O79" i="77"/>
  <c r="P79" i="77"/>
  <c r="Q79" i="77"/>
  <c r="R79" i="77"/>
  <c r="W79" i="77"/>
  <c r="Z79" i="77"/>
  <c r="AD79" i="77"/>
  <c r="AO79" i="77"/>
  <c r="AP79" i="77"/>
  <c r="J80" i="77"/>
  <c r="K80" i="77"/>
  <c r="L80" i="77"/>
  <c r="M80" i="77"/>
  <c r="N80" i="77"/>
  <c r="O80" i="77"/>
  <c r="P80" i="77"/>
  <c r="Q80" i="77"/>
  <c r="R80" i="77"/>
  <c r="W80" i="77"/>
  <c r="Z80" i="77"/>
  <c r="AD80" i="77"/>
  <c r="AO80" i="77"/>
  <c r="AP80" i="77"/>
  <c r="J81" i="77"/>
  <c r="K81" i="77"/>
  <c r="L81" i="77"/>
  <c r="M81" i="77"/>
  <c r="N81" i="77"/>
  <c r="O81" i="77"/>
  <c r="P81" i="77"/>
  <c r="Q81" i="77"/>
  <c r="R81" i="77"/>
  <c r="V81" i="77"/>
  <c r="W81" i="77"/>
  <c r="Z81" i="77"/>
  <c r="AD81" i="77"/>
  <c r="AO81" i="77"/>
  <c r="AP81" i="77"/>
  <c r="J82" i="77"/>
  <c r="K82" i="77"/>
  <c r="L82" i="77"/>
  <c r="M82" i="77"/>
  <c r="N82" i="77"/>
  <c r="O82" i="77"/>
  <c r="P82" i="77"/>
  <c r="Q82" i="77"/>
  <c r="R82" i="77"/>
  <c r="W82" i="77"/>
  <c r="Z82" i="77"/>
  <c r="AC82" i="77"/>
  <c r="AD82" i="77"/>
  <c r="AO82" i="77"/>
  <c r="AP82" i="77"/>
  <c r="J83" i="77"/>
  <c r="K83" i="77"/>
  <c r="L83" i="77"/>
  <c r="M83" i="77"/>
  <c r="N83" i="77"/>
  <c r="O83" i="77"/>
  <c r="P83" i="77"/>
  <c r="Q83" i="77"/>
  <c r="R83" i="77"/>
  <c r="W83" i="77"/>
  <c r="Z83" i="77"/>
  <c r="AD83" i="77"/>
  <c r="AO83" i="77"/>
  <c r="AP83" i="77"/>
  <c r="J84" i="77"/>
  <c r="K84" i="77"/>
  <c r="L84" i="77"/>
  <c r="M84" i="77"/>
  <c r="N84" i="77"/>
  <c r="O84" i="77"/>
  <c r="P84" i="77"/>
  <c r="Q84" i="77"/>
  <c r="R84" i="77"/>
  <c r="W84" i="77"/>
  <c r="Z84" i="77"/>
  <c r="AB84" i="77"/>
  <c r="AD84" i="77"/>
  <c r="AO84" i="77"/>
  <c r="AP84" i="77"/>
  <c r="J85" i="77"/>
  <c r="K85" i="77"/>
  <c r="L85" i="77"/>
  <c r="M85" i="77"/>
  <c r="N85" i="77"/>
  <c r="O85" i="77"/>
  <c r="P85" i="77"/>
  <c r="Q85" i="77"/>
  <c r="R85" i="77"/>
  <c r="W85" i="77"/>
  <c r="Z85" i="77"/>
  <c r="AD85" i="77"/>
  <c r="AO85" i="77"/>
  <c r="AP85" i="77"/>
  <c r="J86" i="77"/>
  <c r="K86" i="77"/>
  <c r="L86" i="77"/>
  <c r="M86" i="77"/>
  <c r="N86" i="77"/>
  <c r="O86" i="77"/>
  <c r="P86" i="77"/>
  <c r="Q86" i="77"/>
  <c r="R86" i="77"/>
  <c r="W86" i="77"/>
  <c r="Z86" i="77"/>
  <c r="AB86" i="77"/>
  <c r="AD86" i="77"/>
  <c r="AO86" i="77"/>
  <c r="AP86" i="77"/>
  <c r="J87" i="77"/>
  <c r="K87" i="77"/>
  <c r="L87" i="77"/>
  <c r="M87" i="77"/>
  <c r="N87" i="77"/>
  <c r="O87" i="77"/>
  <c r="P87" i="77"/>
  <c r="Q87" i="77"/>
  <c r="R87" i="77"/>
  <c r="W87" i="77"/>
  <c r="Z87" i="77"/>
  <c r="AC87" i="77"/>
  <c r="AD87" i="77"/>
  <c r="AO87" i="77"/>
  <c r="AP87" i="77"/>
  <c r="J88" i="77"/>
  <c r="K88" i="77"/>
  <c r="L88" i="77"/>
  <c r="M88" i="77"/>
  <c r="N88" i="77"/>
  <c r="O88" i="77"/>
  <c r="P88" i="77"/>
  <c r="Q88" i="77"/>
  <c r="R88" i="77"/>
  <c r="W88" i="77"/>
  <c r="Z88" i="77"/>
  <c r="AD88" i="77"/>
  <c r="AO88" i="77"/>
  <c r="AP88" i="77"/>
  <c r="J89" i="77"/>
  <c r="K89" i="77"/>
  <c r="L89" i="77"/>
  <c r="M89" i="77"/>
  <c r="N89" i="77"/>
  <c r="O89" i="77"/>
  <c r="P89" i="77"/>
  <c r="Q89" i="77"/>
  <c r="R89" i="77"/>
  <c r="V89" i="77"/>
  <c r="W89" i="77"/>
  <c r="Z89" i="77"/>
  <c r="AD89" i="77"/>
  <c r="AO89" i="77"/>
  <c r="AP89" i="77"/>
  <c r="J90" i="77"/>
  <c r="K90" i="77"/>
  <c r="L90" i="77"/>
  <c r="M90" i="77"/>
  <c r="N90" i="77"/>
  <c r="O90" i="77"/>
  <c r="P90" i="77"/>
  <c r="Q90" i="77"/>
  <c r="R90" i="77"/>
  <c r="W90" i="77"/>
  <c r="Z90" i="77"/>
  <c r="AD90" i="77"/>
  <c r="AO90" i="77"/>
  <c r="AP90" i="77"/>
  <c r="J91" i="77"/>
  <c r="K91" i="77"/>
  <c r="L91" i="77"/>
  <c r="M91" i="77"/>
  <c r="N91" i="77"/>
  <c r="O91" i="77"/>
  <c r="P91" i="77"/>
  <c r="Q91" i="77"/>
  <c r="R91" i="77"/>
  <c r="W91" i="77"/>
  <c r="Z91" i="77"/>
  <c r="AB91" i="77"/>
  <c r="AC91" i="77"/>
  <c r="AD91" i="77"/>
  <c r="AO91" i="77"/>
  <c r="AP91" i="77"/>
  <c r="J92" i="77"/>
  <c r="K92" i="77"/>
  <c r="L92" i="77"/>
  <c r="M92" i="77"/>
  <c r="N92" i="77"/>
  <c r="O92" i="77"/>
  <c r="P92" i="77"/>
  <c r="Q92" i="77"/>
  <c r="R92" i="77"/>
  <c r="W92" i="77"/>
  <c r="Z92" i="77"/>
  <c r="AC92" i="77"/>
  <c r="AD92" i="77"/>
  <c r="AO92" i="77"/>
  <c r="AP92" i="77"/>
  <c r="J93" i="77"/>
  <c r="K93" i="77"/>
  <c r="L93" i="77"/>
  <c r="M93" i="77"/>
  <c r="N93" i="77"/>
  <c r="O93" i="77"/>
  <c r="P93" i="77"/>
  <c r="Q93" i="77"/>
  <c r="R93" i="77"/>
  <c r="W93" i="77"/>
  <c r="Z93" i="77"/>
  <c r="AB93" i="77"/>
  <c r="AD93" i="77"/>
  <c r="AO93" i="77"/>
  <c r="AP93" i="77"/>
  <c r="J94" i="77"/>
  <c r="K94" i="77"/>
  <c r="L94" i="77"/>
  <c r="M94" i="77"/>
  <c r="N94" i="77"/>
  <c r="O94" i="77"/>
  <c r="P94" i="77"/>
  <c r="Q94" i="77"/>
  <c r="R94" i="77"/>
  <c r="V94" i="77"/>
  <c r="W94" i="77"/>
  <c r="Z94" i="77"/>
  <c r="AD94" i="77"/>
  <c r="AO94" i="77"/>
  <c r="AP94" i="77"/>
  <c r="J95" i="77"/>
  <c r="K95" i="77"/>
  <c r="L95" i="77"/>
  <c r="M95" i="77"/>
  <c r="N95" i="77"/>
  <c r="O95" i="77"/>
  <c r="P95" i="77"/>
  <c r="Q95" i="77"/>
  <c r="R95" i="77"/>
  <c r="W95" i="77"/>
  <c r="Z95" i="77"/>
  <c r="AD95" i="77"/>
  <c r="AO95" i="77"/>
  <c r="AP95" i="77"/>
  <c r="J96" i="77"/>
  <c r="K96" i="77"/>
  <c r="L96" i="77"/>
  <c r="M96" i="77"/>
  <c r="N96" i="77"/>
  <c r="O96" i="77"/>
  <c r="P96" i="77"/>
  <c r="Q96" i="77"/>
  <c r="R96" i="77"/>
  <c r="W96" i="77"/>
  <c r="Z96" i="77"/>
  <c r="AD96" i="77"/>
  <c r="AO96" i="77"/>
  <c r="AP96" i="77"/>
  <c r="J97" i="77"/>
  <c r="K97" i="77"/>
  <c r="L97" i="77"/>
  <c r="M97" i="77"/>
  <c r="N97" i="77"/>
  <c r="O97" i="77"/>
  <c r="P97" i="77"/>
  <c r="Q97" i="77"/>
  <c r="R97" i="77"/>
  <c r="W97" i="77"/>
  <c r="Z97" i="77"/>
  <c r="AD97" i="77"/>
  <c r="AO97" i="77"/>
  <c r="AP97" i="77"/>
  <c r="J98" i="77"/>
  <c r="K98" i="77"/>
  <c r="L98" i="77"/>
  <c r="M98" i="77"/>
  <c r="N98" i="77"/>
  <c r="O98" i="77"/>
  <c r="P98" i="77"/>
  <c r="Q98" i="77"/>
  <c r="R98" i="77"/>
  <c r="W98" i="77"/>
  <c r="Z98" i="77"/>
  <c r="AC98" i="77"/>
  <c r="AD98" i="77"/>
  <c r="AO98" i="77"/>
  <c r="AP98" i="77"/>
  <c r="J99" i="77"/>
  <c r="K99" i="77"/>
  <c r="L99" i="77"/>
  <c r="M99" i="77"/>
  <c r="N99" i="77"/>
  <c r="O99" i="77"/>
  <c r="P99" i="77"/>
  <c r="Q99" i="77"/>
  <c r="R99" i="77"/>
  <c r="W99" i="77"/>
  <c r="Z99" i="77"/>
  <c r="AD99" i="77"/>
  <c r="AO99" i="77"/>
  <c r="AP99" i="77"/>
  <c r="J100" i="77"/>
  <c r="K100" i="77"/>
  <c r="L100" i="77"/>
  <c r="M100" i="77"/>
  <c r="N100" i="77"/>
  <c r="O100" i="77"/>
  <c r="P100" i="77"/>
  <c r="Q100" i="77"/>
  <c r="R100" i="77"/>
  <c r="V100" i="77"/>
  <c r="W100" i="77"/>
  <c r="Z100" i="77"/>
  <c r="AB100" i="77"/>
  <c r="AD100" i="77"/>
  <c r="AO100" i="77"/>
  <c r="AP100" i="77"/>
  <c r="J101" i="77"/>
  <c r="K101" i="77"/>
  <c r="L101" i="77"/>
  <c r="M101" i="77"/>
  <c r="N101" i="77"/>
  <c r="O101" i="77"/>
  <c r="P101" i="77"/>
  <c r="Q101" i="77"/>
  <c r="R101" i="77"/>
  <c r="V101" i="77"/>
  <c r="W101" i="77"/>
  <c r="Z101" i="77"/>
  <c r="AB101" i="77"/>
  <c r="AD101" i="77"/>
  <c r="AO101" i="77"/>
  <c r="AP101" i="77"/>
  <c r="J102" i="77"/>
  <c r="K102" i="77"/>
  <c r="L102" i="77"/>
  <c r="M102" i="77"/>
  <c r="N102" i="77"/>
  <c r="O102" i="77"/>
  <c r="P102" i="77"/>
  <c r="Q102" i="77"/>
  <c r="R102" i="77"/>
  <c r="V102" i="77"/>
  <c r="W102" i="77"/>
  <c r="Z102" i="77"/>
  <c r="AB102" i="77"/>
  <c r="AD102" i="77"/>
  <c r="AO102" i="77"/>
  <c r="AP102" i="77"/>
  <c r="J103" i="77"/>
  <c r="K103" i="77"/>
  <c r="L103" i="77"/>
  <c r="M103" i="77"/>
  <c r="N103" i="77"/>
  <c r="O103" i="77"/>
  <c r="P103" i="77"/>
  <c r="Q103" i="77"/>
  <c r="R103" i="77"/>
  <c r="V103" i="77"/>
  <c r="W103" i="77"/>
  <c r="Z103" i="77"/>
  <c r="AB103" i="77"/>
  <c r="AD103" i="77"/>
  <c r="AO103" i="77"/>
  <c r="AP103" i="77"/>
  <c r="J104" i="77"/>
  <c r="K104" i="77"/>
  <c r="L104" i="77"/>
  <c r="M104" i="77"/>
  <c r="N104" i="77"/>
  <c r="O104" i="77"/>
  <c r="P104" i="77"/>
  <c r="Q104" i="77"/>
  <c r="R104" i="77"/>
  <c r="V104" i="77"/>
  <c r="W104" i="77"/>
  <c r="Z104" i="77"/>
  <c r="AA104" i="77"/>
  <c r="AD104" i="77"/>
  <c r="AO104" i="77"/>
  <c r="AP104" i="77"/>
  <c r="J105" i="77"/>
  <c r="K105" i="77"/>
  <c r="L105" i="77"/>
  <c r="M105" i="77"/>
  <c r="N105" i="77"/>
  <c r="O105" i="77"/>
  <c r="P105" i="77"/>
  <c r="Q105" i="77"/>
  <c r="R105" i="77"/>
  <c r="V105" i="77"/>
  <c r="W105" i="77"/>
  <c r="Z105" i="77"/>
  <c r="AB105" i="77"/>
  <c r="AD105" i="77"/>
  <c r="AO105" i="77"/>
  <c r="AP105" i="77"/>
  <c r="J106" i="77"/>
  <c r="K106" i="77"/>
  <c r="L106" i="77"/>
  <c r="M106" i="77"/>
  <c r="N106" i="77"/>
  <c r="O106" i="77"/>
  <c r="P106" i="77"/>
  <c r="Q106" i="77"/>
  <c r="R106" i="77"/>
  <c r="V106" i="77"/>
  <c r="W106" i="77"/>
  <c r="Z106" i="77"/>
  <c r="AD106" i="77"/>
  <c r="AO106" i="77"/>
  <c r="AP106" i="77"/>
  <c r="J107" i="77"/>
  <c r="K107" i="77"/>
  <c r="L107" i="77"/>
  <c r="M107" i="77"/>
  <c r="N107" i="77"/>
  <c r="O107" i="77"/>
  <c r="P107" i="77"/>
  <c r="Q107" i="77"/>
  <c r="R107" i="77"/>
  <c r="V107" i="77"/>
  <c r="W107" i="77"/>
  <c r="Z107" i="77"/>
  <c r="AB107" i="77"/>
  <c r="AD107" i="77"/>
  <c r="AO107" i="77"/>
  <c r="AP107" i="77"/>
  <c r="J108" i="77"/>
  <c r="K108" i="77"/>
  <c r="L108" i="77"/>
  <c r="M108" i="77"/>
  <c r="N108" i="77"/>
  <c r="O108" i="77"/>
  <c r="P108" i="77"/>
  <c r="Q108" i="77"/>
  <c r="R108" i="77"/>
  <c r="V108" i="77"/>
  <c r="W108" i="77"/>
  <c r="Z108" i="77"/>
  <c r="AB108" i="77"/>
  <c r="AD108" i="77"/>
  <c r="AO108" i="77"/>
  <c r="AP108" i="77"/>
  <c r="J109" i="77"/>
  <c r="K109" i="77"/>
  <c r="L109" i="77"/>
  <c r="M109" i="77"/>
  <c r="N109" i="77"/>
  <c r="O109" i="77"/>
  <c r="P109" i="77"/>
  <c r="Q109" i="77"/>
  <c r="R109" i="77"/>
  <c r="V109" i="77"/>
  <c r="W109" i="77"/>
  <c r="Z109" i="77"/>
  <c r="AB109" i="77"/>
  <c r="AD109" i="77"/>
  <c r="AO109" i="77"/>
  <c r="AP109" i="77"/>
  <c r="J110" i="77"/>
  <c r="K110" i="77"/>
  <c r="L110" i="77"/>
  <c r="M110" i="77"/>
  <c r="N110" i="77"/>
  <c r="O110" i="77"/>
  <c r="P110" i="77"/>
  <c r="Q110" i="77"/>
  <c r="R110" i="77"/>
  <c r="V110" i="77"/>
  <c r="W110" i="77"/>
  <c r="Z110" i="77"/>
  <c r="AB110" i="77"/>
  <c r="AD110" i="77"/>
  <c r="AO110" i="77"/>
  <c r="AP110" i="77"/>
  <c r="J111" i="77"/>
  <c r="K111" i="77"/>
  <c r="L111" i="77"/>
  <c r="M111" i="77"/>
  <c r="N111" i="77"/>
  <c r="O111" i="77"/>
  <c r="P111" i="77"/>
  <c r="Q111" i="77"/>
  <c r="R111" i="77"/>
  <c r="V111" i="77"/>
  <c r="W111" i="77"/>
  <c r="Z111" i="77"/>
  <c r="AD111" i="77"/>
  <c r="AO111" i="77"/>
  <c r="AP111" i="77"/>
  <c r="J112" i="77"/>
  <c r="K112" i="77"/>
  <c r="L112" i="77"/>
  <c r="M112" i="77"/>
  <c r="N112" i="77"/>
  <c r="O112" i="77"/>
  <c r="P112" i="77"/>
  <c r="Q112" i="77"/>
  <c r="R112" i="77"/>
  <c r="W112" i="77"/>
  <c r="Z112" i="77"/>
  <c r="AB112" i="77"/>
  <c r="AD112" i="77"/>
  <c r="AO112" i="77"/>
  <c r="AP112" i="77"/>
  <c r="J113" i="77"/>
  <c r="K113" i="77"/>
  <c r="L113" i="77"/>
  <c r="M113" i="77"/>
  <c r="N113" i="77"/>
  <c r="O113" i="77"/>
  <c r="P113" i="77"/>
  <c r="Q113" i="77"/>
  <c r="R113" i="77"/>
  <c r="W113" i="77"/>
  <c r="Z113" i="77"/>
  <c r="AD113" i="77"/>
  <c r="AO113" i="77"/>
  <c r="AP113" i="77"/>
  <c r="J114" i="77"/>
  <c r="K114" i="77"/>
  <c r="L114" i="77"/>
  <c r="M114" i="77"/>
  <c r="N114" i="77"/>
  <c r="O114" i="77"/>
  <c r="P114" i="77"/>
  <c r="Q114" i="77"/>
  <c r="R114" i="77"/>
  <c r="W114" i="77"/>
  <c r="Z114" i="77"/>
  <c r="AB114" i="77"/>
  <c r="AD114" i="77"/>
  <c r="AO114" i="77"/>
  <c r="AP114" i="77"/>
  <c r="J115" i="77"/>
  <c r="K115" i="77"/>
  <c r="L115" i="77"/>
  <c r="M115" i="77"/>
  <c r="N115" i="77"/>
  <c r="O115" i="77"/>
  <c r="P115" i="77"/>
  <c r="Q115" i="77"/>
  <c r="R115" i="77"/>
  <c r="W115" i="77"/>
  <c r="Z115" i="77"/>
  <c r="AB115" i="77"/>
  <c r="AD115" i="77"/>
  <c r="AO115" i="77"/>
  <c r="AP115" i="77"/>
  <c r="J116" i="77"/>
  <c r="K116" i="77"/>
  <c r="L116" i="77"/>
  <c r="M116" i="77"/>
  <c r="N116" i="77"/>
  <c r="O116" i="77"/>
  <c r="P116" i="77"/>
  <c r="Q116" i="77"/>
  <c r="R116" i="77"/>
  <c r="W116" i="77"/>
  <c r="Z116" i="77"/>
  <c r="AB116" i="77"/>
  <c r="AD116" i="77"/>
  <c r="AO116" i="77"/>
  <c r="AP116" i="77"/>
  <c r="J117" i="77"/>
  <c r="K117" i="77"/>
  <c r="L117" i="77"/>
  <c r="M117" i="77"/>
  <c r="N117" i="77"/>
  <c r="O117" i="77"/>
  <c r="P117" i="77"/>
  <c r="Q117" i="77"/>
  <c r="R117" i="77"/>
  <c r="W117" i="77"/>
  <c r="Z117" i="77"/>
  <c r="AB117" i="77"/>
  <c r="AD117" i="77"/>
  <c r="AO117" i="77"/>
  <c r="AP117" i="77"/>
  <c r="J118" i="77"/>
  <c r="K118" i="77"/>
  <c r="L118" i="77"/>
  <c r="M118" i="77"/>
  <c r="N118" i="77"/>
  <c r="O118" i="77"/>
  <c r="P118" i="77"/>
  <c r="Q118" i="77"/>
  <c r="R118" i="77"/>
  <c r="W118" i="77"/>
  <c r="Z118" i="77"/>
  <c r="AB118" i="77"/>
  <c r="AD118" i="77"/>
  <c r="AO118" i="77"/>
  <c r="AP118" i="77"/>
  <c r="J119" i="77"/>
  <c r="K119" i="77"/>
  <c r="L119" i="77"/>
  <c r="M119" i="77"/>
  <c r="N119" i="77"/>
  <c r="O119" i="77"/>
  <c r="P119" i="77"/>
  <c r="Q119" i="77"/>
  <c r="R119" i="77"/>
  <c r="W119" i="77"/>
  <c r="Z119" i="77"/>
  <c r="AB119" i="77"/>
  <c r="AD119" i="77"/>
  <c r="AO119" i="77"/>
  <c r="AP119" i="77"/>
  <c r="J120" i="77"/>
  <c r="K120" i="77"/>
  <c r="L120" i="77"/>
  <c r="M120" i="77"/>
  <c r="N120" i="77"/>
  <c r="O120" i="77"/>
  <c r="P120" i="77"/>
  <c r="Q120" i="77"/>
  <c r="R120" i="77"/>
  <c r="W120" i="77"/>
  <c r="Z120" i="77"/>
  <c r="AD120" i="77"/>
  <c r="AO120" i="77"/>
  <c r="AP120" i="77"/>
  <c r="AD23" i="77"/>
  <c r="AD25" i="77"/>
  <c r="AD27" i="77"/>
  <c r="AD29" i="77"/>
  <c r="AD31" i="77"/>
  <c r="AD35" i="77"/>
  <c r="AD38" i="77"/>
  <c r="AD40" i="77"/>
  <c r="AD42" i="77"/>
  <c r="AD44" i="77"/>
  <c r="AD46" i="77"/>
  <c r="AD48" i="77"/>
  <c r="AD50" i="77"/>
  <c r="AD54" i="77"/>
  <c r="AD58" i="77"/>
  <c r="AD21" i="77"/>
  <c r="AD34" i="77"/>
  <c r="AD36" i="77"/>
  <c r="AD53" i="77"/>
  <c r="AD57" i="77"/>
  <c r="AD22" i="77"/>
  <c r="AD24" i="77"/>
  <c r="AD26" i="77"/>
  <c r="AD28" i="77"/>
  <c r="AD30" i="77"/>
  <c r="AD33" i="77"/>
  <c r="AD37" i="77"/>
  <c r="AD39" i="77"/>
  <c r="AD41" i="77"/>
  <c r="AD43" i="77"/>
  <c r="AD45" i="77"/>
  <c r="AD47" i="77"/>
  <c r="AD49" i="77"/>
  <c r="AD52" i="77"/>
  <c r="AD56" i="77"/>
  <c r="Z23" i="77"/>
  <c r="Z25" i="77"/>
  <c r="Z27" i="77"/>
  <c r="Z29" i="77"/>
  <c r="Z31" i="77"/>
  <c r="Z35" i="77"/>
  <c r="Z38" i="77"/>
  <c r="Z40" i="77"/>
  <c r="Z42" i="77"/>
  <c r="Z44" i="77"/>
  <c r="Z46" i="77"/>
  <c r="Z48" i="77"/>
  <c r="Z50" i="77"/>
  <c r="Z54" i="77"/>
  <c r="Z58" i="77"/>
  <c r="Z21" i="77"/>
  <c r="Z34" i="77"/>
  <c r="Z36" i="77"/>
  <c r="Z53" i="77"/>
  <c r="Z57" i="77"/>
  <c r="AL18" i="77"/>
  <c r="AL78" i="77" s="1"/>
  <c r="Z22" i="77"/>
  <c r="Z24" i="77"/>
  <c r="Z26" i="77"/>
  <c r="Z28" i="77"/>
  <c r="Z30" i="77"/>
  <c r="Z33" i="77"/>
  <c r="Z37" i="77"/>
  <c r="Z39" i="77"/>
  <c r="Z41" i="77"/>
  <c r="Z43" i="77"/>
  <c r="Z45" i="77"/>
  <c r="Z47" i="77"/>
  <c r="Z49" i="77"/>
  <c r="Z52" i="77"/>
  <c r="Z56" i="77"/>
  <c r="H4" i="73"/>
  <c r="AB22" i="77"/>
  <c r="AB31" i="77"/>
  <c r="AB32" i="77"/>
  <c r="AB52" i="77"/>
  <c r="AB54" i="77"/>
  <c r="AB57" i="77"/>
  <c r="AB64" i="77"/>
  <c r="AB66" i="77"/>
  <c r="AB71" i="77"/>
  <c r="AB73" i="77"/>
  <c r="AB80" i="77"/>
  <c r="AB82" i="77"/>
  <c r="AB87" i="77"/>
  <c r="AB89" i="77"/>
  <c r="AB96" i="77"/>
  <c r="AB98" i="77"/>
  <c r="AB27" i="77"/>
  <c r="AB29" i="77"/>
  <c r="AB35" i="77"/>
  <c r="AB41" i="77"/>
  <c r="AB42" i="77"/>
  <c r="AB45" i="77"/>
  <c r="AB46" i="77"/>
  <c r="AB49" i="77"/>
  <c r="AB50" i="77"/>
  <c r="AB53" i="77"/>
  <c r="AB59" i="77"/>
  <c r="AB60" i="77"/>
  <c r="AB62" i="77"/>
  <c r="AB67" i="77"/>
  <c r="AB69" i="77"/>
  <c r="AB76" i="77"/>
  <c r="AB78" i="77"/>
  <c r="AB83" i="77"/>
  <c r="AB85" i="77"/>
  <c r="AB92" i="77"/>
  <c r="AB94" i="77"/>
  <c r="AB99" i="77"/>
  <c r="AN18" i="77"/>
  <c r="AN40" i="77" s="1"/>
  <c r="AB21" i="77"/>
  <c r="AB23" i="77"/>
  <c r="AB25" i="77"/>
  <c r="AB28" i="77"/>
  <c r="AB30" i="77"/>
  <c r="AB33" i="77"/>
  <c r="AB36" i="77"/>
  <c r="AB38" i="77"/>
  <c r="AB55" i="77"/>
  <c r="AB63" i="77"/>
  <c r="AB65" i="77"/>
  <c r="AB72" i="77"/>
  <c r="AB74" i="77"/>
  <c r="AB79" i="77"/>
  <c r="AB81" i="77"/>
  <c r="AB88" i="77"/>
  <c r="AB90" i="77"/>
  <c r="AB95" i="77"/>
  <c r="AB97" i="77"/>
  <c r="AB104" i="77"/>
  <c r="AB106" i="77"/>
  <c r="AB111" i="77"/>
  <c r="AB113" i="77"/>
  <c r="AB120" i="77"/>
  <c r="X37" i="77"/>
  <c r="X44" i="77"/>
  <c r="X56" i="77"/>
  <c r="X67" i="77"/>
  <c r="X81" i="77"/>
  <c r="X94" i="77"/>
  <c r="X105" i="77"/>
  <c r="X116" i="77"/>
  <c r="X31" i="77"/>
  <c r="X46" i="77"/>
  <c r="X51" i="77"/>
  <c r="X70" i="77"/>
  <c r="X95" i="77"/>
  <c r="X109" i="77"/>
  <c r="X120" i="77"/>
  <c r="X74" i="77"/>
  <c r="Y56" i="77"/>
  <c r="X117" i="77"/>
  <c r="X75" i="77"/>
  <c r="X28" i="77"/>
  <c r="Y95" i="77"/>
  <c r="X115" i="77"/>
  <c r="AI107" i="77"/>
  <c r="X92" i="77"/>
  <c r="AI88" i="77"/>
  <c r="AC83" i="77"/>
  <c r="X57" i="77"/>
  <c r="S11" i="61"/>
  <c r="AI36" i="77"/>
  <c r="AI59" i="77"/>
  <c r="AI89" i="77"/>
  <c r="AI109" i="77"/>
  <c r="AI47" i="77"/>
  <c r="AI67" i="77"/>
  <c r="AI87" i="77"/>
  <c r="AI114" i="77"/>
  <c r="AI63" i="77"/>
  <c r="AI116" i="77"/>
  <c r="AC22" i="77"/>
  <c r="AC29" i="77"/>
  <c r="AC35" i="77"/>
  <c r="AC49" i="77"/>
  <c r="AC63" i="77"/>
  <c r="AC84" i="77"/>
  <c r="AC95" i="77"/>
  <c r="AC107" i="77"/>
  <c r="AC108" i="77"/>
  <c r="AC32" i="77"/>
  <c r="AC34" i="77"/>
  <c r="AC57" i="77"/>
  <c r="AC86" i="77"/>
  <c r="AC109" i="77"/>
  <c r="AC110" i="77"/>
  <c r="AC42" i="77"/>
  <c r="AC52" i="77"/>
  <c r="AC62" i="77"/>
  <c r="AC81" i="77"/>
  <c r="AC99" i="77"/>
  <c r="AC111" i="77"/>
  <c r="X66" i="77"/>
  <c r="BN21" i="77"/>
  <c r="AI46" i="77"/>
  <c r="AI110" i="77"/>
  <c r="AI54" i="77"/>
  <c r="AI49" i="77"/>
  <c r="AI26" i="77"/>
  <c r="AI92" i="77"/>
  <c r="AI80" i="77"/>
  <c r="AI97" i="77"/>
  <c r="Y63" i="77"/>
  <c r="Y34" i="77"/>
  <c r="Y54" i="77"/>
  <c r="AI38" i="77"/>
  <c r="AI58" i="77"/>
  <c r="AI98" i="77"/>
  <c r="AI42" i="77"/>
  <c r="AI77" i="77"/>
  <c r="AI113" i="77"/>
  <c r="AI86" i="77"/>
  <c r="AI79" i="77"/>
  <c r="AI70" i="77"/>
  <c r="AI100" i="77"/>
  <c r="AI105" i="77"/>
  <c r="AI119" i="77"/>
  <c r="AI95" i="77"/>
  <c r="AI33" i="77"/>
  <c r="AI56" i="77"/>
  <c r="AI104" i="77"/>
  <c r="AI64" i="77"/>
  <c r="AI99" i="77"/>
  <c r="AI108" i="77"/>
  <c r="AI24" i="77"/>
  <c r="AI85" i="77"/>
  <c r="AI45" i="77"/>
  <c r="AI117" i="77"/>
  <c r="AI27" i="77"/>
  <c r="AI73" i="77"/>
  <c r="AI25" i="77"/>
  <c r="AI78" i="77"/>
  <c r="AI21" i="77"/>
  <c r="AI50" i="77"/>
  <c r="AI81" i="77"/>
  <c r="AI37" i="77"/>
  <c r="AI93" i="77"/>
  <c r="AC40" i="77"/>
  <c r="AC41" i="77"/>
  <c r="AC64" i="77"/>
  <c r="AC67" i="77"/>
  <c r="AC71" i="77"/>
  <c r="AC80" i="77"/>
  <c r="AC94" i="77"/>
  <c r="AC97" i="77"/>
  <c r="AC112" i="77"/>
  <c r="AC114" i="77"/>
  <c r="AC113" i="77"/>
  <c r="AC31" i="77"/>
  <c r="AC28" i="77"/>
  <c r="AC47" i="77"/>
  <c r="AC68" i="77"/>
  <c r="AC85" i="77"/>
  <c r="AC106" i="77"/>
  <c r="AC117" i="77"/>
  <c r="AC50" i="77"/>
  <c r="AC70" i="77"/>
  <c r="AC105" i="77"/>
  <c r="AC120" i="77"/>
  <c r="AC53" i="77"/>
  <c r="AC76" i="77"/>
  <c r="AC93" i="77"/>
  <c r="AC21" i="77"/>
  <c r="AC27" i="77"/>
  <c r="AC37" i="77"/>
  <c r="AC38" i="77"/>
  <c r="AC44" i="77"/>
  <c r="AC45" i="77"/>
  <c r="AC55" i="77"/>
  <c r="AC60" i="77"/>
  <c r="AC66" i="77"/>
  <c r="AC73" i="77"/>
  <c r="AC96" i="77"/>
  <c r="AC103" i="77"/>
  <c r="AC115" i="77"/>
  <c r="AC33" i="77"/>
  <c r="AC39" i="77"/>
  <c r="AC72" i="77"/>
  <c r="AC119" i="77"/>
  <c r="AC25" i="77"/>
  <c r="AC48" i="77"/>
  <c r="AC79" i="77"/>
  <c r="AC101" i="77"/>
  <c r="AC30" i="77"/>
  <c r="AC54" i="77"/>
  <c r="AC104" i="77"/>
  <c r="AC36" i="77"/>
  <c r="AC58" i="77"/>
  <c r="AC90" i="77"/>
  <c r="AC61" i="77"/>
  <c r="AC75" i="77"/>
  <c r="AC78" i="77"/>
  <c r="AC89" i="77"/>
  <c r="AC74" i="77"/>
  <c r="AC23" i="77"/>
  <c r="AC46" i="77"/>
  <c r="AC69" i="77"/>
  <c r="AC100" i="77"/>
  <c r="AC116" i="77"/>
  <c r="AC51" i="77"/>
  <c r="AC102" i="77"/>
  <c r="AC118" i="77"/>
  <c r="AC56" i="77"/>
  <c r="AC88" i="77"/>
  <c r="AC26" i="77"/>
  <c r="Y117" i="77"/>
  <c r="Y103" i="77"/>
  <c r="Y83" i="77"/>
  <c r="Y41" i="77"/>
  <c r="Y43" i="77"/>
  <c r="Y91" i="77"/>
  <c r="Y94" i="77"/>
  <c r="Y88" i="77"/>
  <c r="Q32" i="61"/>
  <c r="H5" i="73"/>
  <c r="AL59" i="77"/>
  <c r="AL60" i="77"/>
  <c r="AN97" i="77"/>
  <c r="AN70" i="77"/>
  <c r="AN29" i="77"/>
  <c r="AL47" i="77"/>
  <c r="AC43" i="77"/>
  <c r="CF30" i="77"/>
  <c r="CF35" i="77"/>
  <c r="AQ106" i="77"/>
  <c r="AQ67" i="77"/>
  <c r="AQ56" i="77"/>
  <c r="AQ48" i="77"/>
  <c r="AQ68" i="77"/>
  <c r="AQ69" i="77"/>
  <c r="AQ78" i="77"/>
  <c r="AQ111" i="77"/>
  <c r="AQ28" i="77"/>
  <c r="AQ23" i="77"/>
  <c r="AQ112" i="77"/>
  <c r="AQ113" i="77"/>
  <c r="AQ36" i="77"/>
  <c r="AQ52" i="77"/>
  <c r="AQ88" i="77"/>
  <c r="AQ119" i="77"/>
  <c r="AQ44" i="77"/>
  <c r="AQ110" i="77"/>
  <c r="AQ104" i="77"/>
  <c r="AQ87" i="77"/>
  <c r="AQ76" i="77"/>
  <c r="AQ91" i="77"/>
  <c r="AQ58" i="77"/>
  <c r="AQ86" i="77"/>
  <c r="AQ77" i="77"/>
  <c r="AQ82" i="77"/>
  <c r="AQ83" i="77"/>
  <c r="AQ59" i="77"/>
  <c r="AQ100" i="77"/>
  <c r="AQ85" i="77"/>
  <c r="AQ94" i="77"/>
  <c r="AQ79" i="77"/>
  <c r="AQ32" i="77"/>
  <c r="AQ96" i="77"/>
  <c r="AQ81" i="77"/>
  <c r="AQ33" i="77"/>
  <c r="AQ89" i="77"/>
  <c r="AQ41" i="77"/>
  <c r="AQ93" i="77"/>
  <c r="AQ34" i="77"/>
  <c r="AQ51" i="77"/>
  <c r="AQ74" i="77"/>
  <c r="AQ92" i="77"/>
  <c r="AQ25" i="77"/>
  <c r="AQ66" i="77"/>
  <c r="AQ99" i="77"/>
  <c r="AQ45" i="77"/>
  <c r="AQ116" i="77"/>
  <c r="AQ101" i="77"/>
  <c r="AQ62" i="77"/>
  <c r="AQ95" i="77"/>
  <c r="AQ47" i="77"/>
  <c r="AQ50" i="77"/>
  <c r="AQ97" i="77"/>
  <c r="AQ71" i="77"/>
  <c r="AQ120" i="77"/>
  <c r="AQ75" i="77"/>
  <c r="AQ72" i="77"/>
  <c r="AQ54" i="77"/>
  <c r="AQ30" i="77"/>
  <c r="AQ61" i="77"/>
  <c r="AQ35" i="77"/>
  <c r="AQ22" i="77"/>
  <c r="AQ26" i="77"/>
  <c r="AQ84" i="77"/>
  <c r="AQ102" i="77"/>
  <c r="AQ31" i="77"/>
  <c r="AQ65" i="77"/>
  <c r="AQ57" i="77"/>
  <c r="AQ107" i="77"/>
  <c r="AQ38" i="77"/>
  <c r="AQ109" i="77"/>
  <c r="AQ115" i="77"/>
  <c r="AQ40" i="77"/>
  <c r="AQ21" i="77"/>
  <c r="AQ39" i="77"/>
  <c r="AQ64" i="77"/>
  <c r="AQ108" i="77"/>
  <c r="AQ114" i="77"/>
  <c r="AQ49" i="77"/>
  <c r="AQ29" i="77"/>
  <c r="AQ63" i="77"/>
  <c r="AQ27" i="77"/>
  <c r="AQ70" i="77"/>
  <c r="AQ60" i="77"/>
  <c r="AQ37" i="77"/>
  <c r="AQ117" i="77"/>
  <c r="AQ118" i="77"/>
  <c r="AQ42" i="77"/>
  <c r="AQ103" i="77"/>
  <c r="AQ90" i="77"/>
  <c r="AQ43" i="77"/>
  <c r="AQ105" i="77"/>
  <c r="AQ73" i="77"/>
  <c r="AQ46" i="77"/>
  <c r="AQ98" i="77"/>
  <c r="AQ53" i="77"/>
  <c r="AQ80" i="77"/>
  <c r="AQ55" i="77"/>
  <c r="AQ24" i="77"/>
  <c r="T15" i="61"/>
  <c r="H19" i="73"/>
  <c r="H15" i="73"/>
  <c r="CF23" i="77"/>
  <c r="CF38" i="77"/>
  <c r="CF37" i="77"/>
  <c r="AA32" i="77"/>
  <c r="AA37" i="77"/>
  <c r="AA38" i="77"/>
  <c r="AA41" i="77"/>
  <c r="AA42" i="77"/>
  <c r="AA43" i="77"/>
  <c r="AA45" i="77"/>
  <c r="AA50" i="77"/>
  <c r="AA51" i="77"/>
  <c r="AA52" i="77"/>
  <c r="AA55" i="77"/>
  <c r="AA56" i="77"/>
  <c r="AA62" i="77"/>
  <c r="AA63" i="77"/>
  <c r="AA71" i="77"/>
  <c r="AA72" i="77"/>
  <c r="AA73" i="77"/>
  <c r="AA74" i="77"/>
  <c r="AA85" i="77"/>
  <c r="AA86" i="77"/>
  <c r="AA89" i="77"/>
  <c r="AA90" i="77"/>
  <c r="AA91" i="77"/>
  <c r="AA94" i="77"/>
  <c r="AA95" i="77"/>
  <c r="AA105" i="77"/>
  <c r="AA108" i="77"/>
  <c r="AA111" i="77"/>
  <c r="AA117" i="77"/>
  <c r="AA120" i="77"/>
  <c r="AA21" i="77"/>
  <c r="AA27" i="77"/>
  <c r="AA28" i="77"/>
  <c r="AA33" i="77"/>
  <c r="AA54" i="77"/>
  <c r="AA58" i="77"/>
  <c r="AA64" i="77"/>
  <c r="AA65" i="77"/>
  <c r="AA75" i="77"/>
  <c r="AA78" i="77"/>
  <c r="AA79" i="77"/>
  <c r="AA80" i="77"/>
  <c r="AA81" i="77"/>
  <c r="AA96" i="77"/>
  <c r="AA97" i="77"/>
  <c r="AA103" i="77"/>
  <c r="AA106" i="77"/>
  <c r="AA109" i="77"/>
  <c r="AA112" i="77"/>
  <c r="AA115" i="77"/>
  <c r="AA118" i="77"/>
  <c r="AA24" i="77"/>
  <c r="AA29" i="77"/>
  <c r="AA30" i="77"/>
  <c r="AA31" i="77"/>
  <c r="AA34" i="77"/>
  <c r="AA36" i="77"/>
  <c r="AA47" i="77"/>
  <c r="AA48" i="77"/>
  <c r="AA53" i="77"/>
  <c r="AA59" i="77"/>
  <c r="AA66" i="77"/>
  <c r="AA67" i="77"/>
  <c r="AA68" i="77"/>
  <c r="AA82" i="77"/>
  <c r="AA87" i="77"/>
  <c r="AA92" i="77"/>
  <c r="AA98" i="77"/>
  <c r="AA101" i="77"/>
  <c r="AA107" i="77"/>
  <c r="AA110" i="77"/>
  <c r="AA116" i="77"/>
  <c r="AA25" i="77"/>
  <c r="AA26" i="77"/>
  <c r="AA35" i="77"/>
  <c r="AA49" i="77"/>
  <c r="AA69" i="77"/>
  <c r="AA70" i="77"/>
  <c r="AA83" i="77"/>
  <c r="AA84" i="77"/>
  <c r="AA88" i="77"/>
  <c r="AA23" i="77"/>
  <c r="AA76" i="77"/>
  <c r="AA77" i="77"/>
  <c r="AA99" i="77"/>
  <c r="AA100" i="77"/>
  <c r="AA22" i="77"/>
  <c r="AA57" i="77"/>
  <c r="AA102" i="77"/>
  <c r="AA113" i="77"/>
  <c r="AA114" i="77"/>
  <c r="R15" i="61"/>
  <c r="BO22" i="77"/>
  <c r="BP18" i="77"/>
  <c r="BO21" i="77"/>
  <c r="BO23" i="77"/>
  <c r="BM22" i="77"/>
  <c r="BL23" i="77"/>
  <c r="BM23" i="77" s="1"/>
  <c r="BN22" i="77"/>
  <c r="X59" i="77"/>
  <c r="X87" i="77"/>
  <c r="X101" i="77"/>
  <c r="X38" i="77"/>
  <c r="X45" i="77"/>
  <c r="X58" i="77"/>
  <c r="X68" i="77"/>
  <c r="X83" i="77"/>
  <c r="X97" i="77"/>
  <c r="X106" i="77"/>
  <c r="AJ18" i="77"/>
  <c r="X32" i="77"/>
  <c r="X47" i="77"/>
  <c r="X52" i="77"/>
  <c r="X79" i="77"/>
  <c r="X102" i="77"/>
  <c r="X114" i="77"/>
  <c r="X25" i="77"/>
  <c r="X93" i="77"/>
  <c r="X82" i="77"/>
  <c r="X73" i="77"/>
  <c r="X27" i="77"/>
  <c r="X113" i="77"/>
  <c r="X112" i="77"/>
  <c r="X61" i="77"/>
  <c r="X76" i="77"/>
  <c r="X24" i="77"/>
  <c r="X42" i="77"/>
  <c r="X53" i="77"/>
  <c r="X62" i="77"/>
  <c r="X72" i="77"/>
  <c r="X84" i="77"/>
  <c r="X99" i="77"/>
  <c r="X107" i="77"/>
  <c r="X21" i="77"/>
  <c r="X35" i="77"/>
  <c r="X48" i="77"/>
  <c r="X63" i="77"/>
  <c r="X85" i="77"/>
  <c r="X103" i="77"/>
  <c r="X118" i="77"/>
  <c r="X30" i="77"/>
  <c r="X96" i="77"/>
  <c r="X80" i="77"/>
  <c r="X54" i="77"/>
  <c r="X26" i="77"/>
  <c r="X91" i="77"/>
  <c r="X41" i="77"/>
  <c r="X23" i="77"/>
  <c r="X89" i="77"/>
  <c r="X108" i="77"/>
  <c r="X111" i="77"/>
  <c r="X33" i="77"/>
  <c r="X43" i="77"/>
  <c r="X55" i="77"/>
  <c r="X65" i="77"/>
  <c r="X78" i="77"/>
  <c r="X88" i="77"/>
  <c r="X100" i="77"/>
  <c r="X110" i="77"/>
  <c r="X29" i="77"/>
  <c r="X36" i="77"/>
  <c r="X49" i="77"/>
  <c r="X69" i="77"/>
  <c r="X86" i="77"/>
  <c r="X104" i="77"/>
  <c r="X119" i="77"/>
  <c r="X60" i="77"/>
  <c r="X22" i="77"/>
  <c r="X77" i="77"/>
  <c r="X39" i="77"/>
  <c r="X98" i="77"/>
  <c r="X71" i="77"/>
  <c r="X90" i="77"/>
  <c r="X34" i="77"/>
  <c r="AN23" i="77"/>
  <c r="BL24" i="77"/>
  <c r="BO24" i="77" s="1"/>
  <c r="AJ39" i="77"/>
  <c r="AJ100" i="77"/>
  <c r="AJ36" i="77"/>
  <c r="AJ52" i="77"/>
  <c r="AJ75" i="77"/>
  <c r="AJ118" i="77"/>
  <c r="AJ46" i="77"/>
  <c r="AJ61" i="77"/>
  <c r="AJ119" i="77"/>
  <c r="AJ30" i="77"/>
  <c r="AJ48" i="77"/>
  <c r="AJ57" i="77"/>
  <c r="AJ78" i="77"/>
  <c r="AJ31" i="77"/>
  <c r="AJ95" i="77"/>
  <c r="AJ43" i="77"/>
  <c r="AJ109" i="77"/>
  <c r="AJ59" i="77"/>
  <c r="AJ74" i="77"/>
  <c r="AJ70" i="77"/>
  <c r="AJ25" i="77"/>
  <c r="AJ26" i="77"/>
  <c r="AJ56" i="77"/>
  <c r="AJ102" i="77"/>
  <c r="AJ120" i="77"/>
  <c r="AJ58" i="77"/>
  <c r="AJ94" i="77"/>
  <c r="AJ23" i="77"/>
  <c r="AJ72" i="77"/>
  <c r="AJ45" i="77"/>
  <c r="AJ64" i="77"/>
  <c r="AJ96" i="77"/>
  <c r="AJ110" i="77"/>
  <c r="AJ66" i="77"/>
  <c r="AJ27" i="77"/>
  <c r="AJ97" i="77"/>
  <c r="AJ108" i="77"/>
  <c r="AJ24" i="77"/>
  <c r="AJ107" i="77"/>
  <c r="AJ44" i="77"/>
  <c r="AJ37" i="77"/>
  <c r="AJ89" i="77"/>
  <c r="AJ104" i="77"/>
  <c r="AJ55" i="77"/>
  <c r="AJ81" i="77"/>
  <c r="AJ111" i="77"/>
  <c r="AJ34" i="77"/>
  <c r="AJ83" i="77"/>
  <c r="AJ32" i="77"/>
  <c r="AJ65" i="77"/>
  <c r="AJ90" i="77"/>
  <c r="AJ35" i="77"/>
  <c r="AJ82" i="77"/>
  <c r="AJ42" i="77"/>
  <c r="AJ114" i="77"/>
  <c r="AJ85" i="77"/>
  <c r="AJ41" i="77"/>
  <c r="AJ38" i="77"/>
  <c r="AJ28" i="77"/>
  <c r="AJ22" i="77"/>
  <c r="AJ62" i="77"/>
  <c r="AJ86" i="77"/>
  <c r="AJ49" i="77"/>
  <c r="AJ99" i="77"/>
  <c r="AJ115" i="77"/>
  <c r="AJ50" i="77"/>
  <c r="AJ116" i="77"/>
  <c r="AJ91" i="77"/>
  <c r="AJ112" i="77"/>
  <c r="AJ93" i="77"/>
  <c r="AJ67" i="77"/>
  <c r="AJ63" i="77"/>
  <c r="AJ105" i="77"/>
  <c r="AJ71" i="77"/>
  <c r="AJ40" i="77"/>
  <c r="BQ18" i="77"/>
  <c r="BQ22" i="77" s="1"/>
  <c r="BP22" i="77"/>
  <c r="BP21" i="77"/>
  <c r="BR18" i="77"/>
  <c r="BR23" i="77" s="1"/>
  <c r="BQ21" i="77"/>
  <c r="BQ23" i="77"/>
  <c r="BL25" i="77"/>
  <c r="BN25" i="77" s="1"/>
  <c r="BR22" i="77"/>
  <c r="BR21" i="77"/>
  <c r="I6" i="61" l="1"/>
  <c r="Y21" i="77"/>
  <c r="Y113" i="77"/>
  <c r="AN105" i="77"/>
  <c r="CF25" i="77"/>
  <c r="BN23" i="77"/>
  <c r="CF34" i="77"/>
  <c r="AN52" i="77"/>
  <c r="CF22" i="77"/>
  <c r="CG18" i="77"/>
  <c r="CF29" i="77"/>
  <c r="Y46" i="77"/>
  <c r="AN96" i="77"/>
  <c r="AN102" i="77"/>
  <c r="AN22" i="77"/>
  <c r="AL58" i="77"/>
  <c r="AL82" i="77"/>
  <c r="AL95" i="77"/>
  <c r="O11" i="61"/>
  <c r="N11" i="61"/>
  <c r="Y92" i="77"/>
  <c r="Y108" i="77"/>
  <c r="Y39" i="77"/>
  <c r="Y29" i="77"/>
  <c r="Y107" i="77"/>
  <c r="Y93" i="77"/>
  <c r="Y98" i="77"/>
  <c r="Y112" i="77"/>
  <c r="AN31" i="77"/>
  <c r="Y70" i="77"/>
  <c r="Y116" i="77"/>
  <c r="Y68" i="77"/>
  <c r="AL94" i="77"/>
  <c r="H30" i="61"/>
  <c r="H19" i="61"/>
  <c r="U11" i="61"/>
  <c r="K22" i="61"/>
  <c r="H25" i="61"/>
  <c r="H22" i="61"/>
  <c r="H33" i="61"/>
  <c r="H31" i="61"/>
  <c r="AL41" i="77"/>
  <c r="Y97" i="77"/>
  <c r="AN41" i="77"/>
  <c r="CF32" i="77"/>
  <c r="CF26" i="77"/>
  <c r="CF21" i="77"/>
  <c r="AL104" i="77"/>
  <c r="AN30" i="77"/>
  <c r="AN117" i="77"/>
  <c r="AN32" i="77"/>
  <c r="AL52" i="77"/>
  <c r="AL80" i="77"/>
  <c r="T11" i="61"/>
  <c r="K24" i="61"/>
  <c r="Y23" i="77"/>
  <c r="Y61" i="77"/>
  <c r="Y26" i="77"/>
  <c r="Y86" i="77"/>
  <c r="Y45" i="77"/>
  <c r="Y72" i="77"/>
  <c r="Y47" i="77"/>
  <c r="Y110" i="77"/>
  <c r="Y40" i="77"/>
  <c r="Y48" i="77"/>
  <c r="Y90" i="77"/>
  <c r="Y32" i="77"/>
  <c r="Y24" i="77"/>
  <c r="Y57" i="77"/>
  <c r="Y76" i="77"/>
  <c r="H7" i="73"/>
  <c r="H27" i="61"/>
  <c r="CF27" i="77"/>
  <c r="AN79" i="77"/>
  <c r="AN68" i="77"/>
  <c r="AN47" i="77"/>
  <c r="AN56" i="77"/>
  <c r="AL66" i="77"/>
  <c r="AL65" i="77"/>
  <c r="H8" i="73"/>
  <c r="E65" i="73" s="1"/>
  <c r="K21" i="61" s="1"/>
  <c r="D66" i="73" s="1"/>
  <c r="Z11" i="61" s="1"/>
  <c r="H23" i="61"/>
  <c r="Y71" i="77"/>
  <c r="Y78" i="77"/>
  <c r="Y101" i="77"/>
  <c r="Y114" i="77"/>
  <c r="Y82" i="77"/>
  <c r="AK18" i="77"/>
  <c r="Y55" i="77"/>
  <c r="Y27" i="77"/>
  <c r="Y33" i="77"/>
  <c r="Y66" i="77"/>
  <c r="Y28" i="77"/>
  <c r="Y25" i="77"/>
  <c r="AN61" i="77"/>
  <c r="AN74" i="77"/>
  <c r="Y62" i="77"/>
  <c r="Y50" i="77"/>
  <c r="Y37" i="77"/>
  <c r="AN43" i="77"/>
  <c r="CF31" i="77"/>
  <c r="BP23" i="77"/>
  <c r="AN88" i="77"/>
  <c r="CF24" i="77"/>
  <c r="AN112" i="77"/>
  <c r="AN59" i="77"/>
  <c r="AN24" i="77"/>
  <c r="AL40" i="77"/>
  <c r="AL110" i="77"/>
  <c r="AL32" i="77"/>
  <c r="U3" i="61"/>
  <c r="L11" i="61"/>
  <c r="Y79" i="77"/>
  <c r="Y75" i="77"/>
  <c r="Y51" i="77"/>
  <c r="Y73" i="77"/>
  <c r="Y59" i="77"/>
  <c r="Y105" i="77"/>
  <c r="Y100" i="77"/>
  <c r="Y109" i="77"/>
  <c r="AN82" i="77"/>
  <c r="Y106" i="77"/>
  <c r="Y81" i="77"/>
  <c r="Y119" i="77"/>
  <c r="Y53" i="77"/>
  <c r="AC24" i="77"/>
  <c r="AN114" i="77"/>
  <c r="AL67" i="77"/>
  <c r="Y120" i="77"/>
  <c r="Y89" i="77"/>
  <c r="Y69" i="77"/>
  <c r="AL48" i="77"/>
  <c r="AN75" i="77"/>
  <c r="AN71" i="77"/>
  <c r="AN28" i="77"/>
  <c r="AL45" i="77"/>
  <c r="AL88" i="77"/>
  <c r="AL74" i="77"/>
  <c r="R11" i="61"/>
  <c r="H6" i="73"/>
  <c r="Y38" i="77"/>
  <c r="Y67" i="77"/>
  <c r="Y85" i="77"/>
  <c r="Y77" i="77"/>
  <c r="Y74" i="77"/>
  <c r="Y111" i="77"/>
  <c r="Y31" i="77"/>
  <c r="Y65" i="77"/>
  <c r="AN92" i="77"/>
  <c r="Y42" i="77"/>
  <c r="Y58" i="77"/>
  <c r="Y115" i="77"/>
  <c r="V11" i="61"/>
  <c r="Y96" i="77"/>
  <c r="B2" i="78"/>
  <c r="AN90" i="77"/>
  <c r="AL107" i="77"/>
  <c r="Y49" i="77"/>
  <c r="Y87" i="77"/>
  <c r="Y104" i="77"/>
  <c r="CF33" i="77"/>
  <c r="AN84" i="77"/>
  <c r="CF28" i="77"/>
  <c r="Y64" i="77"/>
  <c r="AN49" i="77"/>
  <c r="AN51" i="77"/>
  <c r="AN118" i="77"/>
  <c r="AL108" i="77"/>
  <c r="AL61" i="77"/>
  <c r="I7" i="61"/>
  <c r="H21" i="61"/>
  <c r="Y52" i="77"/>
  <c r="Y36" i="77"/>
  <c r="Y84" i="77"/>
  <c r="Y44" i="77"/>
  <c r="Y118" i="77"/>
  <c r="Y80" i="77"/>
  <c r="Y99" i="77"/>
  <c r="Y30" i="77"/>
  <c r="AN115" i="77"/>
  <c r="Y102" i="77"/>
  <c r="Y60" i="77"/>
  <c r="Y35" i="77"/>
  <c r="H24" i="61"/>
  <c r="AN104" i="77"/>
  <c r="AE7" i="61"/>
  <c r="AE8" i="61" s="1"/>
  <c r="AG7" i="61" s="1"/>
  <c r="AI7" i="61" s="1"/>
  <c r="AR51" i="77"/>
  <c r="AR35" i="77"/>
  <c r="AR54" i="77"/>
  <c r="AR57" i="77"/>
  <c r="AR72" i="77"/>
  <c r="AR104" i="77"/>
  <c r="AR85" i="77"/>
  <c r="AR47" i="77"/>
  <c r="AR83" i="77"/>
  <c r="AR111" i="77"/>
  <c r="AR97" i="77"/>
  <c r="AR56" i="77"/>
  <c r="AR82" i="77"/>
  <c r="AR110" i="77"/>
  <c r="AR34" i="77"/>
  <c r="AR112" i="77"/>
  <c r="AR103" i="77"/>
  <c r="AR70" i="77"/>
  <c r="AR73" i="77"/>
  <c r="AR94" i="77"/>
  <c r="AR65" i="77"/>
  <c r="AR39" i="77"/>
  <c r="AR33" i="77"/>
  <c r="AR25" i="77"/>
  <c r="AR55" i="77"/>
  <c r="AR40" i="77"/>
  <c r="AR58" i="77"/>
  <c r="AR28" i="77"/>
  <c r="AR84" i="77"/>
  <c r="AR108" i="77"/>
  <c r="AR93" i="77"/>
  <c r="AR63" i="77"/>
  <c r="AR91" i="77"/>
  <c r="AR115" i="77"/>
  <c r="AR105" i="77"/>
  <c r="AR62" i="77"/>
  <c r="AR90" i="77"/>
  <c r="AR37" i="77"/>
  <c r="AR23" i="77"/>
  <c r="AR24" i="77"/>
  <c r="AR41" i="77"/>
  <c r="AR119" i="77"/>
  <c r="AR86" i="77"/>
  <c r="AR102" i="77"/>
  <c r="AR64" i="77"/>
  <c r="AR74" i="77"/>
  <c r="AR99" i="77"/>
  <c r="AR120" i="77"/>
  <c r="AR36" i="77"/>
  <c r="AR27" i="77"/>
  <c r="AR44" i="77"/>
  <c r="AR21" i="77"/>
  <c r="AR60" i="77"/>
  <c r="AR88" i="77"/>
  <c r="AR116" i="77"/>
  <c r="AR43" i="77"/>
  <c r="AR67" i="77"/>
  <c r="AR95" i="77"/>
  <c r="AR69" i="77"/>
  <c r="AR22" i="77"/>
  <c r="AR66" i="77"/>
  <c r="AR98" i="77"/>
  <c r="AR81" i="77"/>
  <c r="AR31" i="77"/>
  <c r="AR80" i="77"/>
  <c r="AR49" i="77"/>
  <c r="AR89" i="77"/>
  <c r="AR118" i="77"/>
  <c r="AR117" i="77"/>
  <c r="AR42" i="77"/>
  <c r="AR30" i="77"/>
  <c r="AR79" i="77"/>
  <c r="AR100" i="77"/>
  <c r="AR48" i="77"/>
  <c r="AR32" i="77"/>
  <c r="AR29" i="77"/>
  <c r="AR46" i="77"/>
  <c r="AR53" i="77"/>
  <c r="AR68" i="77"/>
  <c r="AR92" i="77"/>
  <c r="AR61" i="77"/>
  <c r="AR45" i="77"/>
  <c r="AR75" i="77"/>
  <c r="AR107" i="77"/>
  <c r="AR77" i="77"/>
  <c r="AR26" i="77"/>
  <c r="AR78" i="77"/>
  <c r="AR106" i="77"/>
  <c r="AR109" i="77"/>
  <c r="AR50" i="77"/>
  <c r="AR96" i="77"/>
  <c r="AR71" i="77"/>
  <c r="AR52" i="77"/>
  <c r="AR113" i="77"/>
  <c r="AR87" i="77"/>
  <c r="AR114" i="77"/>
  <c r="AR101" i="77"/>
  <c r="AR59" i="77"/>
  <c r="AR76" i="77"/>
  <c r="AR38" i="77"/>
  <c r="AU35" i="77"/>
  <c r="AU36" i="77" s="1"/>
  <c r="AU37" i="77" s="1"/>
  <c r="AU38" i="77" s="1"/>
  <c r="AN55" i="77"/>
  <c r="CW8" i="72"/>
  <c r="DI8" i="72" s="1"/>
  <c r="Q25" i="61"/>
  <c r="BR25" i="77"/>
  <c r="BQ24" i="77"/>
  <c r="X11" i="61"/>
  <c r="BM25" i="77"/>
  <c r="AN73" i="77"/>
  <c r="CF8" i="72"/>
  <c r="BF8" i="72"/>
  <c r="BA8" i="72"/>
  <c r="AZ8" i="72" s="1"/>
  <c r="BC8" i="72"/>
  <c r="I8" i="72"/>
  <c r="AM8" i="72" s="1"/>
  <c r="CM8" i="72" s="1"/>
  <c r="BY8" i="72"/>
  <c r="DG8" i="72"/>
  <c r="CU8" i="72"/>
  <c r="CY8" i="72" s="1"/>
  <c r="S15" i="61"/>
  <c r="AN8" i="72"/>
  <c r="CN8" i="72" s="1"/>
  <c r="BR24" i="77"/>
  <c r="BP25" i="77"/>
  <c r="BN24" i="77"/>
  <c r="BS18" i="77"/>
  <c r="BR26" i="77"/>
  <c r="BQ25" i="77"/>
  <c r="BL26" i="77"/>
  <c r="BP24" i="77"/>
  <c r="BM24" i="77"/>
  <c r="BO25" i="77"/>
  <c r="CG32" i="77"/>
  <c r="CG36" i="77"/>
  <c r="CG24" i="77"/>
  <c r="CG23" i="77"/>
  <c r="CG29" i="77"/>
  <c r="CG37" i="77"/>
  <c r="CG31" i="77"/>
  <c r="CG27" i="77"/>
  <c r="CG38" i="77"/>
  <c r="CQ8" i="72"/>
  <c r="AJ51" i="77"/>
  <c r="AJ92" i="77"/>
  <c r="AJ88" i="77"/>
  <c r="AJ29" i="77"/>
  <c r="AJ103" i="77"/>
  <c r="AJ87" i="77"/>
  <c r="AJ106" i="77"/>
  <c r="AJ76" i="77"/>
  <c r="AJ80" i="77"/>
  <c r="AJ68" i="77"/>
  <c r="AJ21" i="77"/>
  <c r="AJ113" i="77"/>
  <c r="AJ79" i="77"/>
  <c r="AJ60" i="77"/>
  <c r="AJ47" i="77"/>
  <c r="AJ77" i="77"/>
  <c r="AJ101" i="77"/>
  <c r="AJ53" i="77"/>
  <c r="AJ33" i="77"/>
  <c r="AJ69" i="77"/>
  <c r="AJ73" i="77"/>
  <c r="AJ98" i="77"/>
  <c r="AJ84" i="77"/>
  <c r="AJ54" i="77"/>
  <c r="AJ117" i="77"/>
  <c r="AL34" i="77"/>
  <c r="AL105" i="77"/>
  <c r="AL100" i="77"/>
  <c r="AL90" i="77"/>
  <c r="AL26" i="77"/>
  <c r="AL22" i="77"/>
  <c r="AL86" i="77"/>
  <c r="AL97" i="77"/>
  <c r="AL92" i="77"/>
  <c r="AL87" i="77"/>
  <c r="AL33" i="77"/>
  <c r="AL106" i="77"/>
  <c r="AL35" i="77"/>
  <c r="AL116" i="77"/>
  <c r="AL64" i="77"/>
  <c r="AL83" i="77"/>
  <c r="AL62" i="77"/>
  <c r="AL93" i="77"/>
  <c r="AL30" i="77"/>
  <c r="AL109" i="77"/>
  <c r="AL69" i="77"/>
  <c r="AL84" i="77"/>
  <c r="AL75" i="77"/>
  <c r="AL28" i="77"/>
  <c r="AL103" i="77"/>
  <c r="AL24" i="77"/>
  <c r="AL115" i="77"/>
  <c r="AL76" i="77"/>
  <c r="AL39" i="77"/>
  <c r="AL118" i="77"/>
  <c r="AL63" i="77"/>
  <c r="AL120" i="77"/>
  <c r="AL117" i="77"/>
  <c r="AL49" i="77"/>
  <c r="AL42" i="77"/>
  <c r="AL99" i="77"/>
  <c r="AL56" i="77"/>
  <c r="AL21" i="77"/>
  <c r="AL77" i="77"/>
  <c r="AL71" i="77"/>
  <c r="AL114" i="77"/>
  <c r="AL55" i="77"/>
  <c r="AL29" i="77"/>
  <c r="AL111" i="77"/>
  <c r="AL113" i="77"/>
  <c r="AL112" i="77"/>
  <c r="AL50" i="77"/>
  <c r="AL119" i="77"/>
  <c r="AL79" i="77"/>
  <c r="AL98" i="77"/>
  <c r="AL70" i="77"/>
  <c r="AL96" i="77"/>
  <c r="AL31" i="77"/>
  <c r="AL68" i="77"/>
  <c r="AL57" i="77"/>
  <c r="AL89" i="77"/>
  <c r="AL85" i="77"/>
  <c r="AL72" i="77"/>
  <c r="AL36" i="77"/>
  <c r="AL37" i="77"/>
  <c r="AL23" i="77"/>
  <c r="AL73" i="77"/>
  <c r="AL44" i="77"/>
  <c r="AL51" i="77"/>
  <c r="AL91" i="77"/>
  <c r="AL81" i="77"/>
  <c r="AL46" i="77"/>
  <c r="AL53" i="77"/>
  <c r="AL27" i="77"/>
  <c r="AL38" i="77"/>
  <c r="AL43" i="77"/>
  <c r="AL101" i="77"/>
  <c r="AL102" i="77"/>
  <c r="AL25" i="77"/>
  <c r="AL54" i="77"/>
  <c r="AN57" i="77"/>
  <c r="AN106" i="77"/>
  <c r="AN38" i="77"/>
  <c r="AN81" i="77"/>
  <c r="AN34" i="77"/>
  <c r="AN72" i="77"/>
  <c r="AN54" i="77"/>
  <c r="AN100" i="77"/>
  <c r="AN26" i="77"/>
  <c r="AN95" i="77"/>
  <c r="AN45" i="77"/>
  <c r="CG8" i="72"/>
  <c r="H8" i="72"/>
  <c r="BB8" i="72"/>
  <c r="AN116" i="77"/>
  <c r="AA61" i="77"/>
  <c r="U13" i="61"/>
  <c r="AN89" i="77"/>
  <c r="AN62" i="77"/>
  <c r="AN25" i="77"/>
  <c r="AN107" i="77"/>
  <c r="AN86" i="77"/>
  <c r="AN76" i="77"/>
  <c r="AN64" i="77"/>
  <c r="AN78" i="77"/>
  <c r="AN120" i="77"/>
  <c r="AN27" i="77"/>
  <c r="AN108" i="77"/>
  <c r="AN33" i="77"/>
  <c r="AN69" i="77"/>
  <c r="AN113" i="77"/>
  <c r="AN36" i="77"/>
  <c r="AN91" i="77"/>
  <c r="AN37" i="77"/>
  <c r="AN101" i="77"/>
  <c r="AN93" i="77"/>
  <c r="AN63" i="77"/>
  <c r="AN67" i="77"/>
  <c r="AN50" i="77"/>
  <c r="AN42" i="77"/>
  <c r="AN60" i="77"/>
  <c r="AN85" i="77"/>
  <c r="AN109" i="77"/>
  <c r="AN46" i="77"/>
  <c r="AN111" i="77"/>
  <c r="AN98" i="77"/>
  <c r="AN87" i="77"/>
  <c r="AN99" i="77"/>
  <c r="AN21" i="77"/>
  <c r="AN119" i="77"/>
  <c r="AN58" i="77"/>
  <c r="AN80" i="77"/>
  <c r="AN94" i="77"/>
  <c r="AN48" i="77"/>
  <c r="AN110" i="77"/>
  <c r="AN44" i="77"/>
  <c r="AN83" i="77"/>
  <c r="AN103" i="77"/>
  <c r="AN77" i="77"/>
  <c r="AN39" i="77"/>
  <c r="AN65" i="77"/>
  <c r="AN35" i="77"/>
  <c r="AN53" i="77"/>
  <c r="AN66" i="77"/>
  <c r="AA39" i="77"/>
  <c r="AA93" i="77"/>
  <c r="AA119" i="77"/>
  <c r="AA46" i="77"/>
  <c r="AM18" i="77"/>
  <c r="AA40" i="77"/>
  <c r="AA44" i="77"/>
  <c r="Q26" i="61"/>
  <c r="AH18" i="77"/>
  <c r="AI51" i="77"/>
  <c r="AI101" i="77"/>
  <c r="AI53" i="77"/>
  <c r="AI44" i="77"/>
  <c r="AI103" i="77"/>
  <c r="AI111" i="77"/>
  <c r="AI55" i="77"/>
  <c r="AI28" i="77"/>
  <c r="AI31" i="77"/>
  <c r="AI68" i="77"/>
  <c r="AI52" i="77"/>
  <c r="AI22" i="77"/>
  <c r="AI35" i="77"/>
  <c r="AI62" i="77"/>
  <c r="AI75" i="77"/>
  <c r="AI57" i="77"/>
  <c r="AI76" i="77"/>
  <c r="AI30" i="77"/>
  <c r="AI106" i="77"/>
  <c r="AI115" i="77"/>
  <c r="AI74" i="77"/>
  <c r="AI120" i="77"/>
  <c r="AI66" i="77"/>
  <c r="AI23" i="77"/>
  <c r="AI112" i="77"/>
  <c r="AI96" i="77"/>
  <c r="AI102" i="77"/>
  <c r="AI34" i="77"/>
  <c r="AI60" i="77"/>
  <c r="AI65" i="77"/>
  <c r="AI83" i="77"/>
  <c r="AI82" i="77"/>
  <c r="AI72" i="77"/>
  <c r="AI71" i="77"/>
  <c r="AI29" i="77"/>
  <c r="AI39" i="77"/>
  <c r="AI90" i="77"/>
  <c r="AI118" i="77"/>
  <c r="AI41" i="77"/>
  <c r="AI61" i="77"/>
  <c r="AI84" i="77"/>
  <c r="AI40" i="77"/>
  <c r="AI32" i="77"/>
  <c r="AI69" i="77"/>
  <c r="AI94" i="77"/>
  <c r="AI48" i="77"/>
  <c r="AI91" i="77"/>
  <c r="V88" i="77"/>
  <c r="V87" i="77"/>
  <c r="V86" i="77"/>
  <c r="V73" i="77"/>
  <c r="V67" i="77"/>
  <c r="V57" i="77"/>
  <c r="V51" i="77"/>
  <c r="V49" i="77"/>
  <c r="V37" i="77"/>
  <c r="V30" i="77"/>
  <c r="V119" i="77"/>
  <c r="V118" i="77"/>
  <c r="V117" i="77"/>
  <c r="V116" i="77"/>
  <c r="V115" i="77"/>
  <c r="V114" i="77"/>
  <c r="V96" i="77"/>
  <c r="V91" i="77"/>
  <c r="V85" i="77"/>
  <c r="V84" i="77"/>
  <c r="V79" i="77"/>
  <c r="V77" i="77"/>
  <c r="V72" i="77"/>
  <c r="V66" i="77"/>
  <c r="V65" i="77"/>
  <c r="V58" i="77"/>
  <c r="V53" i="77"/>
  <c r="V48" i="77"/>
  <c r="V45" i="77"/>
  <c r="V42" i="77"/>
  <c r="V29" i="77"/>
  <c r="V24" i="77"/>
  <c r="V99" i="77"/>
  <c r="V98" i="77"/>
  <c r="V97" i="77"/>
  <c r="V80" i="77"/>
  <c r="V62" i="77"/>
  <c r="V52" i="77"/>
  <c r="V25" i="77"/>
  <c r="V22" i="77"/>
  <c r="V21" i="77"/>
  <c r="V120" i="77"/>
  <c r="V113" i="77"/>
  <c r="V112" i="77"/>
  <c r="V95" i="77"/>
  <c r="V93" i="77"/>
  <c r="V92" i="77"/>
  <c r="V90" i="77"/>
  <c r="V83" i="77"/>
  <c r="V82" i="77"/>
  <c r="V78" i="77"/>
  <c r="V76" i="77"/>
  <c r="V75" i="77"/>
  <c r="V71" i="77"/>
  <c r="V70" i="77"/>
  <c r="V64" i="77"/>
  <c r="V56" i="77"/>
  <c r="V54" i="77"/>
  <c r="V50" i="77"/>
  <c r="V47" i="77"/>
  <c r="V44" i="77"/>
  <c r="V38" i="77"/>
  <c r="V35" i="77"/>
  <c r="V34" i="77"/>
  <c r="V32" i="77"/>
  <c r="V28" i="77"/>
  <c r="AL13" i="61"/>
  <c r="AO13" i="61"/>
  <c r="AK13" i="61"/>
  <c r="W11" i="61" l="1"/>
  <c r="DH8" i="72"/>
  <c r="AK120" i="77"/>
  <c r="AK115" i="77"/>
  <c r="AK21" i="77"/>
  <c r="AK75" i="77"/>
  <c r="AK100" i="77"/>
  <c r="AK69" i="77"/>
  <c r="AK103" i="77"/>
  <c r="AK93" i="77"/>
  <c r="AK104" i="77"/>
  <c r="AK29" i="77"/>
  <c r="AK37" i="77"/>
  <c r="AK52" i="77"/>
  <c r="AK74" i="77"/>
  <c r="AK25" i="77"/>
  <c r="AK51" i="77"/>
  <c r="AK32" i="77"/>
  <c r="AK91" i="77"/>
  <c r="AK70" i="77"/>
  <c r="AK63" i="77"/>
  <c r="AK85" i="77"/>
  <c r="AK110" i="77"/>
  <c r="AK60" i="77"/>
  <c r="AK86" i="77"/>
  <c r="AK71" i="77"/>
  <c r="AK89" i="77"/>
  <c r="AK114" i="77"/>
  <c r="AK26" i="77"/>
  <c r="AK48" i="77"/>
  <c r="AK77" i="77"/>
  <c r="AK82" i="77"/>
  <c r="AK39" i="77"/>
  <c r="AK23" i="77"/>
  <c r="AK28" i="77"/>
  <c r="AK56" i="77"/>
  <c r="AK65" i="77"/>
  <c r="AK54" i="77"/>
  <c r="AK94" i="77"/>
  <c r="AK83" i="77"/>
  <c r="AK43" i="77"/>
  <c r="AK49" i="77"/>
  <c r="AK84" i="77"/>
  <c r="AK30" i="77"/>
  <c r="AK57" i="77"/>
  <c r="AK109" i="77"/>
  <c r="AK59" i="77"/>
  <c r="AK38" i="77"/>
  <c r="AK67" i="77"/>
  <c r="AK41" i="77"/>
  <c r="AK40" i="77"/>
  <c r="AK31" i="77"/>
  <c r="AK102" i="77"/>
  <c r="AK33" i="77"/>
  <c r="AK106" i="77"/>
  <c r="AK101" i="77"/>
  <c r="AK34" i="77"/>
  <c r="AK72" i="77"/>
  <c r="AK35" i="77"/>
  <c r="AK22" i="77"/>
  <c r="AK97" i="77"/>
  <c r="AK68" i="77"/>
  <c r="AK76" i="77"/>
  <c r="AK46" i="77"/>
  <c r="AK36" i="77"/>
  <c r="AK96" i="77"/>
  <c r="AK50" i="77"/>
  <c r="AK107" i="77"/>
  <c r="AK105" i="77"/>
  <c r="AK90" i="77"/>
  <c r="AK116" i="77"/>
  <c r="AK112" i="77"/>
  <c r="AK117" i="77"/>
  <c r="AK81" i="77"/>
  <c r="AK80" i="77"/>
  <c r="AK118" i="77"/>
  <c r="AK79" i="77"/>
  <c r="AK119" i="77"/>
  <c r="AK88" i="77"/>
  <c r="AK47" i="77"/>
  <c r="AK55" i="77"/>
  <c r="AK58" i="77"/>
  <c r="AK92" i="77"/>
  <c r="AK73" i="77"/>
  <c r="AK64" i="77"/>
  <c r="AK99" i="77"/>
  <c r="AK24" i="77"/>
  <c r="AK44" i="77"/>
  <c r="AK111" i="77"/>
  <c r="AK98" i="77"/>
  <c r="AK27" i="77"/>
  <c r="AK45" i="77"/>
  <c r="AK42" i="77"/>
  <c r="AK95" i="77"/>
  <c r="AK87" i="77"/>
  <c r="AK61" i="77"/>
  <c r="AK66" i="77"/>
  <c r="AK113" i="77"/>
  <c r="AK53" i="77"/>
  <c r="AK108" i="77"/>
  <c r="AK62" i="77"/>
  <c r="AK78" i="77"/>
  <c r="CG33" i="77"/>
  <c r="CG34" i="77"/>
  <c r="CG35" i="77"/>
  <c r="CG26" i="77"/>
  <c r="CG30" i="77"/>
  <c r="CG22" i="77"/>
  <c r="CG21" i="77"/>
  <c r="CG28" i="77"/>
  <c r="CH18" i="77"/>
  <c r="CG25" i="77"/>
  <c r="CO8" i="72"/>
  <c r="U15" i="61"/>
  <c r="AF13" i="61"/>
  <c r="AL8" i="72"/>
  <c r="CL8" i="72" s="1"/>
  <c r="BD8" i="72"/>
  <c r="BO8" i="72" s="1"/>
  <c r="CV8" i="72"/>
  <c r="CP8" i="72" s="1"/>
  <c r="DA8" i="72"/>
  <c r="CZ8" i="72"/>
  <c r="AL15" i="61"/>
  <c r="BM26" i="77"/>
  <c r="BP26" i="77"/>
  <c r="BO26" i="77"/>
  <c r="BQ26" i="77"/>
  <c r="BN26" i="77"/>
  <c r="BL27" i="77"/>
  <c r="BS21" i="77"/>
  <c r="BS23" i="77"/>
  <c r="BS26" i="77"/>
  <c r="BS24" i="77"/>
  <c r="BS25" i="77"/>
  <c r="BS27" i="77"/>
  <c r="BS22" i="77"/>
  <c r="BT18" i="77"/>
  <c r="AM86" i="77"/>
  <c r="AM115" i="77"/>
  <c r="AM105" i="77"/>
  <c r="AM97" i="77"/>
  <c r="AM113" i="77"/>
  <c r="AM93" i="77"/>
  <c r="AM43" i="77"/>
  <c r="AM36" i="77"/>
  <c r="AM51" i="77"/>
  <c r="AM29" i="77"/>
  <c r="AM83" i="77"/>
  <c r="AM118" i="77"/>
  <c r="AM40" i="77"/>
  <c r="AM37" i="77"/>
  <c r="AM25" i="77"/>
  <c r="AM33" i="77"/>
  <c r="AM42" i="77"/>
  <c r="AM88" i="77"/>
  <c r="AM54" i="77"/>
  <c r="AM95" i="77"/>
  <c r="AM114" i="77"/>
  <c r="AM62" i="77"/>
  <c r="AM77" i="77"/>
  <c r="AM41" i="77"/>
  <c r="AM101" i="77"/>
  <c r="AM73" i="77"/>
  <c r="AM26" i="77"/>
  <c r="AM23" i="77"/>
  <c r="AM78" i="77"/>
  <c r="AM82" i="77"/>
  <c r="AM72" i="77"/>
  <c r="AM117" i="77"/>
  <c r="AM85" i="77"/>
  <c r="AM45" i="77"/>
  <c r="AM119" i="77"/>
  <c r="AM56" i="77"/>
  <c r="AM102" i="77"/>
  <c r="AM49" i="77"/>
  <c r="AM70" i="77"/>
  <c r="AM120" i="77"/>
  <c r="AM53" i="77"/>
  <c r="AM94" i="77"/>
  <c r="AM27" i="77"/>
  <c r="AM99" i="77"/>
  <c r="AM34" i="77"/>
  <c r="AM91" i="77"/>
  <c r="AM71" i="77"/>
  <c r="AM68" i="77"/>
  <c r="AM76" i="77"/>
  <c r="AM110" i="77"/>
  <c r="AM79" i="77"/>
  <c r="AM57" i="77"/>
  <c r="AM87" i="77"/>
  <c r="AM35" i="77"/>
  <c r="AM38" i="77"/>
  <c r="AM60" i="77"/>
  <c r="AM98" i="77"/>
  <c r="AM74" i="77"/>
  <c r="AM106" i="77"/>
  <c r="AM84" i="77"/>
  <c r="AM48" i="77"/>
  <c r="AM50" i="77"/>
  <c r="AM63" i="77"/>
  <c r="AM59" i="77"/>
  <c r="AM30" i="77"/>
  <c r="AM103" i="77"/>
  <c r="AM112" i="77"/>
  <c r="AM58" i="77"/>
  <c r="AM32" i="77"/>
  <c r="AM47" i="77"/>
  <c r="AM89" i="77"/>
  <c r="AM90" i="77"/>
  <c r="AM52" i="77"/>
  <c r="AM24" i="77"/>
  <c r="AM100" i="77"/>
  <c r="AM104" i="77"/>
  <c r="AM61" i="77"/>
  <c r="AM69" i="77"/>
  <c r="AM31" i="77"/>
  <c r="AM81" i="77"/>
  <c r="AM28" i="77"/>
  <c r="AM75" i="77"/>
  <c r="AM80" i="77"/>
  <c r="AM46" i="77"/>
  <c r="AM67" i="77"/>
  <c r="AM55" i="77"/>
  <c r="AM39" i="77"/>
  <c r="AM108" i="77"/>
  <c r="AM96" i="77"/>
  <c r="AM66" i="77"/>
  <c r="AM116" i="77"/>
  <c r="AM107" i="77"/>
  <c r="AM92" i="77"/>
  <c r="AM64" i="77"/>
  <c r="AM22" i="77"/>
  <c r="AM21" i="77"/>
  <c r="AM44" i="77"/>
  <c r="AM111" i="77"/>
  <c r="AM109" i="77"/>
  <c r="AM65" i="77"/>
  <c r="AH81" i="77"/>
  <c r="AH93" i="77"/>
  <c r="AH67" i="77"/>
  <c r="AH45" i="77"/>
  <c r="AH90" i="77"/>
  <c r="AH38" i="77"/>
  <c r="AH39" i="77"/>
  <c r="AH96" i="77"/>
  <c r="AH92" i="77"/>
  <c r="AH65" i="77"/>
  <c r="AH113" i="77"/>
  <c r="AH84" i="77"/>
  <c r="AH58" i="77"/>
  <c r="AH59" i="77"/>
  <c r="AH117" i="77"/>
  <c r="AH112" i="77"/>
  <c r="AH32" i="77"/>
  <c r="AH78" i="77"/>
  <c r="AH50" i="77"/>
  <c r="AH77" i="77"/>
  <c r="AH57" i="77"/>
  <c r="AH74" i="77"/>
  <c r="AH111" i="77"/>
  <c r="AH51" i="77"/>
  <c r="AH98" i="77"/>
  <c r="AH23" i="77"/>
  <c r="AH79" i="77"/>
  <c r="AH86" i="77"/>
  <c r="AH60" i="77"/>
  <c r="AH107" i="77"/>
  <c r="AH37" i="77"/>
  <c r="AH85" i="77"/>
  <c r="AH49" i="77"/>
  <c r="AH82" i="77"/>
  <c r="AH116" i="77"/>
  <c r="AH115" i="77"/>
  <c r="AH120" i="77"/>
  <c r="AH94" i="77"/>
  <c r="AH106" i="77"/>
  <c r="AH99" i="77"/>
  <c r="AH46" i="77"/>
  <c r="AH105" i="77"/>
  <c r="AH70" i="77"/>
  <c r="AH47" i="77"/>
  <c r="AH52" i="77"/>
  <c r="AH108" i="77"/>
  <c r="AH25" i="77"/>
  <c r="AH24" i="77"/>
  <c r="AH73" i="77"/>
  <c r="AH35" i="77"/>
  <c r="AH48" i="77"/>
  <c r="AH104" i="77"/>
  <c r="AH83" i="77"/>
  <c r="AH114" i="77"/>
  <c r="AH62" i="77"/>
  <c r="AH61" i="77"/>
  <c r="AH21" i="77"/>
  <c r="AH27" i="77"/>
  <c r="AH88" i="77"/>
  <c r="AH28" i="77"/>
  <c r="AH26" i="77"/>
  <c r="AH80" i="77"/>
  <c r="AH76" i="77"/>
  <c r="AH63" i="77"/>
  <c r="AH109" i="77"/>
  <c r="AH68" i="77"/>
  <c r="AH44" i="77"/>
  <c r="AH31" i="77"/>
  <c r="AH101" i="77"/>
  <c r="AH103" i="77"/>
  <c r="AH75" i="77"/>
  <c r="AH54" i="77"/>
  <c r="AH42" i="77"/>
  <c r="AH33" i="77"/>
  <c r="AH87" i="77"/>
  <c r="AH55" i="77"/>
  <c r="AH102" i="77"/>
  <c r="AH22" i="77"/>
  <c r="AH66" i="77"/>
  <c r="AH97" i="77"/>
  <c r="AH71" i="77"/>
  <c r="AH119" i="77"/>
  <c r="AH64" i="77"/>
  <c r="AH29" i="77"/>
  <c r="AH36" i="77"/>
  <c r="AH89" i="77"/>
  <c r="AH30" i="77"/>
  <c r="AH41" i="77"/>
  <c r="AH56" i="77"/>
  <c r="AH100" i="77"/>
  <c r="AH40" i="77"/>
  <c r="AH43" i="77"/>
  <c r="AH72" i="77"/>
  <c r="AH69" i="77"/>
  <c r="AH53" i="77"/>
  <c r="AH118" i="77"/>
  <c r="AH110" i="77"/>
  <c r="AH34" i="77"/>
  <c r="AH95" i="77"/>
  <c r="AH91" i="77"/>
  <c r="AM13" i="61"/>
  <c r="AN13" i="61"/>
  <c r="AJ13" i="61"/>
  <c r="CH36" i="77" l="1"/>
  <c r="CH22" i="77"/>
  <c r="CH34" i="77"/>
  <c r="CH31" i="77"/>
  <c r="CH24" i="77"/>
  <c r="CH26" i="77"/>
  <c r="CH27" i="77"/>
  <c r="CH35" i="77"/>
  <c r="CH33" i="77"/>
  <c r="CH23" i="77"/>
  <c r="CH28" i="77"/>
  <c r="CH30" i="77"/>
  <c r="CH25" i="77"/>
  <c r="CH21" i="77"/>
  <c r="CH37" i="77"/>
  <c r="CH32" i="77"/>
  <c r="CH29" i="77"/>
  <c r="CI18" i="77"/>
  <c r="CH38" i="77"/>
  <c r="Z25" i="61"/>
  <c r="AF8" i="61" s="1"/>
  <c r="AF9" i="61" s="1"/>
  <c r="AM15" i="61"/>
  <c r="CD2" i="72"/>
  <c r="CD3" i="72" s="1"/>
  <c r="CD4" i="72" s="1"/>
  <c r="CB6" i="72" s="1"/>
  <c r="BQ8" i="72"/>
  <c r="BR8" i="72" s="1"/>
  <c r="BS8" i="72" s="1"/>
  <c r="BV8" i="72" s="1"/>
  <c r="AJ15" i="61"/>
  <c r="AN15" i="61"/>
  <c r="CR8" i="72"/>
  <c r="CS8" i="72" s="1"/>
  <c r="AK15" i="61"/>
  <c r="DC8" i="72"/>
  <c r="DD8" i="72"/>
  <c r="DE8" i="72"/>
  <c r="AO15" i="61"/>
  <c r="BT23" i="77"/>
  <c r="BT21" i="77"/>
  <c r="BT22" i="77"/>
  <c r="BT25" i="77"/>
  <c r="BT27" i="77"/>
  <c r="BT26" i="77"/>
  <c r="BU18" i="77"/>
  <c r="BT24" i="77"/>
  <c r="BN27" i="77"/>
  <c r="BP27" i="77"/>
  <c r="BL28" i="77"/>
  <c r="BT28" i="77" s="1"/>
  <c r="BQ27" i="77"/>
  <c r="BM27" i="77"/>
  <c r="BR27" i="77"/>
  <c r="BO27" i="77"/>
  <c r="AP13" i="61"/>
  <c r="AQ13" i="61"/>
  <c r="CI25" i="77" l="1"/>
  <c r="CI36" i="77"/>
  <c r="CI28" i="77"/>
  <c r="CI34" i="77"/>
  <c r="CI27" i="77"/>
  <c r="CI21" i="77"/>
  <c r="CI31" i="77"/>
  <c r="CI24" i="77"/>
  <c r="CI22" i="77"/>
  <c r="CI26" i="77"/>
  <c r="CI38" i="77"/>
  <c r="CI30" i="77"/>
  <c r="CJ18" i="77"/>
  <c r="CI29" i="77"/>
  <c r="CI37" i="77"/>
  <c r="CI32" i="77"/>
  <c r="CI23" i="77"/>
  <c r="CI35" i="77"/>
  <c r="CI33" i="77"/>
  <c r="AP15" i="61"/>
  <c r="BU8" i="72"/>
  <c r="BW8" i="72"/>
  <c r="BT8" i="72"/>
  <c r="BU27" i="77"/>
  <c r="BV18" i="77"/>
  <c r="BU21" i="77"/>
  <c r="BU22" i="77"/>
  <c r="BU26" i="77"/>
  <c r="BU28" i="77"/>
  <c r="BU23" i="77"/>
  <c r="BU25" i="77"/>
  <c r="BU24" i="77"/>
  <c r="BZ2" i="72"/>
  <c r="BZ4" i="72" s="1"/>
  <c r="BZ5" i="72" s="1"/>
  <c r="BZ7" i="72" s="1"/>
  <c r="BZ8" i="72" s="1"/>
  <c r="BN28" i="77"/>
  <c r="BP28" i="77"/>
  <c r="BO28" i="77"/>
  <c r="BL29" i="77"/>
  <c r="BU29" i="77" s="1"/>
  <c r="BM28" i="77"/>
  <c r="BR28" i="77"/>
  <c r="BQ28" i="77"/>
  <c r="BS28" i="77"/>
  <c r="AQ15" i="61"/>
  <c r="V13" i="61"/>
  <c r="CJ30" i="77" l="1"/>
  <c r="CJ37" i="77"/>
  <c r="CJ34" i="77"/>
  <c r="CJ22" i="77"/>
  <c r="CJ29" i="77"/>
  <c r="CJ33" i="77"/>
  <c r="CJ36" i="77"/>
  <c r="CK18" i="77"/>
  <c r="CJ38" i="77"/>
  <c r="CJ27" i="77"/>
  <c r="CJ26" i="77"/>
  <c r="CJ28" i="77"/>
  <c r="CJ32" i="77"/>
  <c r="CJ25" i="77"/>
  <c r="CJ35" i="77"/>
  <c r="CJ21" i="77"/>
  <c r="CJ24" i="77"/>
  <c r="CJ23" i="77"/>
  <c r="CJ31" i="77"/>
  <c r="W13" i="61"/>
  <c r="Z13" i="61" s="1"/>
  <c r="AI13" i="61" s="1"/>
  <c r="AI15" i="61" s="1"/>
  <c r="Y13" i="61"/>
  <c r="Y15" i="61" s="1"/>
  <c r="AE10" i="61" s="1"/>
  <c r="CA8" i="72"/>
  <c r="CC8" i="72"/>
  <c r="CC6" i="72" s="1"/>
  <c r="CI8" i="72"/>
  <c r="CI7" i="72" s="1"/>
  <c r="BP29" i="77"/>
  <c r="BO29" i="77"/>
  <c r="BL30" i="77"/>
  <c r="BQ29" i="77"/>
  <c r="BM29" i="77"/>
  <c r="BN29" i="77"/>
  <c r="BR29" i="77"/>
  <c r="BS29" i="77"/>
  <c r="BT29" i="77"/>
  <c r="BV25" i="77"/>
  <c r="BV29" i="77"/>
  <c r="BV30" i="77"/>
  <c r="BV22" i="77"/>
  <c r="BV21" i="77"/>
  <c r="BV26" i="77"/>
  <c r="BV27" i="77"/>
  <c r="BV28" i="77"/>
  <c r="BV23" i="77"/>
  <c r="BW18" i="77"/>
  <c r="BV24" i="77"/>
  <c r="AB7" i="61"/>
  <c r="AG8" i="61" l="1"/>
  <c r="AI8" i="61"/>
  <c r="AC5" i="61"/>
  <c r="AB5" i="61"/>
  <c r="CK22" i="77"/>
  <c r="CK37" i="77"/>
  <c r="CK24" i="77"/>
  <c r="CK34" i="77"/>
  <c r="CK38" i="77"/>
  <c r="CK23" i="77"/>
  <c r="CK25" i="77"/>
  <c r="CK28" i="77"/>
  <c r="CL18" i="77"/>
  <c r="CK30" i="77"/>
  <c r="CK31" i="77"/>
  <c r="CK21" i="77"/>
  <c r="CK27" i="77"/>
  <c r="CK29" i="77"/>
  <c r="CK26" i="77"/>
  <c r="CK33" i="77"/>
  <c r="CK35" i="77"/>
  <c r="CK36" i="77"/>
  <c r="CK32" i="77"/>
  <c r="CD8" i="72"/>
  <c r="CD6" i="72" s="1"/>
  <c r="CH8" i="72"/>
  <c r="CH7" i="72" s="1"/>
  <c r="AB9" i="61"/>
  <c r="Z15" i="61"/>
  <c r="AF10" i="61" s="1"/>
  <c r="BO30" i="77"/>
  <c r="BM30" i="77"/>
  <c r="BQ30" i="77"/>
  <c r="BN30" i="77"/>
  <c r="BR30" i="77"/>
  <c r="BL31" i="77"/>
  <c r="BW31" i="77" s="1"/>
  <c r="BP30" i="77"/>
  <c r="BS30" i="77"/>
  <c r="BT30" i="77"/>
  <c r="BU30" i="77"/>
  <c r="BW25" i="77"/>
  <c r="BW29" i="77"/>
  <c r="BW24" i="77"/>
  <c r="BW21" i="77"/>
  <c r="BW30" i="77"/>
  <c r="BW28" i="77"/>
  <c r="BW26" i="77"/>
  <c r="BW23" i="77"/>
  <c r="BX18" i="77"/>
  <c r="BW22" i="77"/>
  <c r="BW27" i="77"/>
  <c r="AK7" i="61"/>
  <c r="CE8" i="72" l="1"/>
  <c r="CE6" i="72" s="1"/>
  <c r="CF6" i="72" s="1"/>
  <c r="CL29" i="77"/>
  <c r="CL25" i="77"/>
  <c r="CL24" i="77"/>
  <c r="CL34" i="77"/>
  <c r="CL22" i="77"/>
  <c r="CL32" i="77"/>
  <c r="CL23" i="77"/>
  <c r="CL37" i="77"/>
  <c r="CL30" i="77"/>
  <c r="CL35" i="77"/>
  <c r="CL26" i="77"/>
  <c r="CM18" i="77"/>
  <c r="CL33" i="77"/>
  <c r="CL28" i="77"/>
  <c r="CL31" i="77"/>
  <c r="CL38" i="77"/>
  <c r="CL27" i="77"/>
  <c r="CL21" i="77"/>
  <c r="CL36" i="77"/>
  <c r="AF11" i="61"/>
  <c r="BW6" i="72"/>
  <c r="Z16" i="61"/>
  <c r="Z17" i="61" s="1"/>
  <c r="BX28" i="77"/>
  <c r="BX26" i="77"/>
  <c r="BY18" i="77"/>
  <c r="BX22" i="77"/>
  <c r="BX24" i="77"/>
  <c r="BX31" i="77"/>
  <c r="BX30" i="77"/>
  <c r="BX21" i="77"/>
  <c r="BX23" i="77"/>
  <c r="BX27" i="77"/>
  <c r="BX29" i="77"/>
  <c r="BX25" i="77"/>
  <c r="BN31" i="77"/>
  <c r="BL32" i="77"/>
  <c r="BP31" i="77"/>
  <c r="BM31" i="77"/>
  <c r="BO31" i="77"/>
  <c r="BQ31" i="77"/>
  <c r="BR31" i="77"/>
  <c r="BS31" i="77"/>
  <c r="BT31" i="77"/>
  <c r="BU31" i="77"/>
  <c r="BV31" i="77"/>
  <c r="CM30" i="77" l="1"/>
  <c r="CM34" i="77"/>
  <c r="CM22" i="77"/>
  <c r="CM23" i="77"/>
  <c r="CM36" i="77"/>
  <c r="CM27" i="77"/>
  <c r="CM31" i="77"/>
  <c r="CM21" i="77"/>
  <c r="CM33" i="77"/>
  <c r="CM32" i="77"/>
  <c r="CN18" i="77"/>
  <c r="CM38" i="77"/>
  <c r="CM26" i="77"/>
  <c r="CM37" i="77"/>
  <c r="CM25" i="77"/>
  <c r="CM29" i="77"/>
  <c r="CM24" i="77"/>
  <c r="CM35" i="77"/>
  <c r="CM28" i="77"/>
  <c r="BZ18" i="77"/>
  <c r="BY22" i="77"/>
  <c r="BY21" i="77"/>
  <c r="BY30" i="77"/>
  <c r="BY23" i="77"/>
  <c r="BY27" i="77"/>
  <c r="BY26" i="77"/>
  <c r="BY28" i="77"/>
  <c r="BY31" i="77"/>
  <c r="BY29" i="77"/>
  <c r="BY24" i="77"/>
  <c r="BY25" i="77"/>
  <c r="BY32" i="77"/>
  <c r="BL33" i="77"/>
  <c r="BY33" i="77" s="1"/>
  <c r="BN32" i="77"/>
  <c r="BP32" i="77"/>
  <c r="BR32" i="77"/>
  <c r="BO32" i="77"/>
  <c r="BQ32" i="77"/>
  <c r="BM32" i="77"/>
  <c r="BS32" i="77"/>
  <c r="BT32" i="77"/>
  <c r="BU32" i="77"/>
  <c r="BV32" i="77"/>
  <c r="BW32" i="77"/>
  <c r="BX32" i="77"/>
  <c r="CN23" i="77" l="1"/>
  <c r="CN30" i="77"/>
  <c r="CN28" i="77"/>
  <c r="CN22" i="77"/>
  <c r="CN24" i="77"/>
  <c r="CN27" i="77"/>
  <c r="CN31" i="77"/>
  <c r="CN34" i="77"/>
  <c r="CN33" i="77"/>
  <c r="CN29" i="77"/>
  <c r="CN37" i="77"/>
  <c r="CO18" i="77"/>
  <c r="CN26" i="77"/>
  <c r="CN21" i="77"/>
  <c r="CN25" i="77"/>
  <c r="CN36" i="77"/>
  <c r="CN35" i="77"/>
  <c r="CN38" i="77"/>
  <c r="CN32" i="77"/>
  <c r="BL34" i="77"/>
  <c r="BZ34" i="77" s="1"/>
  <c r="BR33" i="77"/>
  <c r="BQ33" i="77"/>
  <c r="BN33" i="77"/>
  <c r="BO33" i="77"/>
  <c r="BM33" i="77"/>
  <c r="BP33" i="77"/>
  <c r="BS33" i="77"/>
  <c r="BT33" i="77"/>
  <c r="BU33" i="77"/>
  <c r="BV33" i="77"/>
  <c r="BW33" i="77"/>
  <c r="BX33" i="77"/>
  <c r="BZ21" i="77"/>
  <c r="BZ23" i="77"/>
  <c r="BZ31" i="77"/>
  <c r="BZ33" i="77"/>
  <c r="BZ30" i="77"/>
  <c r="BZ32" i="77"/>
  <c r="BZ29" i="77"/>
  <c r="BZ27" i="77"/>
  <c r="BZ22" i="77"/>
  <c r="BZ26" i="77"/>
  <c r="BZ25" i="77"/>
  <c r="CA18" i="77"/>
  <c r="BZ28" i="77"/>
  <c r="BZ24" i="77"/>
  <c r="CO22" i="77" l="1"/>
  <c r="CO30" i="77"/>
  <c r="CO28" i="77"/>
  <c r="CO27" i="77"/>
  <c r="CO34" i="77"/>
  <c r="CO35" i="77"/>
  <c r="CO37" i="77"/>
  <c r="CO24" i="77"/>
  <c r="CO26" i="77"/>
  <c r="CO25" i="77"/>
  <c r="CO29" i="77"/>
  <c r="CP18" i="77"/>
  <c r="CO36" i="77"/>
  <c r="CO33" i="77"/>
  <c r="CO38" i="77"/>
  <c r="CO23" i="77"/>
  <c r="CO32" i="77"/>
  <c r="CO21" i="77"/>
  <c r="CO31" i="77"/>
  <c r="BN34" i="77"/>
  <c r="BL35" i="77"/>
  <c r="BP34" i="77"/>
  <c r="BR34" i="77"/>
  <c r="BM34" i="77"/>
  <c r="BQ34" i="77"/>
  <c r="BO34" i="77"/>
  <c r="BS34" i="77"/>
  <c r="BT34" i="77"/>
  <c r="BU34" i="77"/>
  <c r="BV34" i="77"/>
  <c r="BW34" i="77"/>
  <c r="BX34" i="77"/>
  <c r="BY34" i="77"/>
  <c r="CA24" i="77"/>
  <c r="CA25" i="77"/>
  <c r="CA29" i="77"/>
  <c r="CA21" i="77"/>
  <c r="CA28" i="77"/>
  <c r="CA26" i="77"/>
  <c r="CA30" i="77"/>
  <c r="CA35" i="77"/>
  <c r="CA22" i="77"/>
  <c r="CA32" i="77"/>
  <c r="CA34" i="77"/>
  <c r="CB18" i="77"/>
  <c r="CA27" i="77"/>
  <c r="CA23" i="77"/>
  <c r="CA33" i="77"/>
  <c r="CA31" i="77"/>
  <c r="CP21" i="77" l="1"/>
  <c r="CP33" i="77"/>
  <c r="CP25" i="77"/>
  <c r="CP31" i="77"/>
  <c r="CP23" i="77"/>
  <c r="CP27" i="77"/>
  <c r="CP28" i="77"/>
  <c r="CP26" i="77"/>
  <c r="CP24" i="77"/>
  <c r="CP36" i="77"/>
  <c r="CP35" i="77"/>
  <c r="CP22" i="77"/>
  <c r="CP37" i="77"/>
  <c r="CQ18" i="77"/>
  <c r="CP30" i="77"/>
  <c r="CP34" i="77"/>
  <c r="CP38" i="77"/>
  <c r="CP32" i="77"/>
  <c r="CP29" i="77"/>
  <c r="CB35" i="77"/>
  <c r="CB23" i="77"/>
  <c r="CB32" i="77"/>
  <c r="CB29" i="77"/>
  <c r="CB22" i="77"/>
  <c r="CB26" i="77"/>
  <c r="CB34" i="77"/>
  <c r="CB31" i="77"/>
  <c r="CB30" i="77"/>
  <c r="CB21" i="77"/>
  <c r="CB25" i="77"/>
  <c r="CB28" i="77"/>
  <c r="CB24" i="77"/>
  <c r="CB27" i="77"/>
  <c r="CB33" i="77"/>
  <c r="BL36" i="77"/>
  <c r="CB36" i="77" s="1"/>
  <c r="BP35" i="77"/>
  <c r="BO35" i="77"/>
  <c r="BQ35" i="77"/>
  <c r="BM35" i="77"/>
  <c r="BR35" i="77"/>
  <c r="BN35" i="77"/>
  <c r="BS35" i="77"/>
  <c r="BT35" i="77"/>
  <c r="BU35" i="77"/>
  <c r="BV35" i="77"/>
  <c r="BW35" i="77"/>
  <c r="BX35" i="77"/>
  <c r="BY35" i="77"/>
  <c r="BZ35" i="77"/>
  <c r="CR18" i="77" l="1"/>
  <c r="CQ35" i="77"/>
  <c r="CQ38" i="77"/>
  <c r="CQ21" i="77"/>
  <c r="CQ31" i="77"/>
  <c r="CQ25" i="77"/>
  <c r="CQ22" i="77"/>
  <c r="CQ37" i="77"/>
  <c r="CQ29" i="77"/>
  <c r="CQ30" i="77"/>
  <c r="CQ26" i="77"/>
  <c r="CQ23" i="77"/>
  <c r="CQ32" i="77"/>
  <c r="CQ33" i="77"/>
  <c r="CQ27" i="77"/>
  <c r="CQ36" i="77"/>
  <c r="CQ28" i="77"/>
  <c r="CQ34" i="77"/>
  <c r="CQ24" i="77"/>
  <c r="BN36" i="77"/>
  <c r="BR36" i="77"/>
  <c r="BM36" i="77"/>
  <c r="BP36" i="77"/>
  <c r="BO36" i="77"/>
  <c r="BQ36" i="77"/>
  <c r="BS36" i="77"/>
  <c r="BT36" i="77"/>
  <c r="BU36" i="77"/>
  <c r="BV36" i="77"/>
  <c r="BW36" i="77"/>
  <c r="BX36" i="77"/>
  <c r="BY36" i="77"/>
  <c r="BZ36" i="77"/>
  <c r="CA36" i="77"/>
  <c r="CR28" i="77" l="1"/>
  <c r="CR25" i="77"/>
  <c r="CR26" i="77"/>
  <c r="CR34" i="77"/>
  <c r="CR22" i="77"/>
  <c r="CR23" i="77"/>
  <c r="CR30" i="77"/>
  <c r="CR37" i="77"/>
  <c r="CR27" i="77"/>
  <c r="CR24" i="77"/>
  <c r="CR36" i="77"/>
  <c r="CR31" i="77"/>
  <c r="CR38" i="77"/>
  <c r="CR33" i="77"/>
  <c r="CR35" i="77"/>
  <c r="CR29" i="77"/>
  <c r="CR32" i="77"/>
  <c r="CS18" i="77"/>
  <c r="CR21" i="77"/>
  <c r="CS34" i="77" l="1"/>
  <c r="CS25" i="77"/>
  <c r="CS29" i="77"/>
  <c r="CS30" i="77"/>
  <c r="CS35" i="77"/>
  <c r="CS33" i="77"/>
  <c r="CS24" i="77"/>
  <c r="CS37" i="77"/>
  <c r="CS27" i="77"/>
  <c r="CS23" i="77"/>
  <c r="CS36" i="77"/>
  <c r="CS31" i="77"/>
  <c r="CS26" i="77"/>
  <c r="CS22" i="77"/>
  <c r="CT18" i="77"/>
  <c r="CS32" i="77"/>
  <c r="CS28" i="77"/>
  <c r="CS21" i="77"/>
  <c r="CS38" i="77"/>
  <c r="CT32" i="77" l="1"/>
  <c r="CT38" i="77"/>
  <c r="CT31" i="77"/>
  <c r="CT22" i="77"/>
  <c r="CT33" i="77"/>
  <c r="CT36" i="77"/>
  <c r="CT30" i="77"/>
  <c r="CT29" i="77"/>
  <c r="CT27" i="77"/>
  <c r="CT35" i="77"/>
  <c r="CT34" i="77"/>
  <c r="CT37" i="77"/>
  <c r="CT23" i="77"/>
  <c r="CT21" i="77"/>
  <c r="CU18" i="77"/>
  <c r="CT25" i="77"/>
  <c r="CT26" i="77"/>
  <c r="CT24" i="77"/>
  <c r="CT28" i="77"/>
  <c r="CU32" i="77" l="1"/>
  <c r="CU30" i="77"/>
  <c r="CU37" i="77"/>
  <c r="CU26" i="77"/>
  <c r="CU35" i="77"/>
  <c r="CU34" i="77"/>
  <c r="CU38" i="77"/>
  <c r="CU33" i="77"/>
  <c r="CU24" i="77"/>
  <c r="CU29" i="77"/>
  <c r="CU31" i="77"/>
  <c r="CU22" i="77"/>
  <c r="CU27" i="77"/>
  <c r="CU36" i="77"/>
  <c r="CU21" i="77"/>
  <c r="CU25" i="77"/>
  <c r="CU23" i="77"/>
  <c r="CU28" i="7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stardy</author>
  </authors>
  <commentList>
    <comment ref="G2" authorId="0" shapeId="0" xr:uid="{00000000-0006-0000-0000-000001000000}">
      <text>
        <r>
          <rPr>
            <b/>
            <sz val="9"/>
            <color indexed="81"/>
            <rFont val="Tahoma"/>
            <family val="2"/>
          </rPr>
          <t>stardy:</t>
        </r>
        <r>
          <rPr>
            <sz val="9"/>
            <color indexed="81"/>
            <rFont val="Tahoma"/>
            <family val="2"/>
          </rPr>
          <t xml:space="preserve">
Ser pour la traduction des devises et la construction de la liste des devises modifiables</t>
        </r>
      </text>
    </comment>
    <comment ref="G24" authorId="0" shapeId="0" xr:uid="{00000000-0006-0000-0000-000002000000}">
      <text>
        <r>
          <rPr>
            <b/>
            <sz val="9"/>
            <color indexed="81"/>
            <rFont val="Tahoma"/>
            <family val="2"/>
          </rPr>
          <t>stardy:</t>
        </r>
        <r>
          <rPr>
            <sz val="9"/>
            <color indexed="81"/>
            <rFont val="Tahoma"/>
            <family val="2"/>
          </rPr>
          <t xml:space="preserve">
Mois de l'émission</t>
        </r>
      </text>
    </comment>
    <comment ref="H24" authorId="0" shapeId="0" xr:uid="{00000000-0006-0000-0000-000003000000}">
      <text>
        <r>
          <rPr>
            <b/>
            <sz val="9"/>
            <color indexed="81"/>
            <rFont val="Tahoma"/>
            <family val="2"/>
          </rPr>
          <t>stardy:</t>
        </r>
        <r>
          <rPr>
            <sz val="9"/>
            <color indexed="81"/>
            <rFont val="Tahoma"/>
            <family val="2"/>
          </rPr>
          <t xml:space="preserve">
Jour de l'émission</t>
        </r>
      </text>
    </comment>
    <comment ref="C39" authorId="0" shapeId="0" xr:uid="{00000000-0006-0000-0000-000004000000}">
      <text>
        <r>
          <rPr>
            <b/>
            <sz val="9"/>
            <color indexed="81"/>
            <rFont val="Tahoma"/>
            <family val="2"/>
          </rPr>
          <t>stardy:</t>
        </r>
        <r>
          <rPr>
            <sz val="9"/>
            <color indexed="81"/>
            <rFont val="Tahoma"/>
            <family val="2"/>
          </rPr>
          <t xml:space="preserve">
Langue du client</t>
        </r>
      </text>
    </comment>
    <comment ref="C64" authorId="0" shapeId="0" xr:uid="{00000000-0006-0000-0000-000005000000}">
      <text>
        <r>
          <rPr>
            <b/>
            <sz val="9"/>
            <color indexed="81"/>
            <rFont val="Tahoma"/>
            <family val="2"/>
          </rPr>
          <t>stardy:</t>
        </r>
        <r>
          <rPr>
            <sz val="9"/>
            <color indexed="81"/>
            <rFont val="Tahoma"/>
            <family val="2"/>
          </rPr>
          <t xml:space="preserve">
Unité de compte de la société</t>
        </r>
      </text>
    </comment>
    <comment ref="E65" authorId="0" shapeId="0" xr:uid="{00000000-0006-0000-0000-000006000000}">
      <text>
        <r>
          <rPr>
            <b/>
            <sz val="9"/>
            <color indexed="81"/>
            <rFont val="Tahoma"/>
            <family val="2"/>
          </rPr>
          <t>stardy:</t>
        </r>
        <r>
          <rPr>
            <sz val="9"/>
            <color indexed="81"/>
            <rFont val="Tahoma"/>
            <family val="2"/>
          </rPr>
          <t xml:space="preserve">
Libellé traduit</t>
        </r>
      </text>
    </comment>
    <comment ref="C66" authorId="0" shapeId="0" xr:uid="{00000000-0006-0000-0000-000007000000}">
      <text>
        <r>
          <rPr>
            <b/>
            <sz val="9"/>
            <color indexed="81"/>
            <rFont val="Tahoma"/>
            <family val="2"/>
          </rPr>
          <t>stardy:</t>
        </r>
        <r>
          <rPr>
            <sz val="9"/>
            <color indexed="81"/>
            <rFont val="Tahoma"/>
            <family val="2"/>
          </rPr>
          <t xml:space="preserve">
deviseFacture : Selection dans la cotation</t>
        </r>
      </text>
    </comment>
    <comment ref="C67" authorId="0" shapeId="0" xr:uid="{00000000-0006-0000-0000-000008000000}">
      <text>
        <r>
          <rPr>
            <b/>
            <sz val="9"/>
            <color indexed="81"/>
            <rFont val="Tahoma"/>
            <family val="2"/>
          </rPr>
          <t>stardy:</t>
        </r>
        <r>
          <rPr>
            <sz val="9"/>
            <color indexed="81"/>
            <rFont val="Tahoma"/>
            <family val="2"/>
          </rPr>
          <t xml:space="preserve">
Le taux de change est directement renseigné par le système dans l'onglet de cotation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stardy</author>
    <author>S.Tardy</author>
  </authors>
  <commentList>
    <comment ref="F11" authorId="0" shapeId="0" xr:uid="{00000000-0006-0000-0200-000001000000}">
      <text>
        <r>
          <rPr>
            <b/>
            <sz val="8"/>
            <color indexed="81"/>
            <rFont val="Tahoma"/>
            <family val="2"/>
          </rPr>
          <t>stardy:</t>
        </r>
        <r>
          <rPr>
            <sz val="8"/>
            <color indexed="81"/>
            <rFont val="Tahoma"/>
            <family val="2"/>
          </rPr>
          <t xml:space="preserve">
Vrai : le prix envoyépar l'ERP inclu déjà le taux de change</t>
        </r>
      </text>
    </comment>
    <comment ref="V11" authorId="1" shapeId="0" xr:uid="{00000000-0006-0000-0200-000002000000}">
      <text>
        <r>
          <rPr>
            <b/>
            <sz val="8"/>
            <color indexed="81"/>
            <rFont val="Tahoma"/>
            <family val="2"/>
          </rPr>
          <t>S.Tardy:</t>
        </r>
        <r>
          <rPr>
            <sz val="8"/>
            <color indexed="81"/>
            <rFont val="Tahoma"/>
            <family val="2"/>
          </rPr>
          <t xml:space="preserve">
Colonne pour les prix Canadien, ne sera pas visible dans la soumission</t>
        </r>
      </text>
    </comment>
  </commentList>
</comments>
</file>

<file path=xl/sharedStrings.xml><?xml version="1.0" encoding="utf-8"?>
<sst xmlns="http://schemas.openxmlformats.org/spreadsheetml/2006/main" count="697" uniqueCount="504">
  <si>
    <t>LF</t>
    <phoneticPr fontId="2" type="noConversion"/>
  </si>
  <si>
    <t>SF</t>
    <phoneticPr fontId="2" type="noConversion"/>
  </si>
  <si>
    <t>LF/PIECE</t>
    <phoneticPr fontId="2" type="noConversion"/>
  </si>
  <si>
    <t>SF/PIECE</t>
    <phoneticPr fontId="2" type="noConversion"/>
  </si>
  <si>
    <t>PRIX /PIECE</t>
    <phoneticPr fontId="2" type="noConversion"/>
  </si>
  <si>
    <t>DESCRIPTION</t>
  </si>
  <si>
    <t>X</t>
  </si>
  <si>
    <t>Y</t>
  </si>
  <si>
    <t>ITEM</t>
  </si>
  <si>
    <t>Impérial</t>
  </si>
  <si>
    <t>volume</t>
  </si>
  <si>
    <t>$ granite</t>
  </si>
  <si>
    <t>aucun</t>
    <phoneticPr fontId="34" type="noConversion"/>
  </si>
  <si>
    <t>Prix au pi3</t>
    <phoneticPr fontId="1" type="noConversion"/>
  </si>
  <si>
    <t>Prix au pi2</t>
    <phoneticPr fontId="1" type="noConversion"/>
  </si>
  <si>
    <t>action_fin</t>
    <phoneticPr fontId="34" type="noConversion"/>
  </si>
  <si>
    <t>oui</t>
    <phoneticPr fontId="34" type="noConversion"/>
  </si>
  <si>
    <t>en "</t>
    <phoneticPr fontId="1" type="noConversion"/>
  </si>
  <si>
    <t>diam trou</t>
    <phoneticPr fontId="1" type="noConversion"/>
  </si>
  <si>
    <t>cout total</t>
    <phoneticPr fontId="1" type="noConversion"/>
  </si>
  <si>
    <t>aucune</t>
    <phoneticPr fontId="34" type="noConversion"/>
  </si>
  <si>
    <t>fin_des_man</t>
    <phoneticPr fontId="34" type="noConversion"/>
  </si>
  <si>
    <t>Brossée</t>
    <phoneticPr fontId="34" type="noConversion"/>
  </si>
  <si>
    <t>Nom du fichier</t>
  </si>
  <si>
    <t>Fax</t>
  </si>
  <si>
    <t>Plin/pièce</t>
  </si>
  <si>
    <t>30 jours +</t>
  </si>
  <si>
    <t>Encoche</t>
    <phoneticPr fontId="34" type="noConversion"/>
  </si>
  <si>
    <t>Ratio Tranche</t>
    <phoneticPr fontId="34" type="noConversion"/>
  </si>
  <si>
    <t>hre</t>
  </si>
  <si>
    <t>NO T-1000</t>
  </si>
  <si>
    <t>NO</t>
  </si>
  <si>
    <t>REF</t>
  </si>
  <si>
    <t>TAG</t>
  </si>
  <si>
    <t>facteur selon épaiseur pr trait supp. + 30% perte</t>
  </si>
  <si>
    <t>qté</t>
  </si>
  <si>
    <t>CN=Stanislas Tardy/O=SOPRA</t>
  </si>
  <si>
    <t>Valideur</t>
  </si>
  <si>
    <t>/ LF</t>
  </si>
  <si>
    <t>Finition Coté Manu 2</t>
    <phoneticPr fontId="1" type="noConversion"/>
  </si>
  <si>
    <t>DRC09-0004-C1R0</t>
  </si>
  <si>
    <t>Matisse</t>
  </si>
  <si>
    <t>Tel</t>
  </si>
  <si>
    <t>Valeur lors de la génération</t>
  </si>
  <si>
    <t>Nombre de ligne</t>
  </si>
  <si>
    <t>diam / profondeur</t>
    <phoneticPr fontId="34" type="noConversion"/>
  </si>
  <si>
    <t>EXW</t>
  </si>
  <si>
    <t>Ex Works</t>
  </si>
  <si>
    <t>Finition Dessus Auto</t>
    <phoneticPr fontId="1" type="noConversion"/>
  </si>
  <si>
    <t>Projet Morrin Centre</t>
  </si>
  <si>
    <t>Pi2/pièce</t>
  </si>
  <si>
    <t>Cout unitaire</t>
  </si>
  <si>
    <t>$ PIÈCE (PLIN)</t>
  </si>
  <si>
    <t>$ PIÈCE (PI2)</t>
  </si>
  <si>
    <t>2l2c</t>
  </si>
  <si>
    <t>Anglais</t>
    <phoneticPr fontId="0" type="noConversion"/>
  </si>
  <si>
    <t>Francais</t>
    <phoneticPr fontId="0" type="noConversion"/>
  </si>
  <si>
    <t>Projet</t>
  </si>
  <si>
    <t>/ CF</t>
  </si>
  <si>
    <t>marge</t>
  </si>
  <si>
    <t>perte</t>
    <phoneticPr fontId="1" type="noConversion"/>
  </si>
  <si>
    <t>TEMPS UNITAIRE</t>
  </si>
  <si>
    <t>TU</t>
  </si>
  <si>
    <t>TT</t>
  </si>
  <si>
    <t>Délai escompte</t>
  </si>
  <si>
    <t>en</t>
  </si>
  <si>
    <t>2l</t>
  </si>
  <si>
    <t>CALCULS TEMPS</t>
  </si>
  <si>
    <t>Finition coté manuel</t>
    <phoneticPr fontId="34" type="noConversion"/>
  </si>
  <si>
    <t>Split</t>
    <phoneticPr fontId="34" type="noConversion"/>
  </si>
  <si>
    <t>Rock Face</t>
    <phoneticPr fontId="34" type="noConversion"/>
  </si>
  <si>
    <t>/ pi2</t>
  </si>
  <si>
    <t>/ pi3</t>
  </si>
  <si>
    <t>/ m2</t>
  </si>
  <si>
    <t>Nb camion necessaire</t>
    <phoneticPr fontId="1" type="noConversion"/>
  </si>
  <si>
    <t>Prenom</t>
  </si>
  <si>
    <t>Henry</t>
  </si>
  <si>
    <t>VU AVEC:</t>
  </si>
  <si>
    <t>DATE:</t>
  </si>
  <si>
    <t>Nb de camion</t>
    <phoneticPr fontId="1" type="noConversion"/>
  </si>
  <si>
    <t>Payment upon confirmation of order</t>
  </si>
  <si>
    <t>step</t>
  </si>
  <si>
    <t>Imprimante</t>
  </si>
  <si>
    <t>Feuille</t>
  </si>
  <si>
    <t>2c</t>
    <phoneticPr fontId="34" type="noConversion"/>
  </si>
  <si>
    <t>Source</t>
  </si>
  <si>
    <t>/ SF</t>
  </si>
  <si>
    <t>CA</t>
  </si>
  <si>
    <t>Numero</t>
  </si>
  <si>
    <t>Livre sterling</t>
  </si>
  <si>
    <t>GBP</t>
  </si>
  <si>
    <t>Ville</t>
  </si>
  <si>
    <t>% du total de la soumission</t>
    <phoneticPr fontId="2" type="noConversion"/>
  </si>
  <si>
    <t>Fin_long</t>
    <phoneticPr fontId="34" type="noConversion"/>
  </si>
  <si>
    <t>type pdt</t>
    <phoneticPr fontId="2" type="noConversion"/>
  </si>
  <si>
    <t>Tag</t>
    <phoneticPr fontId="1" type="noConversion"/>
  </si>
  <si>
    <t>Qté</t>
    <phoneticPr fontId="1" type="noConversion"/>
  </si>
  <si>
    <t>Finition</t>
    <phoneticPr fontId="1" type="noConversion"/>
  </si>
  <si>
    <t>aucune</t>
  </si>
  <si>
    <t>total transport</t>
    <phoneticPr fontId="1" type="noConversion"/>
  </si>
  <si>
    <t>C4</t>
    <phoneticPr fontId="34" type="noConversion"/>
  </si>
  <si>
    <t>Sphera</t>
    <phoneticPr fontId="34" type="noConversion"/>
  </si>
  <si>
    <t>Poste finition 1</t>
    <phoneticPr fontId="34" type="noConversion"/>
  </si>
  <si>
    <t>CA-QC</t>
  </si>
  <si>
    <t>Pays</t>
  </si>
  <si>
    <t>poids camion de base</t>
    <phoneticPr fontId="1" type="noConversion"/>
  </si>
  <si>
    <t>UNIT</t>
  </si>
  <si>
    <t>Lo</t>
  </si>
  <si>
    <t>Ép</t>
  </si>
  <si>
    <t>pi3</t>
  </si>
  <si>
    <t>pi2</t>
  </si>
  <si>
    <t>La</t>
  </si>
  <si>
    <t>total</t>
  </si>
  <si>
    <t>Poste finition 2</t>
  </si>
  <si>
    <t>Poste finition 3</t>
  </si>
  <si>
    <t>Systeme de mesure</t>
  </si>
  <si>
    <t>Meulé</t>
    <phoneticPr fontId="34" type="noConversion"/>
  </si>
  <si>
    <t>qualite</t>
    <phoneticPr fontId="1" type="noConversion"/>
  </si>
  <si>
    <t>/ m3</t>
  </si>
  <si>
    <t>Prénom</t>
  </si>
  <si>
    <t>Couleur</t>
  </si>
  <si>
    <t>Prix</t>
  </si>
  <si>
    <t>Unite</t>
  </si>
  <si>
    <t>Prix/pi3</t>
  </si>
  <si>
    <t>Adresse 2</t>
  </si>
  <si>
    <t>Epaisseur</t>
  </si>
  <si>
    <t>Flamée</t>
    <phoneticPr fontId="34" type="noConversion"/>
  </si>
  <si>
    <t>Coeff</t>
    <phoneticPr fontId="34" type="noConversion"/>
  </si>
  <si>
    <t>prix au pi2</t>
    <phoneticPr fontId="34" type="noConversion"/>
  </si>
  <si>
    <t>code erp</t>
    <phoneticPr fontId="2" type="noConversion"/>
  </si>
  <si>
    <t>Prix au plin</t>
    <phoneticPr fontId="1" type="noConversion"/>
  </si>
  <si>
    <t>Mail</t>
  </si>
  <si>
    <t>Cotation</t>
  </si>
  <si>
    <t>aucune</t>
    <phoneticPr fontId="34" type="noConversion"/>
  </si>
  <si>
    <t>Meulé</t>
    <phoneticPr fontId="34" type="noConversion"/>
  </si>
  <si>
    <t>Finition Dessus Manu</t>
    <phoneticPr fontId="1" type="noConversion"/>
  </si>
  <si>
    <t>fin_des_manu</t>
    <phoneticPr fontId="1" type="noConversion"/>
  </si>
  <si>
    <t>poids / voyage</t>
  </si>
  <si>
    <t>poids pi3</t>
  </si>
  <si>
    <t>coeff</t>
    <phoneticPr fontId="34" type="noConversion"/>
  </si>
  <si>
    <t>+1 (418)</t>
  </si>
  <si>
    <t>Cel</t>
  </si>
  <si>
    <t>sciage secondaire</t>
  </si>
  <si>
    <t>Emetteur</t>
  </si>
  <si>
    <t>Indicateur de version Standard</t>
  </si>
  <si>
    <t>surplus transport / piece</t>
  </si>
  <si>
    <t>Poids</t>
  </si>
  <si>
    <t>Sciage Secondaire</t>
    <phoneticPr fontId="34" type="noConversion"/>
  </si>
  <si>
    <t>Finition dessus automatique</t>
    <phoneticPr fontId="34" type="noConversion"/>
  </si>
  <si>
    <t>Region</t>
  </si>
  <si>
    <t>fin_des_auto</t>
    <phoneticPr fontId="1" type="noConversion"/>
  </si>
  <si>
    <t>fin_des_auto</t>
    <phoneticPr fontId="34" type="noConversion"/>
  </si>
  <si>
    <t>Devise :</t>
  </si>
  <si>
    <t>Ready for delivery :</t>
  </si>
  <si>
    <t>Délais :</t>
  </si>
  <si>
    <t>Payment :</t>
  </si>
  <si>
    <t>Paiement :</t>
  </si>
  <si>
    <t>Validity :</t>
  </si>
  <si>
    <t>Validité :</t>
  </si>
  <si>
    <t>UNIT PRICE.</t>
  </si>
  <si>
    <t>Finition dessus manuel</t>
    <phoneticPr fontId="34" type="noConversion"/>
  </si>
  <si>
    <t>/ ea</t>
  </si>
  <si>
    <t>aucun</t>
  </si>
  <si>
    <t>Bouchardée</t>
    <phoneticPr fontId="34" type="noConversion"/>
  </si>
  <si>
    <t>prix au pl</t>
    <phoneticPr fontId="34" type="noConversion"/>
  </si>
  <si>
    <t>fin_cote_man</t>
    <phoneticPr fontId="34" type="noConversion"/>
  </si>
  <si>
    <t>Total poids</t>
    <phoneticPr fontId="1" type="noConversion"/>
  </si>
  <si>
    <t>total longeur</t>
    <phoneticPr fontId="1" type="noConversion"/>
  </si>
  <si>
    <t>1l1c</t>
    <phoneticPr fontId="34" type="noConversion"/>
  </si>
  <si>
    <t>1l2c</t>
    <phoneticPr fontId="34" type="noConversion"/>
  </si>
  <si>
    <t>2l</t>
    <phoneticPr fontId="34" type="noConversion"/>
  </si>
  <si>
    <t>2l1c</t>
    <phoneticPr fontId="34" type="noConversion"/>
  </si>
  <si>
    <t>2l2c</t>
    <phoneticPr fontId="34" type="noConversion"/>
  </si>
  <si>
    <t>table_chan</t>
    <phoneticPr fontId="1" type="noConversion"/>
  </si>
  <si>
    <t>N°colonne Prix</t>
  </si>
  <si>
    <t>Modele couleur</t>
  </si>
  <si>
    <t>Unité de compte</t>
  </si>
  <si>
    <t>TOTAL AREA
NET</t>
  </si>
  <si>
    <t>SURFACE TOTAL
NET</t>
  </si>
  <si>
    <t>TOT. VOLUME
NET</t>
  </si>
  <si>
    <t>VOLUME TOT.
NET</t>
  </si>
  <si>
    <t>Information financières</t>
  </si>
  <si>
    <t>Dollar US</t>
  </si>
  <si>
    <t>Pound</t>
  </si>
  <si>
    <t>U.S. Dollar</t>
  </si>
  <si>
    <t>Code de la devise client</t>
  </si>
  <si>
    <t>Canadian Dollar</t>
  </si>
  <si>
    <t>Code de la devise saisie dans excel</t>
  </si>
  <si>
    <t>Renminbi</t>
  </si>
  <si>
    <r>
      <t>Canadian</t>
    </r>
    <r>
      <rPr>
        <sz val="10"/>
        <color indexed="8"/>
        <rFont val="Arial"/>
        <family val="2"/>
      </rPr>
      <t xml:space="preserve"> Dollar</t>
    </r>
  </si>
  <si>
    <t>table_chan</t>
    <phoneticPr fontId="1" type="noConversion"/>
  </si>
  <si>
    <t>Condition libre</t>
  </si>
  <si>
    <t>Type</t>
  </si>
  <si>
    <t>Libre</t>
  </si>
  <si>
    <t>Texte</t>
  </si>
  <si>
    <t>P:\Travail\DRC\Conception\vb\data\domino\html\erp\drc\echange\60E012AF762CA7E8C12575DB00267D16.xml</t>
  </si>
  <si>
    <t>Condition de paiement</t>
  </si>
  <si>
    <t>dim_chan</t>
    <phoneticPr fontId="34" type="noConversion"/>
  </si>
  <si>
    <t>non</t>
    <phoneticPr fontId="34" type="noConversion"/>
  </si>
  <si>
    <t>Taux de change</t>
    <phoneticPr fontId="2" type="noConversion"/>
  </si>
  <si>
    <t>Scie Terzago</t>
    <phoneticPr fontId="34" type="noConversion"/>
  </si>
  <si>
    <t>cal par pl</t>
    <phoneticPr fontId="1" type="noConversion"/>
  </si>
  <si>
    <t>Accompte</t>
  </si>
  <si>
    <t>Emission</t>
  </si>
  <si>
    <t>Poli mat</t>
    <phoneticPr fontId="34" type="noConversion"/>
  </si>
  <si>
    <t>Poli</t>
    <phoneticPr fontId="34" type="noConversion"/>
  </si>
  <si>
    <t>Bouchardée</t>
    <phoneticPr fontId="34" type="noConversion"/>
  </si>
  <si>
    <t>Scie 3,5 m</t>
    <phoneticPr fontId="34" type="noConversion"/>
  </si>
  <si>
    <t>Poli mat</t>
    <phoneticPr fontId="34" type="noConversion"/>
  </si>
  <si>
    <t>Poli</t>
    <phoneticPr fontId="34" type="noConversion"/>
  </si>
  <si>
    <t>Taux horaire</t>
    <phoneticPr fontId="34" type="noConversion"/>
  </si>
  <si>
    <t>Cout Pierre/M3</t>
    <phoneticPr fontId="2" type="noConversion"/>
  </si>
  <si>
    <t>Code postal</t>
  </si>
  <si>
    <t>Contact</t>
  </si>
  <si>
    <t>$ / pi3</t>
  </si>
  <si>
    <t>Poste finition 4</t>
  </si>
  <si>
    <t>Nom</t>
  </si>
  <si>
    <t>Nom fichier cible</t>
  </si>
  <si>
    <t>Dollar canadien</t>
  </si>
  <si>
    <t>CAD</t>
  </si>
  <si>
    <t>Client</t>
  </si>
  <si>
    <t>A6</t>
  </si>
  <si>
    <t xml:space="preserve">TOTAL </t>
  </si>
  <si>
    <t>Densité</t>
    <phoneticPr fontId="2" type="noConversion"/>
  </si>
  <si>
    <t>std ou semi std ?</t>
    <phoneticPr fontId="2" type="noConversion"/>
  </si>
  <si>
    <t>Z</t>
  </si>
  <si>
    <t>XY</t>
  </si>
  <si>
    <t>XYZ</t>
  </si>
  <si>
    <t>TOTAL
CDN$</t>
  </si>
  <si>
    <t>GRANITE</t>
  </si>
  <si>
    <t>Scie 3 m</t>
    <phoneticPr fontId="34" type="noConversion"/>
  </si>
  <si>
    <t>Client :</t>
  </si>
  <si>
    <t>L1</t>
  </si>
  <si>
    <t>Traduction des libellé des devises : Attention chaque langue doit être trié individuellement</t>
  </si>
  <si>
    <t>Brossée</t>
    <phoneticPr fontId="34" type="noConversion"/>
  </si>
  <si>
    <t>Jet de sable</t>
    <phoneticPr fontId="34" type="noConversion"/>
  </si>
  <si>
    <t>Scie Falcon</t>
    <phoneticPr fontId="34" type="noConversion"/>
  </si>
  <si>
    <t>pi3 / unité</t>
    <phoneticPr fontId="1" type="noConversion"/>
  </si>
  <si>
    <t>USD</t>
  </si>
  <si>
    <t>Adresse 1</t>
  </si>
  <si>
    <t>Euro</t>
  </si>
  <si>
    <t>Terms to be confirmed</t>
  </si>
  <si>
    <t>Ligne</t>
    <phoneticPr fontId="1" type="noConversion"/>
  </si>
  <si>
    <t>A renseigner</t>
  </si>
  <si>
    <t>Export</t>
  </si>
  <si>
    <t>plin</t>
  </si>
  <si>
    <t>days</t>
  </si>
  <si>
    <t>jours</t>
  </si>
  <si>
    <t>Scie Predator</t>
    <phoneticPr fontId="34" type="noConversion"/>
  </si>
  <si>
    <t>Devise connus par symbole</t>
  </si>
  <si>
    <t>sciage primaire</t>
  </si>
  <si>
    <t>A déterminer</t>
  </si>
  <si>
    <t>LONG</t>
  </si>
  <si>
    <t>Représentant</t>
  </si>
  <si>
    <t>Inconnu</t>
  </si>
  <si>
    <t>/ plin</t>
  </si>
  <si>
    <t>/ linM</t>
    <phoneticPr fontId="0" type="noConversion"/>
  </si>
  <si>
    <t>LARG
PROF</t>
  </si>
  <si>
    <t>ÉPAIS
HAUT</t>
  </si>
  <si>
    <t>POIDS TOT.</t>
  </si>
  <si>
    <t>Taux de majoration semi-standard</t>
  </si>
  <si>
    <t xml:space="preserve">Sales representative : </t>
  </si>
  <si>
    <t xml:space="preserve">Représentant : </t>
  </si>
  <si>
    <t>Confirmed by :</t>
  </si>
  <si>
    <t>Approuvé par :</t>
  </si>
  <si>
    <t xml:space="preserve">  cell. : </t>
  </si>
  <si>
    <t>Condition de paiement et traduction équivalente (Le code est donné par le système)</t>
  </si>
  <si>
    <t>Cout de la pallette</t>
  </si>
  <si>
    <t>Information technique</t>
  </si>
  <si>
    <t>Version de la macro</t>
  </si>
  <si>
    <t>Calcul</t>
  </si>
  <si>
    <t>Code</t>
  </si>
  <si>
    <t>Unité de vente</t>
  </si>
  <si>
    <t>Systemen de mesure</t>
  </si>
  <si>
    <t>Adresse de chargement</t>
  </si>
  <si>
    <t>Adresse 3</t>
  </si>
  <si>
    <t>Région</t>
  </si>
  <si>
    <t>Code pays</t>
  </si>
  <si>
    <t>GRANITE DRC inc.</t>
  </si>
  <si>
    <t>DELISLE</t>
  </si>
  <si>
    <t>RIVIÈRE-À-PIERRE</t>
  </si>
  <si>
    <t>Q.C.</t>
  </si>
  <si>
    <t>CANADA</t>
  </si>
  <si>
    <t>GOA-3AO</t>
  </si>
  <si>
    <t>Québec</t>
  </si>
  <si>
    <t>Spliteuse</t>
    <phoneticPr fontId="34" type="noConversion"/>
  </si>
  <si>
    <t>Bimatech</t>
    <phoneticPr fontId="34" type="noConversion"/>
  </si>
  <si>
    <t>Nombre de semaine</t>
  </si>
  <si>
    <t>Divers</t>
  </si>
  <si>
    <t>Durée de validité</t>
  </si>
  <si>
    <t>Incoterm</t>
  </si>
  <si>
    <t>Délai de paiement</t>
  </si>
  <si>
    <t>Taux d'escompte</t>
  </si>
  <si>
    <t>ou_cote</t>
    <phoneticPr fontId="34" type="noConversion"/>
  </si>
  <si>
    <t>1l</t>
    <phoneticPr fontId="34" type="noConversion"/>
  </si>
  <si>
    <t>qté Trou</t>
    <phoneticPr fontId="1" type="noConversion"/>
  </si>
  <si>
    <t>nombre</t>
    <phoneticPr fontId="1" type="noConversion"/>
  </si>
  <si>
    <t>nb_trou</t>
    <phoneticPr fontId="34" type="noConversion"/>
  </si>
  <si>
    <t>diam_trou</t>
    <phoneticPr fontId="34" type="noConversion"/>
  </si>
  <si>
    <t>prof_trou</t>
    <phoneticPr fontId="34" type="noConversion"/>
  </si>
  <si>
    <t>Jet de sable</t>
    <phoneticPr fontId="34" type="noConversion"/>
  </si>
  <si>
    <t>Finition Coté Manu 1</t>
    <phoneticPr fontId="1" type="noConversion"/>
  </si>
  <si>
    <t>fin_cote_man</t>
    <phoneticPr fontId="1" type="noConversion"/>
  </si>
  <si>
    <t>Attn. :</t>
  </si>
  <si>
    <t>nb. Pi3 / voyage</t>
  </si>
  <si>
    <t>Taux de change</t>
  </si>
  <si>
    <t>Flamée</t>
    <phoneticPr fontId="34" type="noConversion"/>
  </si>
  <si>
    <t>EUR</t>
  </si>
  <si>
    <t>Marge commercial</t>
    <phoneticPr fontId="1" type="noConversion"/>
  </si>
  <si>
    <t>% majoration Semi-STD</t>
    <phoneticPr fontId="2" type="noConversion"/>
  </si>
  <si>
    <t>Pi3 Pierre Brut</t>
    <phoneticPr fontId="2" type="noConversion"/>
  </si>
  <si>
    <t>Achat Pierre Brut</t>
    <phoneticPr fontId="2" type="noConversion"/>
  </si>
  <si>
    <t xml:space="preserve">P.O. #    :                  </t>
  </si>
  <si>
    <t>Paiement à la commande</t>
  </si>
  <si>
    <t>Yuan renminbi</t>
  </si>
  <si>
    <t>CNY</t>
  </si>
  <si>
    <t>PRIX UNIT.</t>
  </si>
  <si>
    <t>THICK
HEIGHT</t>
  </si>
  <si>
    <t>WIDTH
DEEP</t>
  </si>
  <si>
    <t>LENGTH</t>
  </si>
  <si>
    <t>QTY</t>
  </si>
  <si>
    <t>QTÉ</t>
  </si>
  <si>
    <t>TOTAL LENGTH
NET</t>
  </si>
  <si>
    <t>TOTAL LONG
NET</t>
  </si>
  <si>
    <t>total ligne</t>
    <phoneticPr fontId="1" type="noConversion"/>
  </si>
  <si>
    <t>total ligne +T</t>
    <phoneticPr fontId="1" type="noConversion"/>
  </si>
  <si>
    <t>diff</t>
    <phoneticPr fontId="1" type="noConversion"/>
  </si>
  <si>
    <t>Nom fichier parametre</t>
  </si>
  <si>
    <t>Libellé</t>
  </si>
  <si>
    <t>Symbole</t>
  </si>
  <si>
    <t>Prix vente avant com</t>
  </si>
  <si>
    <t>Anglais</t>
  </si>
  <si>
    <t>Catégorie</t>
  </si>
  <si>
    <t>Détail</t>
  </si>
  <si>
    <t>Valeur</t>
  </si>
  <si>
    <t>Langue</t>
  </si>
  <si>
    <t>Français</t>
  </si>
  <si>
    <t>ATTENTION : Pour que le système marche le tableau doit être trié sur la colonne en français</t>
  </si>
  <si>
    <t>Adresse :</t>
  </si>
  <si>
    <t>Confirmation de prix</t>
  </si>
  <si>
    <t>Price confirmation</t>
  </si>
  <si>
    <t>CAUTION: For the system to work the table must be sorted on the column in French</t>
  </si>
  <si>
    <t>Adress :</t>
  </si>
  <si>
    <t>Customer :</t>
  </si>
  <si>
    <t>Currency :</t>
  </si>
  <si>
    <t>1c</t>
  </si>
  <si>
    <t>Jet d'eau</t>
  </si>
  <si>
    <t>ou ? Chanfrein</t>
  </si>
  <si>
    <t>Chanfrein</t>
  </si>
  <si>
    <t>ou ? fintion Manu 2</t>
  </si>
  <si>
    <t>ou ? fintion Manu 1</t>
  </si>
  <si>
    <t>Trou</t>
  </si>
  <si>
    <t>sciage secondaire supplémentaire</t>
  </si>
  <si>
    <t>Rockface</t>
  </si>
  <si>
    <t>Split</t>
  </si>
  <si>
    <t>Usinage au Pi2</t>
  </si>
  <si>
    <t>Usinage au Pi2 #2</t>
  </si>
  <si>
    <t>Calcul temps #2</t>
  </si>
  <si>
    <t>TROU</t>
  </si>
  <si>
    <t>Antique</t>
  </si>
  <si>
    <t>Fini/
Épaisseur</t>
  </si>
  <si>
    <t>Fini/
dimension</t>
  </si>
  <si>
    <t>Sciage primaire</t>
  </si>
  <si>
    <t>Longueur</t>
  </si>
  <si>
    <t>Largeur</t>
  </si>
  <si>
    <t>prix à l'unité</t>
  </si>
  <si>
    <t>Finition manuel chanfrein</t>
  </si>
  <si>
    <t>SLOT_</t>
  </si>
  <si>
    <t>nb_slot</t>
  </si>
  <si>
    <t>Longueur slot</t>
  </si>
  <si>
    <t>Qté Slot</t>
  </si>
  <si>
    <t>Qté</t>
  </si>
  <si>
    <t>long_slot</t>
  </si>
  <si>
    <t>Slot</t>
  </si>
  <si>
    <t>1l</t>
  </si>
  <si>
    <t>Largeur/
Hauteur</t>
  </si>
  <si>
    <t>Coeff diff.</t>
  </si>
  <si>
    <t>CF21 = 30 secondes/4Pilin de ¼" x ¼"</t>
  </si>
  <si>
    <t>Qté trous</t>
  </si>
  <si>
    <t xml:space="preserve">Qté  </t>
  </si>
  <si>
    <t>Encoche</t>
  </si>
  <si>
    <t>table_enc</t>
  </si>
  <si>
    <t>total longueur</t>
  </si>
  <si>
    <t>prof_encoche_</t>
  </si>
  <si>
    <t>encoche_largeur</t>
  </si>
  <si>
    <t>prof trou</t>
  </si>
  <si>
    <t>Largeur encoche</t>
  </si>
  <si>
    <t>Prof encoche</t>
  </si>
  <si>
    <t xml:space="preserve">encoche_ </t>
  </si>
  <si>
    <t>Libre 2</t>
  </si>
  <si>
    <t>SI COEFF AUGMENTE =  PRIX BAISSE (DONC PEUT ÊTRE CHANGÉ À PARTIR DE 3" X 3" ENVIRON)</t>
  </si>
  <si>
    <t>Total</t>
  </si>
  <si>
    <t>V</t>
  </si>
  <si>
    <t>P</t>
  </si>
  <si>
    <t>S</t>
  </si>
  <si>
    <t>G</t>
  </si>
  <si>
    <t>F</t>
  </si>
  <si>
    <t>A</t>
  </si>
  <si>
    <t>TEMPS TOTAL</t>
  </si>
  <si>
    <t>Valeur de pierre</t>
  </si>
  <si>
    <t>Sciage secondaire</t>
  </si>
  <si>
    <t>Ancrages</t>
  </si>
  <si>
    <t>Finition</t>
  </si>
  <si>
    <t>Profilage</t>
  </si>
  <si>
    <t>Coeff diminution difficulté</t>
  </si>
  <si>
    <t>Trou 1</t>
  </si>
  <si>
    <t>Trou 2</t>
  </si>
  <si>
    <t>Libre 1</t>
  </si>
  <si>
    <t>Temps au Pi3</t>
  </si>
  <si>
    <t>Temps au Pi2</t>
  </si>
  <si>
    <t>Temps au Plin</t>
  </si>
  <si>
    <t>ALL Traduction</t>
  </si>
  <si>
    <t>Libelle</t>
  </si>
  <si>
    <t>In Stock</t>
  </si>
  <si>
    <t>En stock</t>
  </si>
  <si>
    <t>LF / Pièce</t>
  </si>
  <si>
    <t>SF / Pièce</t>
  </si>
  <si>
    <t>TRADUCTION TYPE D'ITEM</t>
  </si>
  <si>
    <t>TRADUCTION FINITION STANDARD</t>
  </si>
  <si>
    <t>FR</t>
  </si>
  <si>
    <t>EN</t>
  </si>
  <si>
    <t>Marche</t>
  </si>
  <si>
    <t>Step</t>
  </si>
  <si>
    <t xml:space="preserve">Dessus flammé, rock devant 1 long et 2 courts, balance sciée </t>
  </si>
  <si>
    <t>Thermal top, rock 3 sides, saw balance</t>
  </si>
  <si>
    <t xml:space="preserve">Perron  </t>
  </si>
  <si>
    <t>Landing</t>
  </si>
  <si>
    <t>Dessus de marche</t>
  </si>
  <si>
    <t>Tread</t>
  </si>
  <si>
    <t>Cap</t>
  </si>
  <si>
    <t>Dessus flammé, 4 côtés rockface, dessous scié</t>
  </si>
  <si>
    <t>Thermal top, rock 4 sides, sawn bottom</t>
  </si>
  <si>
    <t>Pavé</t>
  </si>
  <si>
    <t>Paver</t>
  </si>
  <si>
    <t>Dessus flammé, balance sciée</t>
  </si>
  <si>
    <t>Thermal top, saw balance</t>
  </si>
  <si>
    <t>Limon</t>
  </si>
  <si>
    <t>Filler</t>
  </si>
  <si>
    <t>Devant rockface, dos scié / guillotiné, balance sciée</t>
  </si>
  <si>
    <t>Rockface front, sawn / splitted back, saw balance</t>
  </si>
  <si>
    <t>Lampadaire</t>
  </si>
  <si>
    <t>Lamp post</t>
  </si>
  <si>
    <t>2 longs opposés flammés, 2 autres longs opposés rockace, bouts scié; trou centré sur la longueur</t>
  </si>
  <si>
    <t>Poteau</t>
  </si>
  <si>
    <t>Post</t>
  </si>
  <si>
    <t>2 longs opposés flammés, 2 autres longs opposés rockace, boutsguillotinés</t>
  </si>
  <si>
    <t>Pas japonais</t>
  </si>
  <si>
    <t>Flagstone</t>
  </si>
  <si>
    <t>Dessus flammé, forme irrégulière, côtés bruts / naturels</t>
  </si>
  <si>
    <t>Thermal top, irregular shape, rough / natural sides</t>
  </si>
  <si>
    <t>Perron radial</t>
  </si>
  <si>
    <t>Radius landing</t>
  </si>
  <si>
    <t>Dessus flammé, rock rayon au devant, balance sciée</t>
  </si>
  <si>
    <t>Thermal top, rocked radius edge at front, saw balance</t>
  </si>
  <si>
    <t>/ piece</t>
  </si>
  <si>
    <t>FORMAT SI MESURES MÉTRIQUES</t>
  </si>
  <si>
    <t>/ Mlin</t>
  </si>
  <si>
    <t xml:space="preserve">Poids total estimé du projet: </t>
  </si>
  <si>
    <t xml:space="preserve">Total estimated weight of project: </t>
  </si>
  <si>
    <t xml:space="preserve">Average weight per crate is: </t>
  </si>
  <si>
    <t>Date estimée début de livraison:</t>
  </si>
  <si>
    <t>Poids moyen par palette est:</t>
  </si>
  <si>
    <t>UNITÉ</t>
  </si>
  <si>
    <t>FOB</t>
  </si>
  <si>
    <t>TOTAL EXWORKS</t>
  </si>
  <si>
    <t>EX WORKS</t>
  </si>
  <si>
    <t>DIFFÉRENCE COÛT TRANSPORT</t>
  </si>
  <si>
    <t>$ TOTAL SANS TRANSPORT</t>
  </si>
  <si>
    <t>SHOP TICKETS</t>
  </si>
  <si>
    <t>GRAND TOTAL</t>
  </si>
  <si>
    <t>PETIT VOLUME</t>
  </si>
  <si>
    <t>VOLUME</t>
  </si>
  <si>
    <t>PRIX</t>
  </si>
  <si>
    <t>Ajout petite taille</t>
  </si>
  <si>
    <t>Volume</t>
  </si>
  <si>
    <t>TOTAL SOUMISSION</t>
  </si>
  <si>
    <t>Thermal opposite 2 long sides; 2 other opposite long sides rocked; ends splitted</t>
  </si>
  <si>
    <t>Thermal opposite 2 long sides; 2 other opposite long sides rocked; ends splitted; with hole</t>
  </si>
  <si>
    <t>CALCUL $ / VOLUME MOYEN</t>
  </si>
  <si>
    <t>PRIX THÉORIQUE VENDANT CAD</t>
  </si>
  <si>
    <t>PRIX THÉORIQUE VENDANT USD</t>
  </si>
  <si>
    <t>PRIX / EMBALLAGE</t>
  </si>
  <si>
    <t>EMBALLAGE</t>
  </si>
  <si>
    <t xml:space="preserve">To order: sign below &amp; fax or email us </t>
  </si>
  <si>
    <t>Pour commander: veuillez signer ci-dessous et nous retourner par fax ou courriel</t>
  </si>
  <si>
    <t>Calcul temps machine</t>
  </si>
  <si>
    <t xml:space="preserve"> week(s) after reception of approved shop tickets and purchase order according to latest quotation</t>
  </si>
  <si>
    <t>TOTAL LIVRÉ</t>
  </si>
  <si>
    <t>VALEUR PALETTE LIVRÉ</t>
  </si>
  <si>
    <t>SANS TRANSPORT - COMM. REPR.</t>
  </si>
  <si>
    <t>Estimated start of delivery:</t>
  </si>
  <si>
    <t>Incoterm :</t>
  </si>
  <si>
    <t>Comment(s) : Shop tickets and installation plan are to be provided by customer; All finished edge is considered with a minimum chamfer 1/8'' unless if another size is requested; excepted for rockface finish</t>
  </si>
  <si>
    <t>Note(s) : Dessins et plan d'installation fournis par le client; Toutes arêtes finies sont considérées avec un chanfrein minimum 1/8'' sauf si indication contraire, excepté pour le rockface</t>
  </si>
  <si>
    <t>Please verify the data and dimensions; it is the customer's responsibility to confirm that the descriptions mentioned in this quote all match the project requirements</t>
  </si>
  <si>
    <t>Veuillez vérifier les données et les dimensions; il est de la responsabilité du client de confirmer que les descriptions mentionnées dans ce devis correspondent toutes aux exigences du projet</t>
  </si>
  <si>
    <t xml:space="preserve"> week(s) after reception of approved shop tickets, purchase order according to latest quotation, payment of deposit if applicable and approved samples</t>
  </si>
  <si>
    <t xml:space="preserve"> semaine(s) après réception des dessins d'atelier approuvés, du bon de commande correspondant à la dernière soumission, du règlement de l'avance si requis et de l'approbation des échantillons</t>
  </si>
  <si>
    <t>TOT. WEIGHT</t>
  </si>
  <si>
    <t>RATIO CAD</t>
  </si>
  <si>
    <t>RATIO US</t>
  </si>
  <si>
    <t>This quote is valid if the order includes all the details mentioned above and if the stone is available at the date of purchase. ALL PRODUCTION DONE WILL BE IMMEDIATELY INVOICED.</t>
  </si>
  <si>
    <t>Ce devis est valable si la commande comprend tous les détails mentionnés ci-dessus et si la pierre est disponible à la date de l'achat. TOUTE MARCHANDISE PRODUITE SERA IMMÉDIATEMENT FACTURÉE.</t>
  </si>
  <si>
    <t>COÛT TRANSFORMATION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</si>
</sst>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0">
    <numFmt numFmtId="44" formatCode="_ * #,##0.00_)\ &quot;$&quot;_ ;_ * \(#,##0.00\)\ &quot;$&quot;_ ;_ * &quot;-&quot;??_)\ &quot;$&quot;_ ;_ @_ "/>
    <numFmt numFmtId="164" formatCode="_ * #,##0.00_)\ _$_ ;_ * \(#,##0.00\)\ _$_ ;_ * &quot;-&quot;??_)\ _$_ ;_ @_ "/>
    <numFmt numFmtId="165" formatCode="#,##0.00&quot;$&quot;;\-#,##0.00&quot;$&quot;"/>
    <numFmt numFmtId="166" formatCode="_-* #,##0.00_$_-;\-* #,##0.00_$_-;_-* &quot;-&quot;??_$_-;_-@_-"/>
    <numFmt numFmtId="167" formatCode="_ * #,##0_)\ &quot;$&quot;_ ;_ * \(#,##0\)\ &quot;$&quot;_ ;_ * &quot;-&quot;??_)\ &quot;$&quot;_ ;_ @_ "/>
    <numFmt numFmtId="168" formatCode="0.0&quot; pi2&quot;"/>
    <numFmt numFmtId="169" formatCode="[&gt;0]#,##0&quot; lbs&quot;;&quot;-&quot;"/>
    <numFmt numFmtId="170" formatCode="#,##0.00&quot; $&quot;;[Red]\-#,##0.00&quot; $&quot;"/>
    <numFmt numFmtId="171" formatCode="#,##0.00[$€];[Red]\-#,##0.00[$€]"/>
    <numFmt numFmtId="172" formatCode="yyyy\ mmm\ dd"/>
    <numFmt numFmtId="173" formatCode="#&quot; &quot;##/##&quot; ''&quot;"/>
    <numFmt numFmtId="174" formatCode="0.0&quot; LF&quot;"/>
    <numFmt numFmtId="175" formatCode="#,##0.0&quot; SF&quot;"/>
    <numFmt numFmtId="176" formatCode="#,##0.0&quot; CF&quot;"/>
    <numFmt numFmtId="177" formatCode="0&quot; &quot;##/##&quot; ''&quot;"/>
    <numFmt numFmtId="178" formatCode="#,##0.00\ &quot;$&quot;"/>
    <numFmt numFmtId="179" formatCode="0.00&quot; pi2&quot;"/>
    <numFmt numFmtId="180" formatCode="0.00&quot; $/pi2&quot;"/>
    <numFmt numFmtId="181" formatCode="0.00&quot; $/pi3&quot;"/>
    <numFmt numFmtId="182" formatCode="0.00&quot; pi3&quot;"/>
    <numFmt numFmtId="183" formatCode="0.0"/>
    <numFmt numFmtId="184" formatCode="0.00&quot; $/plin&quot;"/>
    <numFmt numFmtId="185" formatCode="0.00&quot; plin&quot;"/>
    <numFmt numFmtId="186" formatCode="[=11.9999]&quot;random&quot;;[=12.0001]&quot;C.T.S.&quot;;0&quot; ''&quot;"/>
    <numFmt numFmtId="187" formatCode="0.00&quot; $/hre&quot;"/>
    <numFmt numFmtId="188" formatCode="0.00&quot; hre&quot;"/>
    <numFmt numFmtId="189" formatCode="0.00&quot; $/unité&quot;"/>
    <numFmt numFmtId="190" formatCode="\ #&quot; &quot;##/##&quot; ''&quot;"/>
    <numFmt numFmtId="191" formatCode="#.00&quot;&quot;&quot; $/pi3&quot;"/>
    <numFmt numFmtId="192" formatCode="\ 0&quot; &quot;##/##&quot; ''&quot;"/>
    <numFmt numFmtId="193" formatCode="[$-1009]mmmm\ d\,\ yyyy;@"/>
    <numFmt numFmtId="194" formatCode="0.00&quot; &quot;&quot;$/pi3&quot;"/>
    <numFmt numFmtId="195" formatCode="0.00&quot; $CDN/pi3&quot;"/>
    <numFmt numFmtId="196" formatCode="0&quot; lbs/pi3&quot;"/>
    <numFmt numFmtId="197" formatCode="0.00&quot; pi3/voyage&quot;"/>
    <numFmt numFmtId="198" formatCode="\+\ 0.00&quot; $/pi3&quot;"/>
    <numFmt numFmtId="199" formatCode="0.00&quot; $/voyage&quot;"/>
    <numFmt numFmtId="200" formatCode="0&quot; lbs/voy&quot;"/>
    <numFmt numFmtId="201" formatCode="\+\ 0.00&quot; &quot;&quot;$/unité&quot;"/>
    <numFmt numFmtId="202" formatCode="0.0&quot; pi3 / unité&quot;"/>
    <numFmt numFmtId="203" formatCode="0&quot; mm&quot;"/>
    <numFmt numFmtId="204" formatCode="#\ ##0.0&quot; pi3&quot;"/>
    <numFmt numFmtId="205" formatCode="0.000"/>
    <numFmt numFmtId="206" formatCode="[=999.99]&quot;steve&quot;;[=1000]&quot;min. 1000 mm&quot;;0&quot; ''&quot;"/>
    <numFmt numFmtId="207" formatCode="0.0&quot; pl&quot;"/>
    <numFmt numFmtId="208" formatCode="0&quot; pi3&quot;"/>
    <numFmt numFmtId="209" formatCode="0&quot; lbs&quot;"/>
    <numFmt numFmtId="210" formatCode="0_ ;[Red]\-0\ "/>
    <numFmt numFmtId="211" formatCode="0&quot; $/h&quot;"/>
    <numFmt numFmtId="212" formatCode="0.00&quot;$ du pl&quot;"/>
    <numFmt numFmtId="213" formatCode="0&quot; $&quot;"/>
    <numFmt numFmtId="214" formatCode="0.0&quot; plin&quot;"/>
    <numFmt numFmtId="215" formatCode="0&quot; trous&quot;"/>
    <numFmt numFmtId="216" formatCode="0.00&quot; $/trou&quot;"/>
    <numFmt numFmtId="217" formatCode="0.0&quot; $/trou&quot;"/>
    <numFmt numFmtId="218" formatCode="_ * #,##0.00_)\ [$$-C0C]_ ;_ * \(#,##0.00\)\ [$$-C0C]_ ;_ * &quot;-&quot;??_)\ [$$-C0C]_ ;_ @_ "/>
    <numFmt numFmtId="219" formatCode="0&quot; ''&quot;"/>
    <numFmt numFmtId="220" formatCode="0&quot; un&quot;"/>
    <numFmt numFmtId="221" formatCode="0.00&quot;$/heure&quot;"/>
    <numFmt numFmtId="222" formatCode="0.00&quot; $/ Plin&quot;"/>
    <numFmt numFmtId="223" formatCode="0.0&quot; seconde/LF&quot;"/>
    <numFmt numFmtId="224" formatCode="0&quot;  Plin/minute&quot;"/>
    <numFmt numFmtId="225" formatCode="0&quot;  Plin/ heure&quot;"/>
    <numFmt numFmtId="226" formatCode="0&quot; Min&quot;"/>
    <numFmt numFmtId="227" formatCode="0.00&quot; &quot;&quot;$/unité&quot;"/>
    <numFmt numFmtId="228" formatCode="0.00&quot; heure&quot;"/>
    <numFmt numFmtId="229" formatCode="0.00&quot; &quot;&quot;Min/Pi3&quot;"/>
    <numFmt numFmtId="230" formatCode="0.00&quot; &quot;&quot;Min/Pi2&quot;"/>
    <numFmt numFmtId="231" formatCode="0.00&quot; &quot;&quot;Min/Plin&quot;"/>
    <numFmt numFmtId="232" formatCode="##&quot; mm&quot;"/>
    <numFmt numFmtId="233" formatCode="[$-C0C]d\ mmmm\,\ yyyy;@"/>
    <numFmt numFmtId="234" formatCode="[$-F800]dddd\,\ mmmm\ dd\,\ yyyy"/>
    <numFmt numFmtId="235" formatCode="######&quot; Lbs&quot;"/>
    <numFmt numFmtId="236" formatCode="0.00&quot; &quot;&quot;$ / pi3&quot;"/>
    <numFmt numFmtId="237" formatCode="0&quot; $ / UNITÉ&quot;"/>
    <numFmt numFmtId="238" formatCode="0&quot; palette&quot;"/>
    <numFmt numFmtId="239" formatCode="0&quot; $ / total&quot;"/>
    <numFmt numFmtId="240" formatCode="0&quot; $ / facturé&quot;"/>
    <numFmt numFmtId="241" formatCode="0.00&quot; $ / différence&quot;"/>
    <numFmt numFmtId="242" formatCode="0&quot; Lbs&quot;"/>
  </numFmts>
  <fonts count="78">
    <font>
      <sz val="10"/>
      <name val="Arial"/>
    </font>
    <font>
      <sz val="10"/>
      <name val="Arial"/>
      <family val="2"/>
    </font>
    <font>
      <sz val="10"/>
      <name val="Geneva"/>
      <family val="2"/>
    </font>
    <font>
      <sz val="14"/>
      <name val="Geneva"/>
      <family val="2"/>
    </font>
    <font>
      <b/>
      <sz val="16"/>
      <name val="Geneva"/>
      <family val="2"/>
    </font>
    <font>
      <sz val="12"/>
      <name val="Geneva"/>
      <family val="2"/>
    </font>
    <font>
      <sz val="9"/>
      <name val="Geneva"/>
      <family val="2"/>
    </font>
    <font>
      <b/>
      <sz val="12"/>
      <name val="Geneva"/>
      <family val="2"/>
    </font>
    <font>
      <sz val="11"/>
      <name val="Geneva"/>
      <family val="2"/>
    </font>
    <font>
      <b/>
      <sz val="11"/>
      <name val="Geneva"/>
      <family val="2"/>
    </font>
    <font>
      <i/>
      <sz val="11"/>
      <name val="Geneva"/>
      <family val="2"/>
    </font>
    <font>
      <b/>
      <i/>
      <sz val="11"/>
      <name val="Geneva"/>
      <family val="2"/>
    </font>
    <font>
      <sz val="11"/>
      <color indexed="9"/>
      <name val="Geneva"/>
      <family val="2"/>
    </font>
    <font>
      <b/>
      <sz val="14"/>
      <name val="Geneva"/>
      <family val="2"/>
    </font>
    <font>
      <sz val="10"/>
      <color indexed="12"/>
      <name val="Geneva"/>
      <family val="2"/>
    </font>
    <font>
      <sz val="11"/>
      <color indexed="10"/>
      <name val="Geneva"/>
      <family val="2"/>
    </font>
    <font>
      <b/>
      <sz val="11"/>
      <color indexed="10"/>
      <name val="Geneva"/>
      <family val="2"/>
    </font>
    <font>
      <sz val="11"/>
      <color indexed="12"/>
      <name val="Geneva"/>
      <family val="2"/>
    </font>
    <font>
      <b/>
      <sz val="11"/>
      <color indexed="12"/>
      <name val="Geneva"/>
      <family val="2"/>
    </font>
    <font>
      <b/>
      <u/>
      <sz val="13"/>
      <color indexed="10"/>
      <name val="Geneva"/>
      <family val="2"/>
    </font>
    <font>
      <sz val="10"/>
      <color indexed="10"/>
      <name val="Arial"/>
      <family val="2"/>
    </font>
    <font>
      <sz val="10"/>
      <color indexed="12"/>
      <name val="Arial"/>
      <family val="2"/>
    </font>
    <font>
      <sz val="10"/>
      <name val="Arial"/>
      <family val="2"/>
    </font>
    <font>
      <sz val="10"/>
      <color indexed="53"/>
      <name val="Arial"/>
      <family val="2"/>
    </font>
    <font>
      <sz val="14"/>
      <color indexed="10"/>
      <name val="Geneva"/>
      <family val="2"/>
    </font>
    <font>
      <u/>
      <sz val="14"/>
      <name val="Geneva"/>
      <family val="2"/>
    </font>
    <font>
      <sz val="11"/>
      <name val="Arial"/>
      <family val="2"/>
    </font>
    <font>
      <sz val="7"/>
      <color indexed="10"/>
      <name val="Geneva"/>
      <family val="2"/>
    </font>
    <font>
      <b/>
      <sz val="10"/>
      <name val="Arial"/>
      <family val="2"/>
    </font>
    <font>
      <b/>
      <sz val="11"/>
      <name val="Arial"/>
      <family val="2"/>
    </font>
    <font>
      <b/>
      <sz val="11"/>
      <color indexed="10"/>
      <name val="Arial"/>
      <family val="2"/>
    </font>
    <font>
      <sz val="8"/>
      <name val="Geneva"/>
      <family val="2"/>
    </font>
    <font>
      <sz val="8"/>
      <color indexed="10"/>
      <name val="Geneva"/>
      <family val="2"/>
    </font>
    <font>
      <sz val="8"/>
      <name val="Arial"/>
      <family val="2"/>
    </font>
    <font>
      <sz val="8"/>
      <name val="Verdana"/>
      <family val="2"/>
    </font>
    <font>
      <sz val="12"/>
      <color indexed="9"/>
      <name val="Geneva"/>
      <family val="2"/>
    </font>
    <font>
      <b/>
      <sz val="10"/>
      <color indexed="48"/>
      <name val="Arial"/>
      <family val="2"/>
    </font>
    <font>
      <sz val="11"/>
      <color indexed="10"/>
      <name val="Arial"/>
      <family val="2"/>
    </font>
    <font>
      <sz val="11"/>
      <name val="Arial"/>
      <family val="2"/>
    </font>
    <font>
      <sz val="8"/>
      <color indexed="81"/>
      <name val="Tahoma"/>
      <family val="2"/>
    </font>
    <font>
      <b/>
      <sz val="8"/>
      <color indexed="81"/>
      <name val="Tahoma"/>
      <family val="2"/>
    </font>
    <font>
      <sz val="14"/>
      <name val="Arial"/>
      <family val="2"/>
    </font>
    <font>
      <b/>
      <sz val="10"/>
      <color indexed="14"/>
      <name val="Arial"/>
      <family val="2"/>
    </font>
    <font>
      <b/>
      <sz val="12"/>
      <name val="Arial"/>
      <family val="2"/>
    </font>
    <font>
      <b/>
      <sz val="10"/>
      <color indexed="9"/>
      <name val="Geneva"/>
      <family val="2"/>
    </font>
    <font>
      <b/>
      <u/>
      <sz val="16"/>
      <name val="Geneva"/>
      <family val="2"/>
    </font>
    <font>
      <b/>
      <u/>
      <sz val="16"/>
      <name val="Arial"/>
      <family val="2"/>
    </font>
    <font>
      <u/>
      <sz val="16"/>
      <name val="Arial"/>
      <family val="2"/>
    </font>
    <font>
      <sz val="10"/>
      <color indexed="9"/>
      <name val="Arial"/>
      <family val="2"/>
    </font>
    <font>
      <b/>
      <sz val="12"/>
      <color indexed="9"/>
      <name val="Geneva"/>
      <family val="2"/>
    </font>
    <font>
      <sz val="12"/>
      <color indexed="9"/>
      <name val="Arial"/>
      <family val="2"/>
    </font>
    <font>
      <b/>
      <u/>
      <sz val="12"/>
      <name val="Geneva"/>
      <family val="2"/>
    </font>
    <font>
      <u/>
      <sz val="12"/>
      <name val="Arial"/>
      <family val="2"/>
    </font>
    <font>
      <u/>
      <sz val="10"/>
      <name val="Arial"/>
      <family val="2"/>
    </font>
    <font>
      <sz val="12"/>
      <color indexed="10"/>
      <name val="Arial"/>
      <family val="2"/>
    </font>
    <font>
      <sz val="24"/>
      <color indexed="9"/>
      <name val="Geneva"/>
      <family val="2"/>
    </font>
    <font>
      <sz val="24"/>
      <color indexed="9"/>
      <name val="Arial"/>
      <family val="2"/>
    </font>
    <font>
      <b/>
      <sz val="24"/>
      <color indexed="9"/>
      <name val="Geneva"/>
      <family val="2"/>
    </font>
    <font>
      <sz val="10"/>
      <color indexed="8"/>
      <name val="Arial"/>
      <family val="2"/>
    </font>
    <font>
      <sz val="9"/>
      <color indexed="81"/>
      <name val="Tahoma"/>
      <family val="2"/>
    </font>
    <font>
      <b/>
      <sz val="9"/>
      <color indexed="81"/>
      <name val="Tahoma"/>
      <family val="2"/>
    </font>
    <font>
      <b/>
      <sz val="8"/>
      <name val="Arial"/>
      <family val="2"/>
    </font>
    <font>
      <b/>
      <sz val="8"/>
      <color indexed="9"/>
      <name val="Geneva"/>
      <family val="2"/>
    </font>
    <font>
      <b/>
      <sz val="10"/>
      <color indexed="9"/>
      <name val="Arial"/>
      <family val="2"/>
    </font>
    <font>
      <sz val="8"/>
      <color indexed="8"/>
      <name val="Arial"/>
      <family val="2"/>
    </font>
    <font>
      <sz val="8"/>
      <color indexed="8"/>
      <name val="Arial"/>
      <family val="2"/>
    </font>
    <font>
      <sz val="10"/>
      <color indexed="8"/>
      <name val="Arial"/>
      <family val="2"/>
    </font>
    <font>
      <b/>
      <sz val="10"/>
      <color indexed="9"/>
      <name val="Arial"/>
      <family val="2"/>
    </font>
    <font>
      <sz val="11"/>
      <color indexed="8"/>
      <name val="Geneva"/>
      <family val="2"/>
    </font>
    <font>
      <sz val="10"/>
      <name val="Arial"/>
      <family val="2"/>
    </font>
    <font>
      <sz val="12"/>
      <name val="Arial"/>
      <family val="2"/>
    </font>
    <font>
      <b/>
      <sz val="20"/>
      <name val="Geneva"/>
      <family val="2"/>
    </font>
    <font>
      <sz val="16"/>
      <name val="Geneva"/>
      <family val="2"/>
    </font>
    <font>
      <sz val="11"/>
      <color theme="1"/>
      <name val="Geneva"/>
      <family val="2"/>
    </font>
    <font>
      <sz val="10"/>
      <color theme="1"/>
      <name val="Arial"/>
      <family val="2"/>
    </font>
    <font>
      <i/>
      <sz val="11"/>
      <name val="Arial"/>
      <family val="2"/>
    </font>
    <font>
      <i/>
      <sz val="14"/>
      <color indexed="12"/>
      <name val="Lucida Handwriting Italic"/>
    </font>
    <font>
      <i/>
      <sz val="14"/>
      <color rgb="FF0000D4"/>
      <name val="Lucida Handwriting Italic"/>
    </font>
  </fonts>
  <fills count="22">
    <fill>
      <patternFill patternType="none"/>
    </fill>
    <fill>
      <patternFill patternType="gray125"/>
    </fill>
    <fill>
      <patternFill patternType="solid">
        <fgColor indexed="42"/>
        <bgColor indexed="64"/>
      </patternFill>
    </fill>
    <fill>
      <patternFill patternType="solid">
        <fgColor indexed="44"/>
        <bgColor indexed="64"/>
      </patternFill>
    </fill>
    <fill>
      <patternFill patternType="solid">
        <fgColor indexed="43"/>
        <bgColor indexed="64"/>
      </patternFill>
    </fill>
    <fill>
      <patternFill patternType="solid">
        <fgColor indexed="47"/>
        <bgColor indexed="64"/>
      </patternFill>
    </fill>
    <fill>
      <patternFill patternType="solid">
        <fgColor indexed="22"/>
        <bgColor indexed="64"/>
      </patternFill>
    </fill>
    <fill>
      <patternFill patternType="solid">
        <fgColor indexed="63"/>
        <bgColor indexed="64"/>
      </patternFill>
    </fill>
    <fill>
      <patternFill patternType="solid">
        <fgColor indexed="27"/>
        <bgColor indexed="64"/>
      </patternFill>
    </fill>
    <fill>
      <patternFill patternType="solid">
        <fgColor indexed="8"/>
        <bgColor indexed="8"/>
      </patternFill>
    </fill>
    <fill>
      <patternFill patternType="solid">
        <fgColor indexed="34"/>
        <bgColor indexed="64"/>
      </patternFill>
    </fill>
    <fill>
      <patternFill patternType="solid">
        <fgColor indexed="22"/>
        <bgColor indexed="22"/>
      </patternFill>
    </fill>
    <fill>
      <patternFill patternType="solid">
        <fgColor indexed="51"/>
        <bgColor indexed="64"/>
      </patternFill>
    </fill>
    <fill>
      <patternFill patternType="solid">
        <fgColor indexed="11"/>
        <bgColor indexed="64"/>
      </patternFill>
    </fill>
    <fill>
      <patternFill patternType="solid">
        <fgColor indexed="9"/>
        <bgColor indexed="64"/>
      </patternFill>
    </fill>
    <fill>
      <patternFill patternType="solid">
        <fgColor indexed="49"/>
        <bgColor indexed="64"/>
      </patternFill>
    </fill>
    <fill>
      <patternFill patternType="solid">
        <fgColor indexed="19"/>
        <bgColor indexed="64"/>
      </patternFill>
    </fill>
    <fill>
      <patternFill patternType="solid">
        <fgColor indexed="26"/>
        <bgColor indexed="64"/>
      </patternFill>
    </fill>
    <fill>
      <patternFill patternType="solid">
        <fgColor indexed="45"/>
        <bgColor indexed="64"/>
      </patternFill>
    </fill>
    <fill>
      <patternFill patternType="solid">
        <fgColor indexed="13"/>
        <bgColor indexed="64"/>
      </patternFill>
    </fill>
    <fill>
      <patternFill patternType="solid">
        <fgColor indexed="40"/>
        <bgColor indexed="64"/>
      </patternFill>
    </fill>
    <fill>
      <patternFill patternType="solid">
        <fgColor theme="0"/>
        <bgColor indexed="64"/>
      </patternFill>
    </fill>
  </fills>
  <borders count="10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dott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double">
        <color indexed="64"/>
      </left>
      <right/>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dotted">
        <color indexed="64"/>
      </left>
      <right style="dotted">
        <color indexed="64"/>
      </right>
      <top style="double">
        <color indexed="64"/>
      </top>
      <bottom style="double">
        <color indexed="64"/>
      </bottom>
      <diagonal/>
    </border>
    <border>
      <left style="dashed">
        <color indexed="64"/>
      </left>
      <right style="dashed">
        <color indexed="64"/>
      </right>
      <top/>
      <bottom style="double">
        <color indexed="64"/>
      </bottom>
      <diagonal/>
    </border>
    <border>
      <left style="dotted">
        <color indexed="64"/>
      </left>
      <right style="dashDotDot">
        <color indexed="64"/>
      </right>
      <top style="double">
        <color indexed="64"/>
      </top>
      <bottom style="double">
        <color indexed="64"/>
      </bottom>
      <diagonal/>
    </border>
    <border>
      <left style="dashDotDot">
        <color indexed="64"/>
      </left>
      <right style="dashDotDot">
        <color indexed="64"/>
      </right>
      <top style="double">
        <color indexed="64"/>
      </top>
      <bottom style="double">
        <color indexed="64"/>
      </bottom>
      <diagonal/>
    </border>
    <border>
      <left style="dashDotDot">
        <color indexed="64"/>
      </left>
      <right style="dotted">
        <color indexed="64"/>
      </right>
      <top style="double">
        <color indexed="64"/>
      </top>
      <bottom style="double">
        <color indexed="64"/>
      </bottom>
      <diagonal/>
    </border>
    <border>
      <left style="dotted">
        <color indexed="64"/>
      </left>
      <right style="dashDot">
        <color indexed="64"/>
      </right>
      <top style="double">
        <color indexed="64"/>
      </top>
      <bottom style="double">
        <color indexed="64"/>
      </bottom>
      <diagonal/>
    </border>
    <border>
      <left style="dashDot">
        <color indexed="64"/>
      </left>
      <right style="dashDot">
        <color indexed="64"/>
      </right>
      <top style="double">
        <color indexed="64"/>
      </top>
      <bottom style="double">
        <color indexed="64"/>
      </bottom>
      <diagonal/>
    </border>
    <border>
      <left style="dashDot">
        <color indexed="64"/>
      </left>
      <right style="dotted">
        <color indexed="64"/>
      </right>
      <top style="double">
        <color indexed="64"/>
      </top>
      <bottom style="double">
        <color indexed="64"/>
      </bottom>
      <diagonal/>
    </border>
    <border>
      <left style="dotted">
        <color indexed="64"/>
      </left>
      <right style="dashed">
        <color indexed="64"/>
      </right>
      <top/>
      <bottom style="double">
        <color indexed="64"/>
      </bottom>
      <diagonal/>
    </border>
    <border>
      <left style="dashed">
        <color indexed="64"/>
      </left>
      <right style="dotted">
        <color indexed="64"/>
      </right>
      <top/>
      <bottom style="double">
        <color indexed="64"/>
      </bottom>
      <diagonal/>
    </border>
    <border>
      <left/>
      <right style="dashDot">
        <color indexed="9"/>
      </right>
      <top/>
      <bottom/>
      <diagonal/>
    </border>
    <border>
      <left style="dashDot">
        <color indexed="9"/>
      </left>
      <right style="dashDot">
        <color indexed="9"/>
      </right>
      <top/>
      <bottom/>
      <diagonal/>
    </border>
    <border>
      <left style="dashDot">
        <color indexed="9"/>
      </left>
      <right/>
      <top/>
      <bottom/>
      <diagonal/>
    </border>
    <border>
      <left style="medium">
        <color indexed="64"/>
      </left>
      <right style="medium">
        <color indexed="9"/>
      </right>
      <top style="medium">
        <color indexed="64"/>
      </top>
      <bottom/>
      <diagonal/>
    </border>
    <border>
      <left style="medium">
        <color indexed="9"/>
      </left>
      <right style="thin">
        <color indexed="64"/>
      </right>
      <top/>
      <bottom/>
      <diagonal/>
    </border>
    <border>
      <left style="medium">
        <color indexed="9"/>
      </left>
      <right style="thin">
        <color indexed="64"/>
      </right>
      <top/>
      <bottom style="medium">
        <color indexed="64"/>
      </bottom>
      <diagonal/>
    </border>
    <border>
      <left style="medium">
        <color indexed="64"/>
      </left>
      <right style="medium">
        <color indexed="9"/>
      </right>
      <top style="thin">
        <color indexed="9"/>
      </top>
      <bottom/>
      <diagonal/>
    </border>
    <border>
      <left style="medium">
        <color indexed="9"/>
      </left>
      <right style="thin">
        <color indexed="64"/>
      </right>
      <top style="thin">
        <color indexed="9"/>
      </top>
      <bottom/>
      <diagonal/>
    </border>
    <border>
      <left style="medium">
        <color indexed="64"/>
      </left>
      <right style="medium">
        <color indexed="9"/>
      </right>
      <top/>
      <bottom/>
      <diagonal/>
    </border>
    <border>
      <left style="medium">
        <color indexed="64"/>
      </left>
      <right style="medium">
        <color indexed="9"/>
      </right>
      <top/>
      <bottom style="medium">
        <color indexed="9"/>
      </bottom>
      <diagonal/>
    </border>
    <border>
      <left style="medium">
        <color indexed="9"/>
      </left>
      <right style="thin">
        <color indexed="64"/>
      </right>
      <top/>
      <bottom style="medium">
        <color indexed="9"/>
      </bottom>
      <diagonal/>
    </border>
    <border>
      <left style="thin">
        <color indexed="8"/>
      </left>
      <right/>
      <top style="thin">
        <color indexed="8"/>
      </top>
      <bottom style="thin">
        <color indexed="8"/>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8"/>
      </left>
      <right/>
      <top style="thin">
        <color indexed="8"/>
      </top>
      <bottom/>
      <diagonal/>
    </border>
    <border>
      <left style="medium">
        <color indexed="9"/>
      </left>
      <right/>
      <top/>
      <bottom/>
      <diagonal/>
    </border>
    <border>
      <left style="medium">
        <color indexed="64"/>
      </left>
      <right style="medium">
        <color indexed="64"/>
      </right>
      <top style="medium">
        <color indexed="64"/>
      </top>
      <bottom/>
      <diagonal/>
    </border>
    <border>
      <left style="medium">
        <color indexed="64"/>
      </left>
      <right style="medium">
        <color indexed="9"/>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9"/>
      </left>
      <right style="thin">
        <color indexed="8"/>
      </right>
      <top style="thin">
        <color indexed="8"/>
      </top>
      <bottom/>
      <diagonal/>
    </border>
    <border>
      <left/>
      <right style="thin">
        <color indexed="8"/>
      </right>
      <top style="thin">
        <color indexed="8"/>
      </top>
      <bottom/>
      <diagonal/>
    </border>
    <border>
      <left/>
      <right style="thin">
        <color indexed="8"/>
      </right>
      <top style="thin">
        <color indexed="8"/>
      </top>
      <bottom style="thin">
        <color indexed="8"/>
      </bottom>
      <diagonal/>
    </border>
    <border>
      <left style="medium">
        <color indexed="9"/>
      </left>
      <right/>
      <top style="thin">
        <color indexed="8"/>
      </top>
      <bottom/>
      <diagonal/>
    </border>
    <border>
      <left style="medium">
        <color indexed="9"/>
      </left>
      <right style="thin">
        <color indexed="64"/>
      </right>
      <top style="thin">
        <color indexed="8"/>
      </top>
      <bottom/>
      <diagonal/>
    </border>
    <border>
      <left style="thin">
        <color indexed="64"/>
      </left>
      <right/>
      <top style="medium">
        <color indexed="64"/>
      </top>
      <bottom style="thin">
        <color indexed="64"/>
      </bottom>
      <diagonal/>
    </border>
    <border>
      <left style="double">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right/>
      <top style="medium">
        <color indexed="64"/>
      </top>
      <bottom style="thin">
        <color indexed="64"/>
      </bottom>
      <diagonal/>
    </border>
    <border>
      <left/>
      <right style="dotted">
        <color indexed="64"/>
      </right>
      <top style="double">
        <color indexed="64"/>
      </top>
      <bottom style="double">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tted">
        <color indexed="64"/>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thin">
        <color indexed="64"/>
      </top>
      <bottom/>
      <diagonal/>
    </border>
    <border>
      <left style="dashDot">
        <color indexed="64"/>
      </left>
      <right style="dashDot">
        <color indexed="64"/>
      </right>
      <top style="medium">
        <color indexed="64"/>
      </top>
      <bottom style="medium">
        <color indexed="64"/>
      </bottom>
      <diagonal/>
    </border>
  </borders>
  <cellStyleXfs count="17">
    <xf numFmtId="0" fontId="0" fillId="0" borderId="0"/>
    <xf numFmtId="171"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4" fontId="1"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2" fillId="0" borderId="0"/>
    <xf numFmtId="0" fontId="2"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cellStyleXfs>
  <cellXfs count="698">
    <xf numFmtId="0" fontId="0" fillId="0" borderId="0" xfId="0"/>
    <xf numFmtId="0" fontId="2" fillId="0" borderId="0" xfId="10"/>
    <xf numFmtId="0" fontId="2" fillId="0" borderId="0" xfId="10" applyAlignment="1">
      <alignment horizontal="center"/>
    </xf>
    <xf numFmtId="0" fontId="2" fillId="0" borderId="0" xfId="10" applyAlignment="1">
      <alignment horizontal="right"/>
    </xf>
    <xf numFmtId="0" fontId="3" fillId="0" borderId="0" xfId="10" applyFont="1" applyAlignment="1">
      <alignment horizontal="center"/>
    </xf>
    <xf numFmtId="0" fontId="4" fillId="0" borderId="0" xfId="10" applyFont="1" applyAlignment="1">
      <alignment horizontal="right"/>
    </xf>
    <xf numFmtId="172" fontId="2" fillId="0" borderId="0" xfId="10" applyNumberFormat="1" applyAlignment="1">
      <alignment horizontal="center"/>
    </xf>
    <xf numFmtId="0" fontId="5" fillId="0" borderId="0" xfId="10" applyFont="1"/>
    <xf numFmtId="0" fontId="6" fillId="0" borderId="0" xfId="10" applyFont="1" applyAlignment="1">
      <alignment textRotation="90"/>
    </xf>
    <xf numFmtId="0" fontId="8" fillId="0" borderId="0" xfId="10" applyFont="1"/>
    <xf numFmtId="0" fontId="8" fillId="0" borderId="0" xfId="10" applyFont="1" applyAlignment="1">
      <alignment horizontal="center"/>
    </xf>
    <xf numFmtId="172" fontId="8" fillId="0" borderId="0" xfId="10" applyNumberFormat="1" applyFont="1" applyAlignment="1">
      <alignment horizontal="center"/>
    </xf>
    <xf numFmtId="44" fontId="3" fillId="0" borderId="0" xfId="4" applyFont="1" applyBorder="1" applyAlignment="1" applyProtection="1">
      <protection locked="0"/>
    </xf>
    <xf numFmtId="169" fontId="2" fillId="0" borderId="0" xfId="10" applyNumberFormat="1" applyAlignment="1">
      <alignment horizontal="center"/>
    </xf>
    <xf numFmtId="172" fontId="8" fillId="0" borderId="0" xfId="10" quotePrefix="1" applyNumberFormat="1" applyFont="1" applyAlignment="1">
      <alignment horizontal="center"/>
    </xf>
    <xf numFmtId="1" fontId="2" fillId="0" borderId="0" xfId="10" applyNumberFormat="1"/>
    <xf numFmtId="174" fontId="2" fillId="0" borderId="0" xfId="10" applyNumberFormat="1" applyAlignment="1">
      <alignment horizontal="right"/>
    </xf>
    <xf numFmtId="0" fontId="9" fillId="0" borderId="0" xfId="0" applyFont="1" applyProtection="1">
      <protection locked="0"/>
    </xf>
    <xf numFmtId="0" fontId="8" fillId="0" borderId="0" xfId="10" applyFont="1" applyAlignment="1">
      <alignment horizontal="center" wrapText="1"/>
    </xf>
    <xf numFmtId="0" fontId="8" fillId="0" borderId="0" xfId="10" applyFont="1" applyAlignment="1">
      <alignment horizontal="left" wrapText="1"/>
    </xf>
    <xf numFmtId="0" fontId="10" fillId="0" borderId="0" xfId="10" applyFont="1" applyAlignment="1">
      <alignment horizontal="center" textRotation="90"/>
    </xf>
    <xf numFmtId="1" fontId="9" fillId="0" borderId="0" xfId="10" applyNumberFormat="1" applyFont="1" applyAlignment="1">
      <alignment horizontal="center" wrapText="1"/>
    </xf>
    <xf numFmtId="44" fontId="8" fillId="0" borderId="0" xfId="4" applyFont="1" applyFill="1" applyBorder="1" applyAlignment="1">
      <alignment horizontal="center" wrapText="1"/>
    </xf>
    <xf numFmtId="173" fontId="8" fillId="0" borderId="0" xfId="10" applyNumberFormat="1" applyFont="1" applyAlignment="1">
      <alignment horizontal="right" wrapText="1"/>
    </xf>
    <xf numFmtId="169" fontId="9" fillId="0" borderId="0" xfId="2" applyNumberFormat="1" applyFont="1" applyFill="1" applyBorder="1" applyAlignment="1"/>
    <xf numFmtId="44" fontId="12" fillId="0" borderId="0" xfId="4" applyFont="1" applyFill="1" applyBorder="1" applyAlignment="1">
      <alignment horizontal="center"/>
    </xf>
    <xf numFmtId="167" fontId="12" fillId="0" borderId="0" xfId="6" quotePrefix="1" applyNumberFormat="1" applyFont="1" applyFill="1" applyBorder="1" applyAlignment="1" applyProtection="1">
      <alignment horizontal="center" wrapText="1"/>
      <protection locked="0"/>
    </xf>
    <xf numFmtId="0" fontId="5" fillId="0" borderId="0" xfId="0" applyFont="1"/>
    <xf numFmtId="0" fontId="13" fillId="0" borderId="0" xfId="10" applyFont="1" applyProtection="1">
      <protection locked="0"/>
    </xf>
    <xf numFmtId="0" fontId="5" fillId="0" borderId="0" xfId="10" applyFont="1" applyAlignment="1">
      <alignment horizontal="left"/>
    </xf>
    <xf numFmtId="0" fontId="5" fillId="0" borderId="0" xfId="10" quotePrefix="1" applyFont="1" applyAlignment="1">
      <alignment horizontal="left"/>
    </xf>
    <xf numFmtId="1" fontId="5" fillId="0" borderId="0" xfId="10" applyNumberFormat="1" applyFont="1"/>
    <xf numFmtId="0" fontId="5" fillId="0" borderId="0" xfId="10" applyFont="1" applyAlignment="1">
      <alignment horizontal="right"/>
    </xf>
    <xf numFmtId="174" fontId="5" fillId="0" borderId="0" xfId="10" applyNumberFormat="1" applyFont="1" applyAlignment="1">
      <alignment horizontal="right"/>
    </xf>
    <xf numFmtId="169" fontId="5" fillId="0" borderId="0" xfId="10" applyNumberFormat="1" applyFont="1"/>
    <xf numFmtId="44" fontId="5" fillId="0" borderId="0" xfId="4" applyFont="1" applyFill="1" applyBorder="1" applyAlignment="1"/>
    <xf numFmtId="44" fontId="8" fillId="0" borderId="0" xfId="4" applyFont="1" applyFill="1" applyBorder="1" applyAlignment="1">
      <alignment horizontal="center"/>
    </xf>
    <xf numFmtId="0" fontId="10" fillId="0" borderId="0" xfId="10" applyFont="1" applyAlignment="1">
      <alignment horizontal="center"/>
    </xf>
    <xf numFmtId="174" fontId="9" fillId="0" borderId="0" xfId="10" applyNumberFormat="1" applyFont="1" applyAlignment="1">
      <alignment horizontal="right"/>
    </xf>
    <xf numFmtId="175" fontId="9" fillId="0" borderId="0" xfId="10" applyNumberFormat="1" applyFont="1" applyAlignment="1">
      <alignment horizontal="center"/>
    </xf>
    <xf numFmtId="176" fontId="9" fillId="0" borderId="0" xfId="10" applyNumberFormat="1" applyFont="1" applyAlignment="1">
      <alignment horizontal="center"/>
    </xf>
    <xf numFmtId="178" fontId="16" fillId="0" borderId="0" xfId="6" applyNumberFormat="1" applyFont="1" applyFill="1" applyBorder="1" applyAlignment="1" applyProtection="1">
      <alignment horizontal="right"/>
      <protection locked="0"/>
    </xf>
    <xf numFmtId="178" fontId="18" fillId="0" borderId="0" xfId="6" applyNumberFormat="1" applyFont="1" applyFill="1" applyBorder="1" applyAlignment="1" applyProtection="1">
      <alignment horizontal="right"/>
      <protection locked="0"/>
    </xf>
    <xf numFmtId="0" fontId="1" fillId="0" borderId="0" xfId="15"/>
    <xf numFmtId="177" fontId="1" fillId="0" borderId="0" xfId="15" applyNumberFormat="1"/>
    <xf numFmtId="181" fontId="1" fillId="0" borderId="0" xfId="14" applyNumberFormat="1" applyAlignment="1">
      <alignment horizontal="center"/>
    </xf>
    <xf numFmtId="168" fontId="1" fillId="0" borderId="0" xfId="15" applyNumberFormat="1" applyAlignment="1">
      <alignment horizontal="center"/>
    </xf>
    <xf numFmtId="44" fontId="1" fillId="0" borderId="0" xfId="8" applyFill="1" applyBorder="1" applyAlignment="1">
      <alignment horizontal="center"/>
    </xf>
    <xf numFmtId="44" fontId="1" fillId="0" borderId="0" xfId="15" applyNumberFormat="1" applyAlignment="1">
      <alignment horizontal="center"/>
    </xf>
    <xf numFmtId="180" fontId="1" fillId="0" borderId="0" xfId="15" applyNumberFormat="1" applyAlignment="1">
      <alignment horizontal="center"/>
    </xf>
    <xf numFmtId="177" fontId="1" fillId="0" borderId="0" xfId="15" applyNumberFormat="1" applyAlignment="1">
      <alignment horizontal="right"/>
    </xf>
    <xf numFmtId="181" fontId="1" fillId="0" borderId="0" xfId="15" applyNumberFormat="1" applyAlignment="1">
      <alignment horizontal="center"/>
    </xf>
    <xf numFmtId="0" fontId="20" fillId="0" borderId="0" xfId="15" applyFont="1" applyAlignment="1">
      <alignment horizontal="center"/>
    </xf>
    <xf numFmtId="0" fontId="21" fillId="0" borderId="0" xfId="15" applyFont="1" applyAlignment="1">
      <alignment horizontal="center"/>
    </xf>
    <xf numFmtId="0" fontId="1" fillId="0" borderId="1" xfId="15" applyBorder="1" applyAlignment="1">
      <alignment horizontal="center" wrapText="1"/>
    </xf>
    <xf numFmtId="179" fontId="1" fillId="0" borderId="0" xfId="15" applyNumberFormat="1" applyAlignment="1">
      <alignment horizontal="center"/>
    </xf>
    <xf numFmtId="0" fontId="5" fillId="0" borderId="0" xfId="10" applyFont="1" applyProtection="1">
      <protection locked="0"/>
    </xf>
    <xf numFmtId="0" fontId="8" fillId="0" borderId="0" xfId="10" applyFont="1" applyAlignment="1" applyProtection="1">
      <alignment horizontal="right"/>
      <protection locked="0"/>
    </xf>
    <xf numFmtId="0" fontId="19" fillId="0" borderId="0" xfId="10" applyFont="1" applyAlignment="1">
      <alignment horizontal="left"/>
    </xf>
    <xf numFmtId="0" fontId="0" fillId="0" borderId="0" xfId="0" applyAlignment="1">
      <alignment horizontal="left"/>
    </xf>
    <xf numFmtId="0" fontId="8" fillId="0" borderId="0" xfId="10" applyFont="1" applyAlignment="1">
      <alignment horizontal="centerContinuous"/>
    </xf>
    <xf numFmtId="0" fontId="23" fillId="0" borderId="0" xfId="15" applyFont="1" applyAlignment="1">
      <alignment horizontal="center"/>
    </xf>
    <xf numFmtId="172" fontId="2" fillId="0" borderId="0" xfId="10" quotePrefix="1" applyNumberFormat="1" applyAlignment="1">
      <alignment horizontal="center"/>
    </xf>
    <xf numFmtId="0" fontId="2" fillId="0" borderId="6" xfId="10" applyBorder="1"/>
    <xf numFmtId="0" fontId="28" fillId="0" borderId="0" xfId="12" applyFont="1" applyAlignment="1">
      <alignment horizontal="right"/>
    </xf>
    <xf numFmtId="191" fontId="30" fillId="2" borderId="1" xfId="12" applyNumberFormat="1" applyFont="1" applyFill="1" applyBorder="1" applyAlignment="1">
      <alignment horizontal="center"/>
    </xf>
    <xf numFmtId="0" fontId="2" fillId="0" borderId="8" xfId="10" applyBorder="1"/>
    <xf numFmtId="0" fontId="3" fillId="0" borderId="8" xfId="13" applyFont="1" applyBorder="1" applyAlignment="1">
      <alignment horizontal="left"/>
    </xf>
    <xf numFmtId="0" fontId="13" fillId="0" borderId="8" xfId="10" applyFont="1" applyBorder="1" applyAlignment="1" applyProtection="1">
      <alignment vertical="top"/>
      <protection locked="0"/>
    </xf>
    <xf numFmtId="44" fontId="3" fillId="0" borderId="8" xfId="7" applyFont="1" applyFill="1" applyBorder="1" applyAlignment="1" applyProtection="1">
      <protection locked="0"/>
    </xf>
    <xf numFmtId="0" fontId="7" fillId="0" borderId="0" xfId="0" applyFont="1"/>
    <xf numFmtId="44" fontId="3" fillId="0" borderId="0" xfId="4" applyFont="1" applyFill="1" applyBorder="1" applyAlignment="1" applyProtection="1">
      <protection locked="0"/>
    </xf>
    <xf numFmtId="0" fontId="5" fillId="0" borderId="10" xfId="10" quotePrefix="1" applyFont="1" applyBorder="1" applyAlignment="1">
      <alignment horizontal="left"/>
    </xf>
    <xf numFmtId="0" fontId="5" fillId="0" borderId="10" xfId="10" applyFont="1" applyBorder="1"/>
    <xf numFmtId="0" fontId="5" fillId="0" borderId="10" xfId="10" applyFont="1" applyBorder="1" applyAlignment="1">
      <alignment horizontal="right"/>
    </xf>
    <xf numFmtId="174" fontId="5" fillId="0" borderId="10" xfId="10" applyNumberFormat="1" applyFont="1" applyBorder="1" applyAlignment="1">
      <alignment horizontal="right"/>
    </xf>
    <xf numFmtId="169" fontId="5" fillId="0" borderId="10" xfId="10" applyNumberFormat="1" applyFont="1" applyBorder="1"/>
    <xf numFmtId="44" fontId="5" fillId="0" borderId="10" xfId="4" applyFont="1" applyFill="1" applyBorder="1" applyAlignment="1"/>
    <xf numFmtId="169" fontId="2" fillId="0" borderId="0" xfId="10" applyNumberFormat="1"/>
    <xf numFmtId="44" fontId="2" fillId="0" borderId="0" xfId="4" applyFont="1" applyFill="1"/>
    <xf numFmtId="0" fontId="8" fillId="0" borderId="0" xfId="10" applyFont="1" applyAlignment="1">
      <alignment horizontal="right"/>
    </xf>
    <xf numFmtId="0" fontId="7" fillId="0" borderId="0" xfId="10" applyFont="1" applyProtection="1">
      <protection locked="0"/>
    </xf>
    <xf numFmtId="1" fontId="8" fillId="0" borderId="0" xfId="10" applyNumberFormat="1" applyFont="1" applyAlignment="1">
      <alignment horizontal="right"/>
    </xf>
    <xf numFmtId="44" fontId="2" fillId="0" borderId="0" xfId="4" applyFont="1" applyFill="1" applyBorder="1"/>
    <xf numFmtId="191" fontId="30" fillId="0" borderId="0" xfId="12" applyNumberFormat="1" applyFont="1" applyAlignment="1">
      <alignment horizontal="center"/>
    </xf>
    <xf numFmtId="0" fontId="7" fillId="0" borderId="0" xfId="0" applyFont="1" applyProtection="1">
      <protection locked="0"/>
    </xf>
    <xf numFmtId="0" fontId="33" fillId="0" borderId="0" xfId="0" applyFont="1"/>
    <xf numFmtId="0" fontId="33" fillId="0" borderId="1" xfId="0" applyFont="1" applyBorder="1"/>
    <xf numFmtId="0" fontId="35" fillId="0" borderId="10" xfId="10" applyFont="1" applyBorder="1"/>
    <xf numFmtId="0" fontId="1" fillId="0" borderId="11" xfId="15" applyBorder="1"/>
    <xf numFmtId="0" fontId="26" fillId="0" borderId="12" xfId="15" applyFont="1" applyBorder="1" applyAlignment="1">
      <alignment horizontal="right"/>
    </xf>
    <xf numFmtId="199" fontId="36" fillId="0" borderId="13" xfId="5" applyNumberFormat="1" applyFont="1" applyBorder="1" applyAlignment="1">
      <alignment horizontal="right"/>
    </xf>
    <xf numFmtId="0" fontId="1" fillId="0" borderId="14" xfId="15" applyBorder="1"/>
    <xf numFmtId="0" fontId="26" fillId="0" borderId="0" xfId="15" applyFont="1" applyAlignment="1">
      <alignment horizontal="right"/>
    </xf>
    <xf numFmtId="0" fontId="1" fillId="0" borderId="0" xfId="15" applyAlignment="1">
      <alignment horizontal="center"/>
    </xf>
    <xf numFmtId="0" fontId="1" fillId="0" borderId="0" xfId="14" applyAlignment="1">
      <alignment horizontal="center"/>
    </xf>
    <xf numFmtId="181" fontId="26" fillId="0" borderId="0" xfId="14" applyNumberFormat="1" applyFont="1" applyAlignment="1">
      <alignment horizontal="right"/>
    </xf>
    <xf numFmtId="195" fontId="20" fillId="0" borderId="0" xfId="15" applyNumberFormat="1" applyFont="1" applyAlignment="1">
      <alignment horizontal="center"/>
    </xf>
    <xf numFmtId="0" fontId="1" fillId="0" borderId="15" xfId="15" applyBorder="1"/>
    <xf numFmtId="0" fontId="26" fillId="0" borderId="16" xfId="15" applyFont="1" applyBorder="1" applyAlignment="1">
      <alignment horizontal="right"/>
    </xf>
    <xf numFmtId="0" fontId="1" fillId="0" borderId="0" xfId="15" applyAlignment="1">
      <alignment horizontal="center" wrapText="1"/>
    </xf>
    <xf numFmtId="0" fontId="1" fillId="0" borderId="0" xfId="15" applyAlignment="1">
      <alignment horizontal="center" vertical="center" wrapText="1"/>
    </xf>
    <xf numFmtId="0" fontId="37" fillId="0" borderId="0" xfId="15" applyFont="1" applyAlignment="1">
      <alignment horizontal="center"/>
    </xf>
    <xf numFmtId="194" fontId="1" fillId="0" borderId="0" xfId="15" applyNumberFormat="1"/>
    <xf numFmtId="202" fontId="38" fillId="0" borderId="0" xfId="15" applyNumberFormat="1" applyFont="1"/>
    <xf numFmtId="201" fontId="37" fillId="0" borderId="0" xfId="15" applyNumberFormat="1" applyFont="1"/>
    <xf numFmtId="0" fontId="27" fillId="0" borderId="0" xfId="10" applyFont="1" applyAlignment="1">
      <alignment horizontal="center" vertical="center" wrapText="1"/>
    </xf>
    <xf numFmtId="0" fontId="2" fillId="0" borderId="10" xfId="10" applyBorder="1"/>
    <xf numFmtId="2" fontId="0" fillId="0" borderId="1" xfId="0" applyNumberFormat="1" applyBorder="1" applyAlignment="1">
      <alignment horizontal="center" vertical="center" wrapText="1"/>
    </xf>
    <xf numFmtId="0" fontId="0" fillId="0" borderId="1" xfId="0" applyBorder="1" applyAlignment="1">
      <alignment horizontal="center"/>
    </xf>
    <xf numFmtId="2" fontId="0" fillId="0" borderId="1" xfId="0" applyNumberFormat="1" applyBorder="1" applyAlignment="1">
      <alignment horizontal="center"/>
    </xf>
    <xf numFmtId="0" fontId="24" fillId="0" borderId="0" xfId="10" applyFont="1"/>
    <xf numFmtId="0" fontId="1" fillId="0" borderId="11" xfId="15" applyBorder="1" applyAlignment="1">
      <alignment horizontal="left"/>
    </xf>
    <xf numFmtId="0" fontId="1" fillId="0" borderId="12" xfId="15" applyBorder="1"/>
    <xf numFmtId="0" fontId="1" fillId="0" borderId="14" xfId="15" applyBorder="1" applyAlignment="1">
      <alignment horizontal="left"/>
    </xf>
    <xf numFmtId="209" fontId="1" fillId="0" borderId="17" xfId="15" applyNumberFormat="1" applyBorder="1"/>
    <xf numFmtId="181" fontId="1" fillId="0" borderId="14" xfId="14" applyNumberFormat="1" applyBorder="1" applyAlignment="1">
      <alignment horizontal="left"/>
    </xf>
    <xf numFmtId="2" fontId="1" fillId="0" borderId="17" xfId="15" applyNumberFormat="1" applyBorder="1"/>
    <xf numFmtId="181" fontId="1" fillId="0" borderId="15" xfId="15" applyNumberFormat="1" applyBorder="1" applyAlignment="1">
      <alignment horizontal="left"/>
    </xf>
    <xf numFmtId="0" fontId="1" fillId="0" borderId="16" xfId="15" applyBorder="1"/>
    <xf numFmtId="0" fontId="1" fillId="0" borderId="18" xfId="15" applyBorder="1"/>
    <xf numFmtId="200" fontId="28" fillId="0" borderId="17" xfId="5" applyNumberFormat="1" applyFont="1" applyBorder="1" applyAlignment="1">
      <alignment horizontal="right"/>
    </xf>
    <xf numFmtId="196" fontId="28" fillId="0" borderId="17" xfId="15" applyNumberFormat="1" applyFont="1" applyBorder="1" applyAlignment="1">
      <alignment horizontal="right"/>
    </xf>
    <xf numFmtId="197" fontId="28" fillId="0" borderId="17" xfId="14" applyNumberFormat="1" applyFont="1" applyBorder="1" applyAlignment="1">
      <alignment horizontal="right"/>
    </xf>
    <xf numFmtId="198" fontId="29" fillId="0" borderId="18" xfId="15" applyNumberFormat="1" applyFont="1" applyBorder="1" applyAlignment="1">
      <alignment horizontal="right"/>
    </xf>
    <xf numFmtId="200" fontId="42" fillId="0" borderId="13" xfId="5" applyNumberFormat="1" applyFont="1" applyBorder="1" applyAlignment="1">
      <alignment horizontal="right"/>
    </xf>
    <xf numFmtId="0" fontId="0" fillId="0" borderId="0" xfId="15" applyFont="1"/>
    <xf numFmtId="0" fontId="2" fillId="0" borderId="0" xfId="0" applyFont="1" applyAlignment="1">
      <alignment horizontal="center" textRotation="90"/>
    </xf>
    <xf numFmtId="0" fontId="6" fillId="0" borderId="0" xfId="10" applyFont="1" applyAlignment="1">
      <alignment horizontal="center" vertical="center"/>
    </xf>
    <xf numFmtId="172" fontId="6" fillId="0" borderId="0" xfId="10" applyNumberFormat="1" applyFont="1" applyAlignment="1">
      <alignment horizontal="center" vertical="center"/>
    </xf>
    <xf numFmtId="172" fontId="6" fillId="0" borderId="0" xfId="10" applyNumberFormat="1" applyFont="1" applyAlignment="1">
      <alignment horizontal="center" vertical="center" wrapText="1"/>
    </xf>
    <xf numFmtId="211" fontId="0" fillId="0" borderId="0" xfId="0" applyNumberFormat="1"/>
    <xf numFmtId="0" fontId="0" fillId="0" borderId="1" xfId="0" applyBorder="1"/>
    <xf numFmtId="177" fontId="1" fillId="0" borderId="1" xfId="15" applyNumberFormat="1" applyBorder="1" applyAlignment="1">
      <alignment horizontal="center"/>
    </xf>
    <xf numFmtId="177" fontId="1" fillId="0" borderId="9" xfId="15" applyNumberFormat="1" applyBorder="1" applyAlignment="1">
      <alignment horizontal="center"/>
    </xf>
    <xf numFmtId="177" fontId="1" fillId="0" borderId="19" xfId="15" applyNumberFormat="1" applyBorder="1" applyAlignment="1">
      <alignment horizontal="center"/>
    </xf>
    <xf numFmtId="180" fontId="0" fillId="0" borderId="0" xfId="0" applyNumberFormat="1"/>
    <xf numFmtId="177" fontId="1" fillId="0" borderId="0" xfId="15" applyNumberFormat="1" applyAlignment="1">
      <alignment horizontal="center"/>
    </xf>
    <xf numFmtId="212" fontId="0" fillId="0" borderId="1" xfId="0" applyNumberFormat="1" applyBorder="1" applyAlignment="1">
      <alignment horizontal="center"/>
    </xf>
    <xf numFmtId="212" fontId="0" fillId="0" borderId="0" xfId="0" applyNumberFormat="1" applyAlignment="1">
      <alignment horizontal="center"/>
    </xf>
    <xf numFmtId="0" fontId="0" fillId="0" borderId="0" xfId="0" applyAlignment="1">
      <alignment horizontal="center"/>
    </xf>
    <xf numFmtId="44" fontId="0" fillId="0" borderId="0" xfId="0" applyNumberFormat="1"/>
    <xf numFmtId="0" fontId="22" fillId="0" borderId="0" xfId="15" applyFont="1" applyAlignment="1">
      <alignment horizontal="center" vertical="center" wrapText="1"/>
    </xf>
    <xf numFmtId="177" fontId="22" fillId="0" borderId="0" xfId="15" applyNumberFormat="1" applyFont="1" applyAlignment="1">
      <alignment horizontal="center" vertical="center"/>
    </xf>
    <xf numFmtId="182" fontId="1" fillId="0" borderId="0" xfId="15" applyNumberFormat="1" applyAlignment="1">
      <alignment horizontal="center" vertical="center"/>
    </xf>
    <xf numFmtId="179" fontId="22" fillId="0" borderId="0" xfId="15" applyNumberFormat="1" applyFont="1" applyAlignment="1">
      <alignment horizontal="center" vertical="center"/>
    </xf>
    <xf numFmtId="179" fontId="1" fillId="0" borderId="0" xfId="15" applyNumberFormat="1" applyAlignment="1">
      <alignment horizontal="center" vertical="center"/>
    </xf>
    <xf numFmtId="188" fontId="1" fillId="0" borderId="0" xfId="15" applyNumberFormat="1" applyAlignment="1">
      <alignment horizontal="center" vertical="center"/>
    </xf>
    <xf numFmtId="0" fontId="1" fillId="0" borderId="0" xfId="15" applyAlignment="1">
      <alignment horizontal="center" vertical="center"/>
    </xf>
    <xf numFmtId="44" fontId="1" fillId="0" borderId="20" xfId="8" applyFill="1" applyBorder="1" applyAlignment="1">
      <alignment horizontal="center" vertical="center"/>
    </xf>
    <xf numFmtId="44" fontId="1" fillId="0" borderId="0" xfId="8" applyFill="1" applyBorder="1" applyAlignment="1">
      <alignment horizontal="center" vertical="center"/>
    </xf>
    <xf numFmtId="44" fontId="1" fillId="0" borderId="20" xfId="15" applyNumberFormat="1" applyBorder="1" applyAlignment="1">
      <alignment horizontal="center" vertical="center"/>
    </xf>
    <xf numFmtId="44" fontId="22" fillId="0" borderId="0" xfId="8" applyFont="1" applyFill="1" applyBorder="1" applyAlignment="1">
      <alignment horizontal="center" vertical="center"/>
    </xf>
    <xf numFmtId="166" fontId="1" fillId="0" borderId="0" xfId="15" applyNumberFormat="1" applyAlignment="1">
      <alignment horizontal="center" vertical="center"/>
    </xf>
    <xf numFmtId="179" fontId="1" fillId="0" borderId="14" xfId="15" applyNumberFormat="1" applyBorder="1" applyAlignment="1">
      <alignment horizontal="center" vertical="center"/>
    </xf>
    <xf numFmtId="0" fontId="1" fillId="0" borderId="1" xfId="15" applyBorder="1" applyAlignment="1">
      <alignment horizontal="center" vertical="center" wrapText="1"/>
    </xf>
    <xf numFmtId="0" fontId="1" fillId="0" borderId="21" xfId="15" applyBorder="1" applyAlignment="1">
      <alignment horizontal="center" vertical="center" wrapText="1"/>
    </xf>
    <xf numFmtId="0" fontId="1" fillId="0" borderId="22" xfId="15" applyBorder="1" applyAlignment="1">
      <alignment horizontal="center" vertical="center" wrapText="1"/>
    </xf>
    <xf numFmtId="0" fontId="1" fillId="0" borderId="23" xfId="15" applyBorder="1" applyAlignment="1">
      <alignment horizontal="center" vertical="center" wrapText="1"/>
    </xf>
    <xf numFmtId="180" fontId="1" fillId="0" borderId="1" xfId="15" applyNumberFormat="1" applyBorder="1" applyAlignment="1">
      <alignment horizontal="center" vertical="center" wrapText="1"/>
    </xf>
    <xf numFmtId="180" fontId="20" fillId="0" borderId="1" xfId="15" applyNumberFormat="1" applyFont="1" applyBorder="1" applyAlignment="1">
      <alignment horizontal="center" vertical="center" wrapText="1"/>
    </xf>
    <xf numFmtId="187" fontId="22" fillId="0" borderId="1" xfId="15" applyNumberFormat="1" applyFont="1" applyBorder="1" applyAlignment="1">
      <alignment horizontal="center" vertical="center" wrapText="1"/>
    </xf>
    <xf numFmtId="189" fontId="22" fillId="0" borderId="1" xfId="15" applyNumberFormat="1" applyFont="1" applyBorder="1" applyAlignment="1">
      <alignment horizontal="center" vertical="center" wrapText="1"/>
    </xf>
    <xf numFmtId="184" fontId="1" fillId="0" borderId="21" xfId="15" applyNumberFormat="1" applyBorder="1" applyAlignment="1">
      <alignment horizontal="center" vertical="center" wrapText="1"/>
    </xf>
    <xf numFmtId="2" fontId="22" fillId="0" borderId="0" xfId="15" applyNumberFormat="1" applyFont="1" applyAlignment="1">
      <alignment horizontal="center" vertical="center" wrapText="1"/>
    </xf>
    <xf numFmtId="2" fontId="1" fillId="0" borderId="0" xfId="15" applyNumberFormat="1" applyAlignment="1">
      <alignment horizontal="center" vertical="center" wrapText="1"/>
    </xf>
    <xf numFmtId="198" fontId="28" fillId="0" borderId="0" xfId="15" applyNumberFormat="1" applyFont="1" applyAlignment="1">
      <alignment horizontal="center" vertical="center" wrapText="1"/>
    </xf>
    <xf numFmtId="204" fontId="22" fillId="0" borderId="0" xfId="8" applyNumberFormat="1" applyFont="1" applyFill="1" applyBorder="1" applyAlignment="1">
      <alignment horizontal="center" vertical="center"/>
    </xf>
    <xf numFmtId="184" fontId="1" fillId="0" borderId="0" xfId="15" applyNumberFormat="1" applyAlignment="1">
      <alignment horizontal="center" vertical="center"/>
    </xf>
    <xf numFmtId="179" fontId="22" fillId="0" borderId="0" xfId="8" applyNumberFormat="1" applyFont="1" applyFill="1" applyBorder="1" applyAlignment="1">
      <alignment horizontal="center" vertical="center"/>
    </xf>
    <xf numFmtId="167" fontId="8" fillId="0" borderId="0" xfId="6" applyNumberFormat="1" applyFont="1" applyFill="1" applyBorder="1" applyAlignment="1" applyProtection="1">
      <alignment horizontal="center" vertical="center" wrapText="1"/>
      <protection locked="0"/>
    </xf>
    <xf numFmtId="0" fontId="20" fillId="0" borderId="0" xfId="15" applyFont="1" applyAlignment="1">
      <alignment horizontal="center" vertical="center" wrapText="1"/>
    </xf>
    <xf numFmtId="0" fontId="2" fillId="0" borderId="22" xfId="10" applyBorder="1" applyAlignment="1">
      <alignment horizontal="center" wrapText="1"/>
    </xf>
    <xf numFmtId="208" fontId="2" fillId="0" borderId="24" xfId="10" applyNumberFormat="1" applyBorder="1" applyAlignment="1">
      <alignment horizontal="center" vertical="center"/>
    </xf>
    <xf numFmtId="202" fontId="38" fillId="0" borderId="0" xfId="15" applyNumberFormat="1" applyFont="1" applyAlignment="1">
      <alignment horizontal="center" vertical="center"/>
    </xf>
    <xf numFmtId="44" fontId="1" fillId="0" borderId="1" xfId="4" applyBorder="1" applyAlignment="1">
      <alignment horizontal="center" vertical="center" wrapText="1"/>
    </xf>
    <xf numFmtId="166" fontId="1" fillId="0" borderId="1" xfId="15" applyNumberFormat="1" applyBorder="1" applyAlignment="1">
      <alignment horizontal="center" vertical="center" wrapText="1"/>
    </xf>
    <xf numFmtId="0" fontId="1" fillId="0" borderId="25" xfId="15" applyBorder="1" applyAlignment="1">
      <alignment horizontal="right" vertical="center"/>
    </xf>
    <xf numFmtId="44" fontId="1" fillId="0" borderId="26" xfId="4" applyBorder="1" applyAlignment="1">
      <alignment horizontal="center" vertical="center" wrapText="1"/>
    </xf>
    <xf numFmtId="44" fontId="1" fillId="0" borderId="21" xfId="4" applyBorder="1" applyAlignment="1">
      <alignment horizontal="center" vertical="center" wrapText="1"/>
    </xf>
    <xf numFmtId="0" fontId="1" fillId="0" borderId="19" xfId="15" applyBorder="1" applyAlignment="1">
      <alignment horizontal="center" vertical="center" wrapText="1"/>
    </xf>
    <xf numFmtId="179" fontId="1" fillId="3" borderId="0" xfId="15" applyNumberFormat="1" applyFill="1" applyAlignment="1">
      <alignment horizontal="center" vertical="center"/>
    </xf>
    <xf numFmtId="10" fontId="22" fillId="2" borderId="0" xfId="8" applyNumberFormat="1" applyFont="1" applyFill="1" applyBorder="1" applyAlignment="1">
      <alignment horizontal="center" vertical="center"/>
    </xf>
    <xf numFmtId="10" fontId="22" fillId="2" borderId="1" xfId="15" applyNumberFormat="1" applyFont="1" applyFill="1" applyBorder="1" applyAlignment="1">
      <alignment horizontal="center" vertical="center" wrapText="1"/>
    </xf>
    <xf numFmtId="0" fontId="1" fillId="0" borderId="27" xfId="15" applyBorder="1" applyAlignment="1">
      <alignment horizontal="center" vertical="center" wrapText="1"/>
    </xf>
    <xf numFmtId="189" fontId="22" fillId="0" borderId="21" xfId="15" applyNumberFormat="1" applyFont="1" applyBorder="1" applyAlignment="1">
      <alignment horizontal="center" vertical="center" wrapText="1"/>
    </xf>
    <xf numFmtId="214" fontId="1" fillId="0" borderId="0" xfId="15" applyNumberFormat="1" applyAlignment="1">
      <alignment horizontal="center" vertical="center"/>
    </xf>
    <xf numFmtId="179" fontId="1" fillId="4" borderId="0" xfId="15" applyNumberFormat="1" applyFill="1" applyAlignment="1">
      <alignment horizontal="center" vertical="center"/>
    </xf>
    <xf numFmtId="44" fontId="1" fillId="4" borderId="0" xfId="8" applyFill="1" applyBorder="1" applyAlignment="1">
      <alignment horizontal="center" vertical="center"/>
    </xf>
    <xf numFmtId="179" fontId="1" fillId="5" borderId="0" xfId="15" applyNumberFormat="1" applyFill="1" applyAlignment="1">
      <alignment horizontal="center" vertical="center"/>
    </xf>
    <xf numFmtId="44" fontId="1" fillId="5" borderId="0" xfId="8" applyFill="1" applyBorder="1" applyAlignment="1">
      <alignment horizontal="center" vertical="center"/>
    </xf>
    <xf numFmtId="207" fontId="1" fillId="4" borderId="0" xfId="8" applyNumberFormat="1" applyFill="1" applyBorder="1" applyAlignment="1">
      <alignment horizontal="center" vertical="center"/>
    </xf>
    <xf numFmtId="177" fontId="22" fillId="6" borderId="0" xfId="15" applyNumberFormat="1" applyFont="1" applyFill="1" applyAlignment="1">
      <alignment horizontal="center" vertical="center"/>
    </xf>
    <xf numFmtId="185" fontId="1" fillId="6" borderId="0" xfId="15" applyNumberFormat="1" applyFill="1" applyAlignment="1">
      <alignment horizontal="center" vertical="center"/>
    </xf>
    <xf numFmtId="207" fontId="1" fillId="6" borderId="0" xfId="8" applyNumberFormat="1" applyFill="1" applyBorder="1" applyAlignment="1">
      <alignment horizontal="center" vertical="center"/>
    </xf>
    <xf numFmtId="44" fontId="1" fillId="6" borderId="0" xfId="8" applyFill="1" applyBorder="1" applyAlignment="1">
      <alignment horizontal="center" vertical="center"/>
    </xf>
    <xf numFmtId="0" fontId="0" fillId="0" borderId="28" xfId="0" applyBorder="1"/>
    <xf numFmtId="177" fontId="0" fillId="0" borderId="1" xfId="0" applyNumberFormat="1" applyBorder="1"/>
    <xf numFmtId="217" fontId="1" fillId="0" borderId="1" xfId="15" applyNumberFormat="1" applyBorder="1" applyAlignment="1">
      <alignment horizontal="center"/>
    </xf>
    <xf numFmtId="0" fontId="3" fillId="0" borderId="0" xfId="10" applyFont="1"/>
    <xf numFmtId="0" fontId="25" fillId="0" borderId="0" xfId="10" applyFont="1" applyAlignment="1">
      <alignment horizontal="left" vertical="center"/>
    </xf>
    <xf numFmtId="0" fontId="41" fillId="0" borderId="0" xfId="0" applyFont="1" applyAlignment="1">
      <alignment horizontal="left"/>
    </xf>
    <xf numFmtId="0" fontId="3" fillId="0" borderId="0" xfId="10" applyFont="1" applyAlignment="1">
      <alignment vertical="center"/>
    </xf>
    <xf numFmtId="0" fontId="3" fillId="0" borderId="0" xfId="10" applyFont="1" applyAlignment="1">
      <alignment horizontal="left"/>
    </xf>
    <xf numFmtId="0" fontId="9" fillId="0" borderId="0" xfId="10" applyFont="1"/>
    <xf numFmtId="0" fontId="11" fillId="0" borderId="0" xfId="10" applyFont="1" applyAlignment="1">
      <alignment horizontal="center" wrapText="1"/>
    </xf>
    <xf numFmtId="0" fontId="9" fillId="0" borderId="0" xfId="10" applyFont="1" applyAlignment="1">
      <alignment horizontal="center"/>
    </xf>
    <xf numFmtId="0" fontId="12" fillId="0" borderId="0" xfId="10" applyFont="1" applyAlignment="1">
      <alignment horizontal="left" wrapText="1"/>
    </xf>
    <xf numFmtId="190" fontId="26" fillId="0" borderId="0" xfId="11" applyNumberFormat="1" applyFont="1" applyAlignment="1">
      <alignment horizontal="center" wrapText="1"/>
    </xf>
    <xf numFmtId="174" fontId="9" fillId="0" borderId="0" xfId="10" applyNumberFormat="1" applyFont="1"/>
    <xf numFmtId="175" fontId="9" fillId="0" borderId="0" xfId="10" applyNumberFormat="1" applyFont="1"/>
    <xf numFmtId="176" fontId="9" fillId="0" borderId="0" xfId="10" applyNumberFormat="1" applyFont="1"/>
    <xf numFmtId="178" fontId="12" fillId="0" borderId="0" xfId="4" applyNumberFormat="1" applyFont="1" applyFill="1" applyBorder="1" applyAlignment="1"/>
    <xf numFmtId="178" fontId="12" fillId="0" borderId="0" xfId="9" applyNumberFormat="1" applyFont="1" applyFill="1" applyBorder="1" applyAlignment="1"/>
    <xf numFmtId="178" fontId="9" fillId="0" borderId="0" xfId="3" applyNumberFormat="1" applyFont="1" applyFill="1" applyBorder="1" applyAlignment="1" applyProtection="1">
      <alignment horizontal="right"/>
      <protection locked="0"/>
    </xf>
    <xf numFmtId="0" fontId="5" fillId="0" borderId="0" xfId="0" applyFont="1" applyProtection="1">
      <protection locked="0"/>
    </xf>
    <xf numFmtId="0" fontId="33" fillId="0" borderId="21" xfId="0" applyFont="1" applyBorder="1"/>
    <xf numFmtId="44" fontId="43" fillId="0" borderId="29" xfId="4" applyFont="1" applyBorder="1" applyAlignment="1">
      <alignment horizontal="center" vertical="center" wrapText="1"/>
    </xf>
    <xf numFmtId="0" fontId="48" fillId="7" borderId="0" xfId="15" applyFont="1" applyFill="1" applyAlignment="1">
      <alignment horizontal="center" vertical="center" wrapText="1"/>
    </xf>
    <xf numFmtId="2" fontId="2" fillId="0" borderId="30" xfId="10" applyNumberFormat="1" applyBorder="1" applyAlignment="1">
      <alignment horizontal="center" vertical="center"/>
    </xf>
    <xf numFmtId="0" fontId="1" fillId="0" borderId="31" xfId="0" applyFont="1" applyBorder="1"/>
    <xf numFmtId="186" fontId="26" fillId="0" borderId="32" xfId="11" applyNumberFormat="1" applyFont="1" applyBorder="1" applyAlignment="1">
      <alignment horizontal="center" vertical="center" wrapText="1"/>
    </xf>
    <xf numFmtId="206" fontId="26" fillId="0" borderId="32" xfId="11" applyNumberFormat="1" applyFont="1" applyBorder="1" applyAlignment="1">
      <alignment horizontal="center" vertical="center"/>
    </xf>
    <xf numFmtId="44" fontId="37" fillId="0" borderId="0" xfId="8" applyFont="1" applyFill="1" applyAlignment="1">
      <alignment horizontal="center" vertical="center"/>
    </xf>
    <xf numFmtId="44" fontId="1" fillId="0" borderId="0" xfId="8" applyFont="1" applyFill="1" applyAlignment="1">
      <alignment horizontal="center" vertical="center"/>
    </xf>
    <xf numFmtId="44" fontId="54" fillId="4" borderId="0" xfId="4" applyFont="1" applyFill="1" applyAlignment="1">
      <alignment horizontal="center" vertical="center"/>
    </xf>
    <xf numFmtId="44" fontId="54" fillId="4" borderId="0" xfId="8" applyFont="1" applyFill="1" applyAlignment="1">
      <alignment horizontal="center" vertical="center"/>
    </xf>
    <xf numFmtId="10" fontId="2" fillId="4" borderId="0" xfId="10" quotePrefix="1" applyNumberFormat="1" applyFill="1" applyAlignment="1">
      <alignment horizontal="center"/>
    </xf>
    <xf numFmtId="0" fontId="32" fillId="0" borderId="33" xfId="10" applyFont="1" applyBorder="1" applyAlignment="1">
      <alignment horizontal="center" vertical="center"/>
    </xf>
    <xf numFmtId="1" fontId="32" fillId="0" borderId="33" xfId="10" applyNumberFormat="1" applyFont="1" applyBorder="1" applyAlignment="1">
      <alignment horizontal="center" vertical="center"/>
    </xf>
    <xf numFmtId="0" fontId="31" fillId="0" borderId="33" xfId="10" applyFont="1" applyBorder="1" applyAlignment="1">
      <alignment horizontal="center" vertical="center"/>
    </xf>
    <xf numFmtId="174" fontId="31" fillId="0" borderId="33" xfId="10" applyNumberFormat="1" applyFont="1" applyBorder="1" applyAlignment="1">
      <alignment horizontal="center" vertical="center"/>
    </xf>
    <xf numFmtId="169" fontId="32" fillId="0" borderId="33" xfId="10" applyNumberFormat="1" applyFont="1" applyBorder="1" applyAlignment="1">
      <alignment horizontal="center" vertical="center"/>
    </xf>
    <xf numFmtId="44" fontId="32" fillId="0" borderId="33" xfId="4" applyFont="1" applyFill="1" applyBorder="1" applyAlignment="1">
      <alignment horizontal="center" vertical="center"/>
    </xf>
    <xf numFmtId="170" fontId="32" fillId="0" borderId="33" xfId="6" applyFont="1" applyFill="1" applyBorder="1" applyAlignment="1" applyProtection="1">
      <alignment horizontal="center" vertical="center"/>
      <protection locked="0"/>
    </xf>
    <xf numFmtId="0" fontId="8" fillId="0" borderId="34" xfId="10" applyFont="1" applyBorder="1" applyAlignment="1">
      <alignment vertical="center"/>
    </xf>
    <xf numFmtId="0" fontId="8" fillId="0" borderId="35" xfId="10" applyFont="1" applyBorder="1" applyAlignment="1">
      <alignment horizontal="center" vertical="center" wrapText="1"/>
    </xf>
    <xf numFmtId="0" fontId="8" fillId="0" borderId="35" xfId="10" applyFont="1" applyBorder="1" applyAlignment="1">
      <alignment horizontal="left" vertical="center" wrapText="1"/>
    </xf>
    <xf numFmtId="173" fontId="8" fillId="0" borderId="35" xfId="4" applyNumberFormat="1" applyFont="1" applyBorder="1" applyAlignment="1">
      <alignment horizontal="center" vertical="center"/>
    </xf>
    <xf numFmtId="174" fontId="8" fillId="0" borderId="35" xfId="10" applyNumberFormat="1" applyFont="1" applyBorder="1" applyAlignment="1">
      <alignment vertical="center"/>
    </xf>
    <xf numFmtId="175" fontId="8" fillId="0" borderId="35" xfId="10" applyNumberFormat="1" applyFont="1" applyBorder="1" applyAlignment="1">
      <alignment vertical="center"/>
    </xf>
    <xf numFmtId="176" fontId="8" fillId="0" borderId="35" xfId="10" applyNumberFormat="1" applyFont="1" applyBorder="1" applyAlignment="1">
      <alignment vertical="center"/>
    </xf>
    <xf numFmtId="169" fontId="8" fillId="0" borderId="35" xfId="2" applyNumberFormat="1" applyFont="1" applyFill="1" applyBorder="1" applyAlignment="1">
      <alignment vertical="center"/>
    </xf>
    <xf numFmtId="178" fontId="8" fillId="4" borderId="35" xfId="4" applyNumberFormat="1" applyFont="1" applyFill="1" applyBorder="1" applyAlignment="1">
      <alignment vertical="center"/>
    </xf>
    <xf numFmtId="178" fontId="8" fillId="0" borderId="35" xfId="9" applyNumberFormat="1" applyFont="1" applyFill="1" applyBorder="1" applyAlignment="1">
      <alignment vertical="center"/>
    </xf>
    <xf numFmtId="167" fontId="8" fillId="0" borderId="35" xfId="6" quotePrefix="1" applyNumberFormat="1" applyFont="1" applyFill="1" applyBorder="1" applyAlignment="1" applyProtection="1">
      <alignment horizontal="center" vertical="center" wrapText="1"/>
      <protection locked="0"/>
    </xf>
    <xf numFmtId="178" fontId="8" fillId="4" borderId="35" xfId="3" applyNumberFormat="1" applyFont="1" applyFill="1" applyBorder="1" applyAlignment="1" applyProtection="1">
      <alignment horizontal="right" vertical="center"/>
      <protection locked="0"/>
    </xf>
    <xf numFmtId="178" fontId="8" fillId="0" borderId="36" xfId="3" applyNumberFormat="1" applyFont="1" applyFill="1" applyBorder="1" applyAlignment="1" applyProtection="1">
      <alignment vertical="center"/>
      <protection locked="0"/>
    </xf>
    <xf numFmtId="0" fontId="8" fillId="0" borderId="37" xfId="10" applyFont="1" applyBorder="1"/>
    <xf numFmtId="0" fontId="8" fillId="0" borderId="38" xfId="10" applyFont="1" applyBorder="1" applyAlignment="1">
      <alignment horizontal="center" wrapText="1"/>
    </xf>
    <xf numFmtId="0" fontId="8" fillId="0" borderId="38" xfId="10" applyFont="1" applyBorder="1" applyAlignment="1">
      <alignment horizontal="left" wrapText="1"/>
    </xf>
    <xf numFmtId="173" fontId="8" fillId="0" borderId="38" xfId="4" applyNumberFormat="1" applyFont="1" applyBorder="1" applyAlignment="1">
      <alignment horizontal="center"/>
    </xf>
    <xf numFmtId="174" fontId="8" fillId="0" borderId="38" xfId="10" applyNumberFormat="1" applyFont="1" applyBorder="1"/>
    <xf numFmtId="175" fontId="8" fillId="0" borderId="38" xfId="10" applyNumberFormat="1" applyFont="1" applyBorder="1"/>
    <xf numFmtId="176" fontId="8" fillId="0" borderId="38" xfId="10" applyNumberFormat="1" applyFont="1" applyBorder="1"/>
    <xf numFmtId="169" fontId="8" fillId="0" borderId="38" xfId="2" applyNumberFormat="1" applyFont="1" applyFill="1" applyBorder="1" applyAlignment="1"/>
    <xf numFmtId="178" fontId="15" fillId="0" borderId="38" xfId="4" applyNumberFormat="1" applyFont="1" applyFill="1" applyBorder="1" applyAlignment="1"/>
    <xf numFmtId="178" fontId="17" fillId="0" borderId="38" xfId="9" applyNumberFormat="1" applyFont="1" applyFill="1" applyBorder="1" applyAlignment="1"/>
    <xf numFmtId="167" fontId="8" fillId="0" borderId="38" xfId="6" quotePrefix="1" applyNumberFormat="1" applyFont="1" applyFill="1" applyBorder="1" applyAlignment="1" applyProtection="1">
      <alignment horizontal="center" wrapText="1"/>
      <protection locked="0"/>
    </xf>
    <xf numFmtId="178" fontId="15" fillId="0" borderId="38" xfId="3" applyNumberFormat="1" applyFont="1" applyFill="1" applyBorder="1" applyAlignment="1" applyProtection="1">
      <alignment horizontal="right"/>
      <protection locked="0"/>
    </xf>
    <xf numFmtId="178" fontId="17" fillId="0" borderId="39" xfId="3" applyNumberFormat="1" applyFont="1" applyFill="1" applyBorder="1" applyAlignment="1" applyProtection="1">
      <alignment horizontal="right"/>
      <protection locked="0"/>
    </xf>
    <xf numFmtId="0" fontId="32" fillId="0" borderId="40" xfId="10" applyFont="1" applyBorder="1" applyAlignment="1">
      <alignment horizontal="center" vertical="center"/>
    </xf>
    <xf numFmtId="170" fontId="32" fillId="0" borderId="41" xfId="6" applyFont="1" applyFill="1" applyBorder="1" applyAlignment="1" applyProtection="1">
      <alignment horizontal="center" vertical="center"/>
      <protection locked="0"/>
    </xf>
    <xf numFmtId="0" fontId="49" fillId="7" borderId="42" xfId="10" applyFont="1" applyFill="1" applyBorder="1" applyAlignment="1">
      <alignment horizontal="center" vertical="center"/>
    </xf>
    <xf numFmtId="0" fontId="49" fillId="7" borderId="43" xfId="10" applyFont="1" applyFill="1" applyBorder="1" applyAlignment="1">
      <alignment horizontal="center" vertical="center"/>
    </xf>
    <xf numFmtId="1" fontId="49" fillId="7" borderId="43" xfId="10" applyNumberFormat="1" applyFont="1" applyFill="1" applyBorder="1" applyAlignment="1">
      <alignment horizontal="center" vertical="center" wrapText="1"/>
    </xf>
    <xf numFmtId="0" fontId="49" fillId="7" borderId="43" xfId="10" applyFont="1" applyFill="1" applyBorder="1" applyAlignment="1">
      <alignment horizontal="center" vertical="center" wrapText="1"/>
    </xf>
    <xf numFmtId="174" fontId="49" fillId="7" borderId="43" xfId="10" applyNumberFormat="1" applyFont="1" applyFill="1" applyBorder="1" applyAlignment="1">
      <alignment horizontal="center" vertical="center" wrapText="1"/>
    </xf>
    <xf numFmtId="169" fontId="49" fillId="7" borderId="43" xfId="10" applyNumberFormat="1" applyFont="1" applyFill="1" applyBorder="1" applyAlignment="1">
      <alignment horizontal="center" vertical="center" wrapText="1"/>
    </xf>
    <xf numFmtId="44" fontId="49" fillId="7" borderId="43" xfId="4" applyFont="1" applyFill="1" applyBorder="1" applyAlignment="1">
      <alignment horizontal="center" vertical="center" wrapText="1"/>
    </xf>
    <xf numFmtId="170" fontId="49" fillId="7" borderId="43" xfId="6" applyFont="1" applyFill="1" applyBorder="1" applyAlignment="1" applyProtection="1">
      <alignment horizontal="center" vertical="center" wrapText="1"/>
      <protection locked="0"/>
    </xf>
    <xf numFmtId="0" fontId="49" fillId="7" borderId="44" xfId="10" applyFont="1" applyFill="1" applyBorder="1" applyAlignment="1">
      <alignment horizontal="center" vertical="center" wrapText="1"/>
    </xf>
    <xf numFmtId="0" fontId="2" fillId="8" borderId="1" xfId="10" applyFill="1" applyBorder="1" applyAlignment="1">
      <alignment horizontal="center" vertical="center"/>
    </xf>
    <xf numFmtId="178" fontId="2" fillId="8" borderId="1" xfId="10" applyNumberFormat="1" applyFill="1" applyBorder="1" applyAlignment="1">
      <alignment horizontal="center" vertical="center"/>
    </xf>
    <xf numFmtId="218" fontId="1" fillId="0" borderId="0" xfId="15" applyNumberFormat="1" applyAlignment="1">
      <alignment horizontal="center" vertical="center"/>
    </xf>
    <xf numFmtId="44" fontId="1" fillId="0" borderId="0" xfId="4" applyFill="1" applyBorder="1" applyAlignment="1">
      <alignment horizontal="center" vertical="center"/>
    </xf>
    <xf numFmtId="0" fontId="44" fillId="7" borderId="6" xfId="10" applyFont="1" applyFill="1" applyBorder="1" applyAlignment="1">
      <alignment horizontal="left" vertical="center" wrapText="1"/>
    </xf>
    <xf numFmtId="0" fontId="49" fillId="7" borderId="45" xfId="10" applyFont="1" applyFill="1" applyBorder="1" applyAlignment="1">
      <alignment horizontal="center" vertical="center" wrapText="1"/>
    </xf>
    <xf numFmtId="0" fontId="44" fillId="7" borderId="46" xfId="10" applyFont="1" applyFill="1" applyBorder="1" applyAlignment="1">
      <alignment horizontal="left" vertical="center" wrapText="1"/>
    </xf>
    <xf numFmtId="0" fontId="44" fillId="7" borderId="47" xfId="10" applyFont="1" applyFill="1" applyBorder="1" applyAlignment="1">
      <alignment horizontal="left" vertical="center" wrapText="1"/>
    </xf>
    <xf numFmtId="0" fontId="49" fillId="7" borderId="48" xfId="10" applyFont="1" applyFill="1" applyBorder="1" applyAlignment="1">
      <alignment horizontal="center" vertical="center" wrapText="1"/>
    </xf>
    <xf numFmtId="0" fontId="44" fillId="7" borderId="49" xfId="10" applyFont="1" applyFill="1" applyBorder="1" applyAlignment="1">
      <alignment horizontal="left" vertical="center" wrapText="1"/>
    </xf>
    <xf numFmtId="0" fontId="49" fillId="7" borderId="50" xfId="10" applyFont="1" applyFill="1" applyBorder="1" applyAlignment="1">
      <alignment horizontal="center" vertical="center" wrapText="1"/>
    </xf>
    <xf numFmtId="0" fontId="49" fillId="7" borderId="51" xfId="10" applyFont="1" applyFill="1" applyBorder="1" applyAlignment="1">
      <alignment horizontal="center" vertical="center" wrapText="1"/>
    </xf>
    <xf numFmtId="0" fontId="44" fillId="7" borderId="52" xfId="10" applyFont="1" applyFill="1" applyBorder="1" applyAlignment="1">
      <alignment horizontal="left" vertical="center" wrapText="1"/>
    </xf>
    <xf numFmtId="0" fontId="63" fillId="9" borderId="53" xfId="0" applyFont="1" applyFill="1" applyBorder="1"/>
    <xf numFmtId="0" fontId="28" fillId="0" borderId="0" xfId="0" applyFont="1" applyAlignment="1">
      <alignment horizontal="centerContinuous"/>
    </xf>
    <xf numFmtId="0" fontId="33" fillId="0" borderId="54" xfId="0" applyFont="1" applyBorder="1" applyAlignment="1">
      <alignment vertical="top" wrapText="1"/>
    </xf>
    <xf numFmtId="0" fontId="33" fillId="0" borderId="55" xfId="0" applyFont="1" applyBorder="1" applyAlignment="1">
      <alignment vertical="top" wrapText="1"/>
    </xf>
    <xf numFmtId="0" fontId="33" fillId="0" borderId="56" xfId="0" applyFont="1" applyBorder="1" applyAlignment="1">
      <alignment vertical="top" wrapText="1"/>
    </xf>
    <xf numFmtId="0" fontId="33" fillId="0" borderId="57" xfId="0" applyFont="1" applyBorder="1" applyAlignment="1">
      <alignment vertical="top" wrapText="1"/>
    </xf>
    <xf numFmtId="0" fontId="33" fillId="0" borderId="58" xfId="0" applyFont="1" applyBorder="1" applyAlignment="1">
      <alignment vertical="top" wrapText="1"/>
    </xf>
    <xf numFmtId="9" fontId="33" fillId="0" borderId="55" xfId="16" applyFont="1" applyBorder="1" applyAlignment="1">
      <alignment vertical="top" wrapText="1"/>
    </xf>
    <xf numFmtId="205" fontId="33" fillId="0" borderId="55" xfId="16" applyNumberFormat="1" applyFont="1" applyBorder="1" applyAlignment="1">
      <alignment vertical="top" wrapText="1"/>
    </xf>
    <xf numFmtId="0" fontId="33" fillId="0" borderId="57" xfId="0" applyFont="1" applyBorder="1"/>
    <xf numFmtId="9" fontId="33" fillId="0" borderId="55" xfId="16" applyFont="1" applyBorder="1"/>
    <xf numFmtId="0" fontId="33" fillId="0" borderId="59" xfId="0" applyFont="1" applyBorder="1" applyAlignment="1">
      <alignment vertical="top" wrapText="1"/>
    </xf>
    <xf numFmtId="0" fontId="33" fillId="0" borderId="1" xfId="0" applyFont="1" applyBorder="1" applyAlignment="1">
      <alignment vertical="top" wrapText="1"/>
    </xf>
    <xf numFmtId="0" fontId="33" fillId="0" borderId="60" xfId="0" applyFont="1" applyBorder="1" applyAlignment="1">
      <alignment vertical="top" wrapText="1"/>
    </xf>
    <xf numFmtId="0" fontId="33" fillId="0" borderId="19" xfId="0" applyFont="1" applyBorder="1" applyAlignment="1">
      <alignment vertical="top" wrapText="1"/>
    </xf>
    <xf numFmtId="0" fontId="33" fillId="0" borderId="28" xfId="0" applyFont="1" applyBorder="1" applyAlignment="1">
      <alignment vertical="top" wrapText="1"/>
    </xf>
    <xf numFmtId="22" fontId="33" fillId="0" borderId="60" xfId="0" applyNumberFormat="1" applyFont="1" applyBorder="1" applyAlignment="1">
      <alignment vertical="top" wrapText="1"/>
    </xf>
    <xf numFmtId="9" fontId="33" fillId="0" borderId="1" xfId="16" applyFont="1" applyBorder="1" applyAlignment="1">
      <alignment vertical="top" wrapText="1"/>
    </xf>
    <xf numFmtId="205" fontId="33" fillId="0" borderId="1" xfId="16" applyNumberFormat="1" applyFont="1" applyBorder="1" applyAlignment="1">
      <alignment vertical="top" wrapText="1"/>
    </xf>
    <xf numFmtId="0" fontId="33" fillId="0" borderId="19" xfId="0" applyFont="1" applyBorder="1"/>
    <xf numFmtId="9" fontId="33" fillId="0" borderId="1" xfId="16" applyFont="1" applyBorder="1"/>
    <xf numFmtId="0" fontId="0" fillId="0" borderId="6" xfId="0" applyBorder="1"/>
    <xf numFmtId="0" fontId="33" fillId="0" borderId="58" xfId="16" applyNumberFormat="1" applyFont="1" applyBorder="1" applyAlignment="1">
      <alignment vertical="top" wrapText="1"/>
    </xf>
    <xf numFmtId="0" fontId="63" fillId="9" borderId="61" xfId="0" applyFont="1" applyFill="1" applyBorder="1"/>
    <xf numFmtId="0" fontId="64" fillId="0" borderId="30" xfId="0" applyFont="1" applyBorder="1"/>
    <xf numFmtId="0" fontId="33" fillId="0" borderId="26" xfId="0" applyFont="1" applyBorder="1"/>
    <xf numFmtId="0" fontId="44" fillId="7" borderId="62" xfId="10" applyFont="1" applyFill="1" applyBorder="1" applyAlignment="1">
      <alignment horizontal="left" vertical="center" wrapText="1"/>
    </xf>
    <xf numFmtId="0" fontId="33" fillId="0" borderId="4" xfId="0" applyFont="1" applyBorder="1"/>
    <xf numFmtId="0" fontId="33" fillId="0" borderId="28" xfId="0" applyFont="1" applyBorder="1"/>
    <xf numFmtId="0" fontId="33" fillId="0" borderId="2" xfId="0" applyFont="1" applyBorder="1"/>
    <xf numFmtId="0" fontId="0" fillId="0" borderId="17" xfId="0" applyBorder="1"/>
    <xf numFmtId="1" fontId="33" fillId="0" borderId="56" xfId="0" applyNumberFormat="1" applyFont="1" applyBorder="1" applyAlignment="1">
      <alignment vertical="top" wrapText="1"/>
    </xf>
    <xf numFmtId="164" fontId="33" fillId="0" borderId="1" xfId="2" applyFont="1" applyBorder="1" applyAlignment="1">
      <alignment vertical="top" wrapText="1"/>
    </xf>
    <xf numFmtId="0" fontId="49" fillId="7" borderId="63" xfId="10" applyFont="1" applyFill="1" applyBorder="1" applyAlignment="1">
      <alignment horizontal="center" vertical="center" wrapText="1"/>
    </xf>
    <xf numFmtId="0" fontId="49" fillId="7" borderId="64" xfId="10" applyFont="1" applyFill="1" applyBorder="1" applyAlignment="1">
      <alignment horizontal="center" vertical="center" wrapText="1"/>
    </xf>
    <xf numFmtId="205" fontId="61" fillId="10" borderId="28" xfId="16" applyNumberFormat="1" applyFont="1" applyFill="1" applyBorder="1" applyAlignment="1">
      <alignment vertical="top" wrapText="1"/>
    </xf>
    <xf numFmtId="167" fontId="8" fillId="0" borderId="0" xfId="6" applyNumberFormat="1" applyFont="1" applyFill="1" applyBorder="1" applyAlignment="1" applyProtection="1">
      <alignment horizontal="center" wrapText="1"/>
      <protection locked="0"/>
    </xf>
    <xf numFmtId="0" fontId="33" fillId="0" borderId="0" xfId="0" quotePrefix="1" applyFont="1"/>
    <xf numFmtId="0" fontId="50" fillId="7" borderId="65" xfId="0" applyFont="1" applyFill="1" applyBorder="1" applyAlignment="1">
      <alignment horizontal="center" vertical="center"/>
    </xf>
    <xf numFmtId="0" fontId="33" fillId="0" borderId="17" xfId="0" applyFont="1" applyBorder="1" applyAlignment="1">
      <alignment vertical="top" wrapText="1"/>
    </xf>
    <xf numFmtId="0" fontId="62" fillId="7" borderId="49" xfId="10" applyFont="1" applyFill="1" applyBorder="1" applyAlignment="1">
      <alignment horizontal="left" vertical="center" wrapText="1"/>
    </xf>
    <xf numFmtId="0" fontId="62" fillId="7" borderId="46" xfId="10" applyFont="1" applyFill="1" applyBorder="1" applyAlignment="1">
      <alignment horizontal="left" vertical="center" wrapText="1"/>
    </xf>
    <xf numFmtId="0" fontId="31" fillId="0" borderId="26" xfId="0" applyFont="1" applyBorder="1"/>
    <xf numFmtId="0" fontId="65" fillId="11" borderId="67" xfId="0" applyFont="1" applyFill="1" applyBorder="1"/>
    <xf numFmtId="0" fontId="66" fillId="11" borderId="53" xfId="0" applyFont="1" applyFill="1" applyBorder="1"/>
    <xf numFmtId="0" fontId="67" fillId="9" borderId="61" xfId="0" applyFont="1" applyFill="1" applyBorder="1"/>
    <xf numFmtId="0" fontId="67" fillId="9" borderId="67" xfId="0" applyFont="1" applyFill="1" applyBorder="1"/>
    <xf numFmtId="0" fontId="66" fillId="11" borderId="61" xfId="0" applyFont="1" applyFill="1" applyBorder="1"/>
    <xf numFmtId="0" fontId="66" fillId="11" borderId="67" xfId="0" applyFont="1" applyFill="1" applyBorder="1"/>
    <xf numFmtId="0" fontId="66" fillId="0" borderId="61" xfId="0" applyFont="1" applyBorder="1"/>
    <xf numFmtId="0" fontId="66" fillId="0" borderId="67" xfId="0" applyFont="1" applyBorder="1"/>
    <xf numFmtId="0" fontId="66" fillId="11" borderId="61" xfId="0" applyFont="1" applyFill="1" applyBorder="1" applyAlignment="1">
      <alignment wrapText="1"/>
    </xf>
    <xf numFmtId="0" fontId="66" fillId="11" borderId="67" xfId="0" applyFont="1" applyFill="1" applyBorder="1" applyAlignment="1">
      <alignment wrapText="1"/>
    </xf>
    <xf numFmtId="0" fontId="66" fillId="0" borderId="61" xfId="0" applyFont="1" applyBorder="1" applyAlignment="1">
      <alignment wrapText="1"/>
    </xf>
    <xf numFmtId="0" fontId="66" fillId="0" borderId="67" xfId="0" applyFont="1" applyBorder="1" applyAlignment="1">
      <alignment wrapText="1"/>
    </xf>
    <xf numFmtId="0" fontId="64" fillId="11" borderId="66" xfId="0" applyFont="1" applyFill="1" applyBorder="1"/>
    <xf numFmtId="0" fontId="58" fillId="0" borderId="61" xfId="0" applyFont="1" applyBorder="1"/>
    <xf numFmtId="0" fontId="64" fillId="11" borderId="30" xfId="0" applyFont="1" applyFill="1" applyBorder="1"/>
    <xf numFmtId="0" fontId="63" fillId="9" borderId="68" xfId="0" applyFont="1" applyFill="1" applyBorder="1"/>
    <xf numFmtId="0" fontId="58" fillId="11" borderId="61" xfId="0" applyFont="1" applyFill="1" applyBorder="1"/>
    <xf numFmtId="0" fontId="58" fillId="11" borderId="53" xfId="0" applyFont="1" applyFill="1" applyBorder="1"/>
    <xf numFmtId="0" fontId="66" fillId="11" borderId="69" xfId="0" applyFont="1" applyFill="1" applyBorder="1"/>
    <xf numFmtId="0" fontId="67" fillId="9" borderId="68" xfId="0" applyFont="1" applyFill="1" applyBorder="1"/>
    <xf numFmtId="0" fontId="66" fillId="11" borderId="68" xfId="0" applyFont="1" applyFill="1" applyBorder="1"/>
    <xf numFmtId="0" fontId="66" fillId="0" borderId="68" xfId="0" applyFont="1" applyBorder="1"/>
    <xf numFmtId="167" fontId="68" fillId="11" borderId="53" xfId="6" applyNumberFormat="1" applyFont="1" applyFill="1" applyBorder="1" applyAlignment="1">
      <alignment horizontal="center" wrapText="1"/>
    </xf>
    <xf numFmtId="167" fontId="68" fillId="11" borderId="69" xfId="6" applyNumberFormat="1" applyFont="1" applyFill="1" applyBorder="1" applyAlignment="1">
      <alignment horizontal="center" wrapText="1"/>
    </xf>
    <xf numFmtId="0" fontId="44" fillId="7" borderId="70" xfId="10" applyFont="1" applyFill="1" applyBorder="1" applyAlignment="1">
      <alignment horizontal="left" vertical="center" wrapText="1"/>
    </xf>
    <xf numFmtId="0" fontId="44" fillId="7" borderId="71" xfId="10" applyFont="1" applyFill="1" applyBorder="1" applyAlignment="1">
      <alignment horizontal="left" vertical="center" wrapText="1"/>
    </xf>
    <xf numFmtId="167" fontId="68" fillId="11" borderId="61" xfId="6" applyNumberFormat="1" applyFont="1" applyFill="1" applyBorder="1" applyAlignment="1">
      <alignment horizontal="center" wrapText="1"/>
    </xf>
    <xf numFmtId="167" fontId="68" fillId="11" borderId="68" xfId="6" applyNumberFormat="1" applyFont="1" applyFill="1" applyBorder="1" applyAlignment="1">
      <alignment horizontal="center" wrapText="1"/>
    </xf>
    <xf numFmtId="167" fontId="68" fillId="0" borderId="61" xfId="6" applyNumberFormat="1" applyFont="1" applyBorder="1" applyAlignment="1">
      <alignment horizontal="center" wrapText="1"/>
    </xf>
    <xf numFmtId="167" fontId="68" fillId="0" borderId="68" xfId="6" applyNumberFormat="1" applyFont="1" applyBorder="1" applyAlignment="1">
      <alignment horizontal="center" wrapText="1"/>
    </xf>
    <xf numFmtId="0" fontId="58" fillId="0" borderId="67" xfId="0" applyFont="1" applyBorder="1"/>
    <xf numFmtId="0" fontId="22" fillId="0" borderId="72" xfId="15" applyFont="1" applyBorder="1" applyAlignment="1">
      <alignment horizontal="center" wrapText="1"/>
    </xf>
    <xf numFmtId="0" fontId="22" fillId="0" borderId="59" xfId="15" applyFont="1" applyBorder="1" applyAlignment="1">
      <alignment horizontal="center" wrapText="1"/>
    </xf>
    <xf numFmtId="0" fontId="0" fillId="0" borderId="1" xfId="0" applyBorder="1" applyAlignment="1">
      <alignment wrapText="1"/>
    </xf>
    <xf numFmtId="0" fontId="0" fillId="0" borderId="1" xfId="0" applyBorder="1" applyAlignment="1">
      <alignment horizontal="center" vertical="center" wrapText="1"/>
    </xf>
    <xf numFmtId="2" fontId="22" fillId="0" borderId="1" xfId="0" applyNumberFormat="1" applyFont="1" applyBorder="1" applyAlignment="1">
      <alignment horizontal="center" vertical="center" wrapText="1"/>
    </xf>
    <xf numFmtId="177" fontId="0" fillId="0" borderId="0" xfId="0" applyNumberFormat="1"/>
    <xf numFmtId="2" fontId="0" fillId="0" borderId="0" xfId="0" applyNumberFormat="1"/>
    <xf numFmtId="0" fontId="22" fillId="0" borderId="1" xfId="0" applyFont="1" applyBorder="1"/>
    <xf numFmtId="177" fontId="22" fillId="0" borderId="1" xfId="15" applyNumberFormat="1" applyFont="1" applyBorder="1" applyAlignment="1">
      <alignment horizontal="center"/>
    </xf>
    <xf numFmtId="0" fontId="22" fillId="0" borderId="21" xfId="15" applyFont="1" applyBorder="1" applyAlignment="1">
      <alignment horizontal="center" vertical="center" wrapText="1"/>
    </xf>
    <xf numFmtId="180" fontId="22" fillId="0" borderId="1" xfId="15" applyNumberFormat="1" applyFont="1" applyBorder="1" applyAlignment="1">
      <alignment horizontal="center" vertical="center" wrapText="1"/>
    </xf>
    <xf numFmtId="184" fontId="22" fillId="0" borderId="21" xfId="15" applyNumberFormat="1" applyFont="1" applyBorder="1" applyAlignment="1">
      <alignment horizontal="center" vertical="center" wrapText="1"/>
    </xf>
    <xf numFmtId="219" fontId="1" fillId="0" borderId="1" xfId="15" applyNumberFormat="1" applyBorder="1" applyAlignment="1">
      <alignment horizontal="center"/>
    </xf>
    <xf numFmtId="44" fontId="1" fillId="12" borderId="0" xfId="8" applyFill="1" applyBorder="1" applyAlignment="1">
      <alignment horizontal="center" vertical="center"/>
    </xf>
    <xf numFmtId="0" fontId="22" fillId="12" borderId="0" xfId="15" applyFont="1" applyFill="1" applyAlignment="1" applyProtection="1">
      <alignment horizontal="center" vertical="center"/>
      <protection locked="0"/>
    </xf>
    <xf numFmtId="219" fontId="1" fillId="12" borderId="0" xfId="15" applyNumberFormat="1" applyFill="1" applyAlignment="1" applyProtection="1">
      <alignment horizontal="center" vertical="center"/>
      <protection locked="0"/>
    </xf>
    <xf numFmtId="188" fontId="1" fillId="3" borderId="0" xfId="15" applyNumberFormat="1" applyFill="1" applyAlignment="1">
      <alignment horizontal="center" vertical="center"/>
    </xf>
    <xf numFmtId="44" fontId="1" fillId="3" borderId="0" xfId="8" applyFill="1" applyBorder="1" applyAlignment="1">
      <alignment horizontal="center" vertical="center"/>
    </xf>
    <xf numFmtId="0" fontId="0" fillId="0" borderId="1" xfId="0" applyBorder="1" applyAlignment="1">
      <alignment horizontal="center" vertical="center"/>
    </xf>
    <xf numFmtId="220" fontId="1" fillId="12" borderId="0" xfId="8" applyNumberFormat="1" applyFill="1" applyBorder="1" applyAlignment="1">
      <alignment horizontal="center" vertical="center"/>
    </xf>
    <xf numFmtId="0" fontId="22" fillId="0" borderId="0" xfId="0" applyFont="1"/>
    <xf numFmtId="0" fontId="22" fillId="0" borderId="21" xfId="0" applyFont="1" applyBorder="1"/>
    <xf numFmtId="0" fontId="22" fillId="0" borderId="1" xfId="0" applyFont="1" applyBorder="1" applyAlignment="1">
      <alignment horizontal="center" wrapText="1"/>
    </xf>
    <xf numFmtId="212" fontId="0" fillId="0" borderId="1" xfId="0" applyNumberFormat="1" applyBorder="1"/>
    <xf numFmtId="222" fontId="0" fillId="0" borderId="0" xfId="0" applyNumberFormat="1"/>
    <xf numFmtId="192" fontId="0" fillId="0" borderId="1" xfId="0" applyNumberFormat="1" applyBorder="1" applyAlignment="1">
      <alignment horizontal="center" vertical="center"/>
    </xf>
    <xf numFmtId="223" fontId="0" fillId="0" borderId="0" xfId="0" applyNumberFormat="1"/>
    <xf numFmtId="224" fontId="0" fillId="0" borderId="0" xfId="0" applyNumberFormat="1"/>
    <xf numFmtId="225" fontId="0" fillId="0" borderId="0" xfId="0" applyNumberFormat="1"/>
    <xf numFmtId="177" fontId="1" fillId="0" borderId="1" xfId="15" applyNumberFormat="1" applyBorder="1" applyAlignment="1">
      <alignment horizontal="center" vertical="center"/>
    </xf>
    <xf numFmtId="219" fontId="0" fillId="0" borderId="28" xfId="0" applyNumberFormat="1" applyBorder="1"/>
    <xf numFmtId="192" fontId="0" fillId="0" borderId="28" xfId="0" applyNumberFormat="1" applyBorder="1" applyAlignment="1">
      <alignment horizontal="center"/>
    </xf>
    <xf numFmtId="0" fontId="22" fillId="0" borderId="0" xfId="15" applyFont="1"/>
    <xf numFmtId="215" fontId="1" fillId="13" borderId="0" xfId="15" applyNumberFormat="1" applyFill="1" applyAlignment="1">
      <alignment horizontal="center" vertical="center"/>
    </xf>
    <xf numFmtId="177" fontId="22" fillId="13" borderId="0" xfId="15" applyNumberFormat="1" applyFont="1" applyFill="1" applyAlignment="1">
      <alignment horizontal="center" vertical="center"/>
    </xf>
    <xf numFmtId="44" fontId="22" fillId="13" borderId="0" xfId="8" applyFont="1" applyFill="1" applyBorder="1" applyAlignment="1">
      <alignment horizontal="center" vertical="center"/>
    </xf>
    <xf numFmtId="215" fontId="22" fillId="13" borderId="0" xfId="15" applyNumberFormat="1" applyFont="1" applyFill="1" applyAlignment="1">
      <alignment horizontal="center" vertical="center"/>
    </xf>
    <xf numFmtId="0" fontId="1" fillId="3" borderId="0" xfId="15" applyFill="1" applyAlignment="1">
      <alignment horizontal="center" vertical="center"/>
    </xf>
    <xf numFmtId="192" fontId="1" fillId="3" borderId="0" xfId="15" applyNumberFormat="1" applyFill="1" applyAlignment="1">
      <alignment horizontal="center" vertical="center"/>
    </xf>
    <xf numFmtId="177" fontId="1" fillId="3" borderId="0" xfId="15" applyNumberFormat="1" applyFill="1" applyAlignment="1">
      <alignment horizontal="center" vertical="center"/>
    </xf>
    <xf numFmtId="207" fontId="1" fillId="3" borderId="0" xfId="8" applyNumberFormat="1" applyFill="1" applyBorder="1" applyAlignment="1">
      <alignment horizontal="center" vertical="center"/>
    </xf>
    <xf numFmtId="0" fontId="1" fillId="0" borderId="26" xfId="15" applyBorder="1" applyAlignment="1">
      <alignment horizontal="center" vertical="center" wrapText="1"/>
    </xf>
    <xf numFmtId="0" fontId="22" fillId="0" borderId="65" xfId="15" applyFont="1" applyBorder="1" applyAlignment="1">
      <alignment horizontal="center" wrapText="1"/>
    </xf>
    <xf numFmtId="0" fontId="1" fillId="0" borderId="24" xfId="15" applyBorder="1" applyAlignment="1">
      <alignment horizontal="center" vertical="center" wrapText="1"/>
    </xf>
    <xf numFmtId="179" fontId="1" fillId="5" borderId="17" xfId="15" applyNumberFormat="1" applyFill="1" applyBorder="1" applyAlignment="1">
      <alignment horizontal="center" vertical="center"/>
    </xf>
    <xf numFmtId="180" fontId="20" fillId="0" borderId="26" xfId="15" applyNumberFormat="1" applyFont="1" applyBorder="1" applyAlignment="1">
      <alignment horizontal="center" vertical="center" wrapText="1"/>
    </xf>
    <xf numFmtId="44" fontId="1" fillId="3" borderId="3" xfId="8" applyFill="1" applyBorder="1" applyAlignment="1">
      <alignment horizontal="center" vertical="center"/>
    </xf>
    <xf numFmtId="187" fontId="22" fillId="0" borderId="26" xfId="15" applyNumberFormat="1" applyFont="1" applyBorder="1" applyAlignment="1">
      <alignment horizontal="center" vertical="center" wrapText="1"/>
    </xf>
    <xf numFmtId="180" fontId="1" fillId="0" borderId="24" xfId="15" applyNumberFormat="1" applyBorder="1" applyAlignment="1">
      <alignment horizontal="center" vertical="center" wrapText="1"/>
    </xf>
    <xf numFmtId="207" fontId="1" fillId="5" borderId="17" xfId="8" applyNumberFormat="1" applyFill="1" applyBorder="1" applyAlignment="1">
      <alignment horizontal="center" vertical="center"/>
    </xf>
    <xf numFmtId="0" fontId="1" fillId="0" borderId="73" xfId="15" applyBorder="1" applyAlignment="1">
      <alignment horizontal="center" wrapText="1"/>
    </xf>
    <xf numFmtId="214" fontId="1" fillId="0" borderId="3" xfId="15" applyNumberFormat="1" applyBorder="1" applyAlignment="1">
      <alignment horizontal="center" vertical="center"/>
    </xf>
    <xf numFmtId="0" fontId="1" fillId="0" borderId="74" xfId="15" applyBorder="1" applyAlignment="1">
      <alignment horizontal="center" vertical="center" wrapText="1"/>
    </xf>
    <xf numFmtId="185" fontId="1" fillId="2" borderId="14" xfId="15" applyNumberFormat="1" applyFill="1" applyBorder="1" applyAlignment="1">
      <alignment horizontal="center" vertical="center"/>
    </xf>
    <xf numFmtId="184" fontId="1" fillId="0" borderId="74" xfId="15" quotePrefix="1" applyNumberFormat="1" applyBorder="1" applyAlignment="1">
      <alignment horizontal="center" vertical="center" wrapText="1"/>
    </xf>
    <xf numFmtId="44" fontId="1" fillId="2" borderId="14" xfId="8" applyFill="1" applyBorder="1" applyAlignment="1">
      <alignment horizontal="center" vertical="center"/>
    </xf>
    <xf numFmtId="0" fontId="1" fillId="14" borderId="1" xfId="15" applyFill="1" applyBorder="1" applyAlignment="1">
      <alignment horizontal="center"/>
    </xf>
    <xf numFmtId="0" fontId="22" fillId="0" borderId="19" xfId="15" applyFont="1" applyBorder="1" applyAlignment="1">
      <alignment horizontal="center"/>
    </xf>
    <xf numFmtId="0" fontId="1" fillId="12" borderId="59" xfId="15" applyFill="1" applyBorder="1" applyAlignment="1">
      <alignment horizontal="center" wrapText="1"/>
    </xf>
    <xf numFmtId="0" fontId="26" fillId="12" borderId="75" xfId="15" applyFont="1" applyFill="1" applyBorder="1" applyAlignment="1">
      <alignment horizontal="center" vertical="center" wrapText="1"/>
    </xf>
    <xf numFmtId="0" fontId="26" fillId="0" borderId="19" xfId="15" applyFont="1" applyBorder="1" applyAlignment="1">
      <alignment horizontal="center" vertical="center"/>
    </xf>
    <xf numFmtId="0" fontId="26" fillId="0" borderId="19" xfId="15" applyFont="1" applyBorder="1" applyAlignment="1">
      <alignment horizontal="center" vertical="center" wrapText="1"/>
    </xf>
    <xf numFmtId="0" fontId="22" fillId="15" borderId="59" xfId="15" applyFont="1" applyFill="1" applyBorder="1" applyAlignment="1">
      <alignment horizontal="center" wrapText="1"/>
    </xf>
    <xf numFmtId="0" fontId="22" fillId="0" borderId="76" xfId="15" applyFont="1" applyBorder="1" applyAlignment="1">
      <alignment horizontal="center" wrapText="1"/>
    </xf>
    <xf numFmtId="0" fontId="69" fillId="15" borderId="72" xfId="15" applyFont="1" applyFill="1" applyBorder="1" applyAlignment="1">
      <alignment horizontal="center" wrapText="1"/>
    </xf>
    <xf numFmtId="0" fontId="22" fillId="15" borderId="72" xfId="15" applyFont="1" applyFill="1" applyBorder="1" applyAlignment="1">
      <alignment horizontal="center" wrapText="1"/>
    </xf>
    <xf numFmtId="0" fontId="1" fillId="0" borderId="59" xfId="15" applyBorder="1" applyAlignment="1">
      <alignment horizontal="center" wrapText="1"/>
    </xf>
    <xf numFmtId="0" fontId="1" fillId="0" borderId="24" xfId="15" applyBorder="1" applyAlignment="1">
      <alignment horizontal="center" wrapText="1"/>
    </xf>
    <xf numFmtId="0" fontId="1" fillId="13" borderId="77" xfId="15" applyFill="1" applyBorder="1" applyAlignment="1">
      <alignment horizontal="center" wrapText="1"/>
    </xf>
    <xf numFmtId="0" fontId="1" fillId="13" borderId="72" xfId="15" applyFill="1" applyBorder="1" applyAlignment="1">
      <alignment horizontal="center" wrapText="1"/>
    </xf>
    <xf numFmtId="0" fontId="1" fillId="13" borderId="65" xfId="15" applyFill="1" applyBorder="1" applyAlignment="1">
      <alignment horizontal="center" wrapText="1"/>
    </xf>
    <xf numFmtId="0" fontId="1" fillId="13" borderId="59" xfId="15" applyFill="1" applyBorder="1" applyAlignment="1">
      <alignment horizontal="center" wrapText="1"/>
    </xf>
    <xf numFmtId="0" fontId="26" fillId="3" borderId="75" xfId="15" applyFont="1" applyFill="1" applyBorder="1" applyAlignment="1">
      <alignment horizontal="center" vertical="center" wrapText="1"/>
    </xf>
    <xf numFmtId="0" fontId="1" fillId="15" borderId="72" xfId="15" applyFill="1" applyBorder="1" applyAlignment="1">
      <alignment horizontal="center" wrapText="1"/>
    </xf>
    <xf numFmtId="0" fontId="1" fillId="10" borderId="78" xfId="15" applyFill="1" applyBorder="1" applyAlignment="1">
      <alignment horizontal="center" wrapText="1"/>
    </xf>
    <xf numFmtId="0" fontId="1" fillId="10" borderId="59" xfId="15" applyFill="1" applyBorder="1" applyAlignment="1">
      <alignment horizontal="center" wrapText="1"/>
    </xf>
    <xf numFmtId="0" fontId="1" fillId="10" borderId="72" xfId="15" applyFill="1" applyBorder="1" applyAlignment="1">
      <alignment horizontal="center" wrapText="1"/>
    </xf>
    <xf numFmtId="0" fontId="22" fillId="10" borderId="72" xfId="15" applyFont="1" applyFill="1" applyBorder="1" applyAlignment="1">
      <alignment horizontal="center" wrapText="1"/>
    </xf>
    <xf numFmtId="0" fontId="26" fillId="10" borderId="75" xfId="15" applyFont="1" applyFill="1" applyBorder="1" applyAlignment="1">
      <alignment horizontal="center" vertical="center" wrapText="1"/>
    </xf>
    <xf numFmtId="0" fontId="22" fillId="0" borderId="1" xfId="15" applyFont="1" applyBorder="1" applyAlignment="1">
      <alignment horizontal="center" vertical="center" wrapText="1"/>
    </xf>
    <xf numFmtId="0" fontId="22" fillId="0" borderId="79" xfId="15" applyFont="1" applyBorder="1" applyAlignment="1">
      <alignment horizontal="center" vertical="center" wrapText="1"/>
    </xf>
    <xf numFmtId="227" fontId="22" fillId="0" borderId="21" xfId="15" applyNumberFormat="1" applyFont="1" applyBorder="1" applyAlignment="1">
      <alignment horizontal="center" vertical="center" wrapText="1"/>
    </xf>
    <xf numFmtId="0" fontId="22" fillId="10" borderId="31" xfId="15" applyFont="1" applyFill="1" applyBorder="1" applyAlignment="1">
      <alignment horizontal="center" wrapText="1"/>
    </xf>
    <xf numFmtId="0" fontId="22" fillId="10" borderId="59" xfId="15" applyFont="1" applyFill="1" applyBorder="1" applyAlignment="1">
      <alignment horizontal="center" wrapText="1"/>
    </xf>
    <xf numFmtId="0" fontId="22" fillId="10" borderId="77" xfId="15" applyFont="1" applyFill="1" applyBorder="1" applyAlignment="1">
      <alignment horizontal="center" wrapText="1"/>
    </xf>
    <xf numFmtId="0" fontId="1" fillId="3" borderId="73" xfId="15" applyFill="1" applyBorder="1" applyAlignment="1">
      <alignment horizontal="center" wrapText="1"/>
    </xf>
    <xf numFmtId="0" fontId="1" fillId="3" borderId="1" xfId="15" applyFill="1" applyBorder="1" applyAlignment="1">
      <alignment horizontal="center" wrapText="1"/>
    </xf>
    <xf numFmtId="0" fontId="1" fillId="12" borderId="1" xfId="15" applyFill="1" applyBorder="1" applyAlignment="1">
      <alignment horizontal="center" wrapText="1"/>
    </xf>
    <xf numFmtId="0" fontId="1" fillId="16" borderId="59" xfId="15" applyFill="1" applyBorder="1" applyAlignment="1">
      <alignment horizontal="center" wrapText="1"/>
    </xf>
    <xf numFmtId="0" fontId="1" fillId="16" borderId="21" xfId="15" applyFill="1" applyBorder="1" applyAlignment="1">
      <alignment horizontal="center" wrapText="1"/>
    </xf>
    <xf numFmtId="0" fontId="22" fillId="13" borderId="59" xfId="15" applyFont="1" applyFill="1" applyBorder="1" applyAlignment="1">
      <alignment horizontal="center" wrapText="1"/>
    </xf>
    <xf numFmtId="0" fontId="22" fillId="13" borderId="72" xfId="15" applyFont="1" applyFill="1" applyBorder="1" applyAlignment="1">
      <alignment horizontal="center" wrapText="1"/>
    </xf>
    <xf numFmtId="0" fontId="1" fillId="13" borderId="80" xfId="15" applyFill="1" applyBorder="1" applyAlignment="1">
      <alignment horizontal="center" wrapText="1"/>
    </xf>
    <xf numFmtId="0" fontId="22" fillId="13" borderId="65" xfId="15" applyFont="1" applyFill="1" applyBorder="1" applyAlignment="1">
      <alignment horizontal="center" wrapText="1"/>
    </xf>
    <xf numFmtId="0" fontId="0" fillId="0" borderId="0" xfId="15" applyFont="1" applyAlignment="1">
      <alignment vertical="center" wrapText="1"/>
    </xf>
    <xf numFmtId="0" fontId="0" fillId="0" borderId="0" xfId="15" applyFont="1" applyAlignment="1">
      <alignment vertical="center"/>
    </xf>
    <xf numFmtId="0" fontId="22" fillId="0" borderId="0" xfId="15" applyFont="1" applyAlignment="1">
      <alignment vertical="center" wrapText="1"/>
    </xf>
    <xf numFmtId="229" fontId="1" fillId="17" borderId="19" xfId="15" applyNumberFormat="1" applyFill="1" applyBorder="1" applyAlignment="1">
      <alignment horizontal="center" vertical="center"/>
    </xf>
    <xf numFmtId="230" fontId="1" fillId="17" borderId="19" xfId="15" applyNumberFormat="1" applyFill="1" applyBorder="1" applyAlignment="1">
      <alignment horizontal="center" vertical="center"/>
    </xf>
    <xf numFmtId="231" fontId="1" fillId="17" borderId="19" xfId="15" applyNumberFormat="1" applyFill="1" applyBorder="1" applyAlignment="1">
      <alignment horizontal="center" vertical="center"/>
    </xf>
    <xf numFmtId="229" fontId="1" fillId="18" borderId="1" xfId="15" applyNumberFormat="1" applyFill="1" applyBorder="1" applyAlignment="1">
      <alignment horizontal="center" vertical="center"/>
    </xf>
    <xf numFmtId="230" fontId="1" fillId="18" borderId="1" xfId="15" applyNumberFormat="1" applyFill="1" applyBorder="1" applyAlignment="1">
      <alignment horizontal="center" vertical="center"/>
    </xf>
    <xf numFmtId="229" fontId="1" fillId="4" borderId="1" xfId="15" applyNumberFormat="1" applyFill="1" applyBorder="1" applyAlignment="1">
      <alignment horizontal="center" vertical="center"/>
    </xf>
    <xf numFmtId="230" fontId="1" fillId="4" borderId="1" xfId="15" applyNumberFormat="1" applyFill="1" applyBorder="1" applyAlignment="1">
      <alignment horizontal="center" vertical="center" wrapText="1"/>
    </xf>
    <xf numFmtId="231" fontId="1" fillId="4" borderId="1" xfId="15" applyNumberFormat="1" applyFill="1" applyBorder="1" applyAlignment="1">
      <alignment horizontal="center" vertical="center" wrapText="1"/>
    </xf>
    <xf numFmtId="226" fontId="70" fillId="0" borderId="0" xfId="4" applyNumberFormat="1" applyFont="1" applyFill="1" applyAlignment="1">
      <alignment horizontal="center" vertical="center"/>
    </xf>
    <xf numFmtId="44" fontId="70" fillId="0" borderId="0" xfId="15" applyNumberFormat="1" applyFont="1" applyAlignment="1">
      <alignment horizontal="center" vertical="center"/>
    </xf>
    <xf numFmtId="226" fontId="70" fillId="0" borderId="0" xfId="15" applyNumberFormat="1" applyFont="1" applyAlignment="1">
      <alignment horizontal="center" vertical="center"/>
    </xf>
    <xf numFmtId="228" fontId="70" fillId="0" borderId="0" xfId="15" applyNumberFormat="1" applyFont="1" applyAlignment="1">
      <alignment horizontal="center" vertical="center"/>
    </xf>
    <xf numFmtId="0" fontId="22" fillId="0" borderId="19" xfId="15" applyFont="1" applyBorder="1" applyAlignment="1">
      <alignment horizontal="center" vertical="center" wrapText="1"/>
    </xf>
    <xf numFmtId="49" fontId="33" fillId="0" borderId="60" xfId="0" applyNumberFormat="1" applyFont="1" applyBorder="1" applyAlignment="1">
      <alignment vertical="top" wrapText="1"/>
    </xf>
    <xf numFmtId="44" fontId="1" fillId="0" borderId="0" xfId="15" applyNumberFormat="1"/>
    <xf numFmtId="232" fontId="8" fillId="0" borderId="81" xfId="2" applyNumberFormat="1" applyFont="1" applyFill="1" applyBorder="1" applyAlignment="1">
      <alignment horizontal="center" vertical="center"/>
    </xf>
    <xf numFmtId="49" fontId="32" fillId="0" borderId="33" xfId="10" applyNumberFormat="1" applyFont="1" applyBorder="1" applyAlignment="1">
      <alignment horizontal="center" vertical="center"/>
    </xf>
    <xf numFmtId="49" fontId="9" fillId="0" borderId="35" xfId="10" applyNumberFormat="1" applyFont="1" applyBorder="1" applyAlignment="1">
      <alignment horizontal="center" vertical="center" wrapText="1"/>
    </xf>
    <xf numFmtId="49" fontId="8" fillId="0" borderId="35" xfId="10" applyNumberFormat="1" applyFont="1" applyBorder="1" applyAlignment="1">
      <alignment horizontal="center" vertical="center" wrapText="1"/>
    </xf>
    <xf numFmtId="49" fontId="9" fillId="0" borderId="38" xfId="10" applyNumberFormat="1" applyFont="1" applyBorder="1" applyAlignment="1">
      <alignment horizontal="center" wrapText="1"/>
    </xf>
    <xf numFmtId="0" fontId="26" fillId="15" borderId="75" xfId="15" applyFont="1" applyFill="1" applyBorder="1" applyAlignment="1">
      <alignment horizontal="center" vertical="center" wrapText="1"/>
    </xf>
    <xf numFmtId="0" fontId="26" fillId="16" borderId="75" xfId="15" applyFont="1" applyFill="1" applyBorder="1" applyAlignment="1">
      <alignment horizontal="center" vertical="center" wrapText="1"/>
    </xf>
    <xf numFmtId="0" fontId="26" fillId="13" borderId="75" xfId="15" applyFont="1" applyFill="1" applyBorder="1" applyAlignment="1">
      <alignment horizontal="center" vertical="center" wrapText="1"/>
    </xf>
    <xf numFmtId="0" fontId="26" fillId="5" borderId="75" xfId="15" applyFont="1" applyFill="1" applyBorder="1" applyAlignment="1">
      <alignment horizontal="center" vertical="center" wrapText="1"/>
    </xf>
    <xf numFmtId="226" fontId="22" fillId="0" borderId="0" xfId="15" applyNumberFormat="1" applyFont="1" applyAlignment="1">
      <alignment horizontal="center" vertical="center"/>
    </xf>
    <xf numFmtId="0" fontId="26" fillId="6" borderId="75" xfId="15" applyFont="1" applyFill="1" applyBorder="1" applyAlignment="1">
      <alignment horizontal="center" vertical="center" wrapText="1"/>
    </xf>
    <xf numFmtId="0" fontId="70" fillId="0" borderId="0" xfId="15" applyFont="1" applyAlignment="1">
      <alignment vertical="center"/>
    </xf>
    <xf numFmtId="0" fontId="22" fillId="10" borderId="1" xfId="15" applyFont="1" applyFill="1" applyBorder="1" applyAlignment="1">
      <alignment horizontal="center" vertical="center"/>
    </xf>
    <xf numFmtId="0" fontId="22" fillId="13" borderId="1" xfId="15" applyFont="1" applyFill="1" applyBorder="1" applyAlignment="1">
      <alignment horizontal="center" vertical="center"/>
    </xf>
    <xf numFmtId="0" fontId="22" fillId="15" borderId="1" xfId="15" applyFont="1" applyFill="1" applyBorder="1" applyAlignment="1">
      <alignment horizontal="center" vertical="center"/>
    </xf>
    <xf numFmtId="0" fontId="22" fillId="0" borderId="75" xfId="15" applyFont="1" applyBorder="1" applyAlignment="1">
      <alignment horizontal="center" vertical="center" wrapText="1"/>
    </xf>
    <xf numFmtId="231" fontId="1" fillId="18" borderId="19" xfId="15" applyNumberFormat="1" applyFill="1" applyBorder="1" applyAlignment="1">
      <alignment horizontal="center" vertical="center"/>
    </xf>
    <xf numFmtId="226" fontId="1" fillId="17" borderId="19" xfId="15" applyNumberFormat="1" applyFill="1" applyBorder="1" applyAlignment="1">
      <alignment horizontal="center" vertical="center"/>
    </xf>
    <xf numFmtId="226" fontId="1" fillId="18" borderId="19" xfId="15" applyNumberFormat="1" applyFill="1" applyBorder="1" applyAlignment="1">
      <alignment horizontal="center" vertical="center"/>
    </xf>
    <xf numFmtId="226" fontId="1" fillId="4" borderId="19" xfId="15" applyNumberFormat="1" applyFill="1" applyBorder="1" applyAlignment="1">
      <alignment horizontal="center" vertical="center"/>
    </xf>
    <xf numFmtId="0" fontId="7" fillId="0" borderId="0" xfId="0" applyFont="1" applyAlignment="1">
      <alignment horizontal="left" vertical="center"/>
    </xf>
    <xf numFmtId="0" fontId="8" fillId="0" borderId="0" xfId="10" applyFont="1" applyAlignment="1">
      <alignment horizontal="right" vertical="center"/>
    </xf>
    <xf numFmtId="166" fontId="1" fillId="0" borderId="0" xfId="15" applyNumberFormat="1" applyAlignment="1">
      <alignment horizontal="center" vertical="center" wrapText="1"/>
    </xf>
    <xf numFmtId="0" fontId="4" fillId="0" borderId="0" xfId="10" applyFont="1" applyAlignment="1">
      <alignment horizontal="center" vertical="center"/>
    </xf>
    <xf numFmtId="183" fontId="2" fillId="19" borderId="1" xfId="10" applyNumberFormat="1" applyFill="1" applyBorder="1" applyAlignment="1">
      <alignment horizontal="center" vertical="center"/>
    </xf>
    <xf numFmtId="178" fontId="2" fillId="19" borderId="1" xfId="10" applyNumberFormat="1" applyFill="1" applyBorder="1" applyAlignment="1">
      <alignment horizontal="center" vertical="center"/>
    </xf>
    <xf numFmtId="183" fontId="2" fillId="20" borderId="1" xfId="10" applyNumberFormat="1" applyFill="1" applyBorder="1" applyAlignment="1">
      <alignment horizontal="center" vertical="center"/>
    </xf>
    <xf numFmtId="178" fontId="2" fillId="20" borderId="1" xfId="10" applyNumberFormat="1" applyFill="1" applyBorder="1" applyAlignment="1">
      <alignment horizontal="center" vertical="center"/>
    </xf>
    <xf numFmtId="0" fontId="4" fillId="0" borderId="1" xfId="10" applyFont="1" applyBorder="1" applyAlignment="1">
      <alignment horizontal="center" vertical="center"/>
    </xf>
    <xf numFmtId="0" fontId="2" fillId="8" borderId="19" xfId="10" applyFill="1" applyBorder="1" applyAlignment="1">
      <alignment horizontal="center" vertical="center"/>
    </xf>
    <xf numFmtId="0" fontId="4" fillId="0" borderId="66" xfId="10" applyFont="1" applyBorder="1" applyAlignment="1">
      <alignment horizontal="center" vertical="center"/>
    </xf>
    <xf numFmtId="183" fontId="41" fillId="0" borderId="0" xfId="15" applyNumberFormat="1" applyFont="1" applyAlignment="1">
      <alignment horizontal="center" vertical="center" wrapText="1"/>
    </xf>
    <xf numFmtId="0" fontId="6" fillId="0" borderId="0" xfId="0" applyFont="1" applyAlignment="1">
      <alignment horizontal="center" vertical="center"/>
    </xf>
    <xf numFmtId="0" fontId="5" fillId="0" borderId="84" xfId="0" applyFont="1" applyBorder="1" applyAlignment="1">
      <alignment horizontal="center" vertical="center"/>
    </xf>
    <xf numFmtId="0" fontId="5" fillId="0" borderId="85" xfId="0" applyFont="1" applyBorder="1" applyAlignment="1">
      <alignment horizontal="center" vertical="center"/>
    </xf>
    <xf numFmtId="0" fontId="0" fillId="0" borderId="86" xfId="0" applyBorder="1" applyAlignment="1">
      <alignment horizontal="center" vertical="center" wrapText="1"/>
    </xf>
    <xf numFmtId="0" fontId="0" fillId="0" borderId="87" xfId="0" applyBorder="1" applyAlignment="1">
      <alignment horizontal="center" vertical="center" wrapText="1"/>
    </xf>
    <xf numFmtId="0" fontId="2" fillId="0" borderId="0" xfId="0" applyFont="1"/>
    <xf numFmtId="0" fontId="0" fillId="0" borderId="86" xfId="0" applyBorder="1" applyAlignment="1">
      <alignment horizontal="left" vertical="center" wrapText="1"/>
    </xf>
    <xf numFmtId="0" fontId="0" fillId="0" borderId="87" xfId="0" applyBorder="1" applyAlignment="1">
      <alignment horizontal="left" vertical="center" wrapText="1"/>
    </xf>
    <xf numFmtId="0" fontId="0" fillId="0" borderId="22" xfId="0" applyBorder="1" applyAlignment="1">
      <alignment horizontal="center"/>
    </xf>
    <xf numFmtId="0" fontId="0" fillId="0" borderId="24" xfId="0" applyBorder="1" applyAlignment="1">
      <alignment horizontal="center"/>
    </xf>
    <xf numFmtId="0" fontId="0" fillId="0" borderId="22" xfId="0" applyBorder="1" applyAlignment="1">
      <alignment horizontal="left" vertical="center" wrapText="1"/>
    </xf>
    <xf numFmtId="0" fontId="0" fillId="0" borderId="24" xfId="0" applyBorder="1" applyAlignment="1">
      <alignment horizontal="left" vertical="center" wrapText="1"/>
    </xf>
    <xf numFmtId="0" fontId="0" fillId="0" borderId="22" xfId="0" applyBorder="1" applyAlignment="1">
      <alignment horizontal="center" vertical="center"/>
    </xf>
    <xf numFmtId="0" fontId="0" fillId="0" borderId="24" xfId="0" applyBorder="1" applyAlignment="1">
      <alignment horizontal="center" vertical="center"/>
    </xf>
    <xf numFmtId="0" fontId="0" fillId="0" borderId="22" xfId="0" applyBorder="1" applyAlignment="1">
      <alignment horizontal="center" vertical="center" wrapText="1"/>
    </xf>
    <xf numFmtId="0" fontId="0" fillId="0" borderId="24" xfId="0" applyBorder="1" applyAlignment="1">
      <alignment horizontal="center" vertical="center" wrapText="1"/>
    </xf>
    <xf numFmtId="0" fontId="0" fillId="0" borderId="83" xfId="0" applyBorder="1" applyAlignment="1">
      <alignment horizontal="center" vertical="center" wrapText="1"/>
    </xf>
    <xf numFmtId="0" fontId="0" fillId="0" borderId="66" xfId="0" applyBorder="1" applyAlignment="1">
      <alignment horizontal="center" vertical="center" wrapText="1"/>
    </xf>
    <xf numFmtId="0" fontId="0" fillId="0" borderId="83" xfId="0" applyBorder="1" applyAlignment="1">
      <alignment horizontal="left" vertical="center" wrapText="1"/>
    </xf>
    <xf numFmtId="0" fontId="0" fillId="0" borderId="66" xfId="0" applyBorder="1" applyAlignment="1">
      <alignment horizontal="left" vertical="center" wrapText="1"/>
    </xf>
    <xf numFmtId="0" fontId="28" fillId="0" borderId="0" xfId="0" applyFont="1" applyProtection="1">
      <protection locked="0"/>
    </xf>
    <xf numFmtId="234" fontId="2" fillId="0" borderId="0" xfId="10" applyNumberFormat="1"/>
    <xf numFmtId="0" fontId="26" fillId="3" borderId="28" xfId="15" applyFont="1" applyFill="1" applyBorder="1" applyAlignment="1">
      <alignment horizontal="center" vertical="center" wrapText="1"/>
    </xf>
    <xf numFmtId="0" fontId="26" fillId="12" borderId="28" xfId="15" applyFont="1" applyFill="1" applyBorder="1" applyAlignment="1">
      <alignment horizontal="center" vertical="center" wrapText="1"/>
    </xf>
    <xf numFmtId="0" fontId="26" fillId="16" borderId="28" xfId="15" applyFont="1" applyFill="1" applyBorder="1" applyAlignment="1">
      <alignment horizontal="center" vertical="center" wrapText="1"/>
    </xf>
    <xf numFmtId="0" fontId="26" fillId="10" borderId="28" xfId="15" applyFont="1" applyFill="1" applyBorder="1" applyAlignment="1">
      <alignment horizontal="center" vertical="center" wrapText="1"/>
    </xf>
    <xf numFmtId="0" fontId="26" fillId="13" borderId="28" xfId="15" applyFont="1" applyFill="1" applyBorder="1" applyAlignment="1">
      <alignment horizontal="center" vertical="center" wrapText="1"/>
    </xf>
    <xf numFmtId="0" fontId="26" fillId="15" borderId="28" xfId="15" applyFont="1" applyFill="1" applyBorder="1" applyAlignment="1">
      <alignment horizontal="center" vertical="center" wrapText="1"/>
    </xf>
    <xf numFmtId="0" fontId="26" fillId="5" borderId="28" xfId="15" applyFont="1" applyFill="1" applyBorder="1" applyAlignment="1">
      <alignment horizontal="center" vertical="center" wrapText="1"/>
    </xf>
    <xf numFmtId="0" fontId="26" fillId="6" borderId="28" xfId="15" applyFont="1" applyFill="1" applyBorder="1" applyAlignment="1">
      <alignment horizontal="center" vertical="center" wrapText="1"/>
    </xf>
    <xf numFmtId="0" fontId="2" fillId="0" borderId="1" xfId="10" applyBorder="1" applyAlignment="1">
      <alignment horizontal="center" vertical="center"/>
    </xf>
    <xf numFmtId="44" fontId="2" fillId="0" borderId="0" xfId="10" applyNumberFormat="1" applyAlignment="1">
      <alignment horizontal="center" vertical="center"/>
    </xf>
    <xf numFmtId="226" fontId="2" fillId="0" borderId="0" xfId="10" applyNumberFormat="1" applyAlignment="1">
      <alignment horizontal="center" vertical="center"/>
    </xf>
    <xf numFmtId="228" fontId="2" fillId="0" borderId="0" xfId="10" applyNumberFormat="1" applyAlignment="1">
      <alignment horizontal="center" vertical="center"/>
    </xf>
    <xf numFmtId="0" fontId="1" fillId="0" borderId="1" xfId="0" applyFont="1" applyBorder="1"/>
    <xf numFmtId="0" fontId="25" fillId="0" borderId="0" xfId="10" applyFont="1" applyAlignment="1" applyProtection="1">
      <alignment vertical="center"/>
      <protection locked="0"/>
    </xf>
    <xf numFmtId="0" fontId="58" fillId="11" borderId="67" xfId="0" applyFont="1" applyFill="1" applyBorder="1"/>
    <xf numFmtId="0" fontId="58" fillId="0" borderId="67" xfId="0" applyFont="1" applyBorder="1" applyAlignment="1">
      <alignment wrapText="1"/>
    </xf>
    <xf numFmtId="0" fontId="70" fillId="0" borderId="0" xfId="0" applyFont="1" applyAlignment="1">
      <alignment horizontal="right"/>
    </xf>
    <xf numFmtId="235" fontId="5" fillId="0" borderId="0" xfId="4" applyNumberFormat="1" applyFont="1" applyBorder="1" applyAlignment="1" applyProtection="1">
      <alignment horizontal="center"/>
      <protection locked="0"/>
    </xf>
    <xf numFmtId="44" fontId="41" fillId="0" borderId="0" xfId="15" applyNumberFormat="1" applyFont="1" applyAlignment="1">
      <alignment horizontal="center" vertical="center" wrapText="1"/>
    </xf>
    <xf numFmtId="0" fontId="22" fillId="0" borderId="21" xfId="15" applyFont="1" applyBorder="1" applyAlignment="1">
      <alignment horizontal="center"/>
    </xf>
    <xf numFmtId="44" fontId="43" fillId="0" borderId="15" xfId="4" applyFont="1" applyBorder="1" applyAlignment="1">
      <alignment horizontal="center" vertical="center" wrapText="1"/>
    </xf>
    <xf numFmtId="0" fontId="22" fillId="0" borderId="0" xfId="15" applyFont="1" applyAlignment="1">
      <alignment horizontal="center"/>
    </xf>
    <xf numFmtId="0" fontId="28" fillId="0" borderId="19" xfId="15" applyFont="1" applyBorder="1" applyAlignment="1">
      <alignment horizontal="center" vertical="center" wrapText="1"/>
    </xf>
    <xf numFmtId="44" fontId="43" fillId="0" borderId="0" xfId="4" applyFont="1" applyBorder="1" applyAlignment="1">
      <alignment horizontal="center" vertical="center" wrapText="1"/>
    </xf>
    <xf numFmtId="166" fontId="41" fillId="0" borderId="0" xfId="15" applyNumberFormat="1" applyFont="1" applyAlignment="1">
      <alignment horizontal="center" vertical="center" wrapText="1"/>
    </xf>
    <xf numFmtId="0" fontId="0" fillId="0" borderId="82" xfId="0" applyBorder="1" applyAlignment="1">
      <alignment horizontal="center" vertical="center" wrapText="1"/>
    </xf>
    <xf numFmtId="0" fontId="0" fillId="0" borderId="30" xfId="0" applyBorder="1" applyAlignment="1">
      <alignment horizontal="center" vertical="center" wrapText="1"/>
    </xf>
    <xf numFmtId="0" fontId="0" fillId="0" borderId="82" xfId="0" applyBorder="1" applyAlignment="1">
      <alignment horizontal="left" vertical="center" wrapText="1"/>
    </xf>
    <xf numFmtId="0" fontId="0" fillId="0" borderId="30" xfId="0" applyBorder="1" applyAlignment="1">
      <alignment horizontal="left" vertical="center" wrapText="1"/>
    </xf>
    <xf numFmtId="210" fontId="17" fillId="0" borderId="28" xfId="4" applyNumberFormat="1" applyFont="1" applyBorder="1" applyAlignment="1"/>
    <xf numFmtId="0" fontId="1" fillId="0" borderId="1" xfId="0" applyFont="1" applyBorder="1" applyAlignment="1">
      <alignment horizontal="center"/>
    </xf>
    <xf numFmtId="0" fontId="1" fillId="10" borderId="80" xfId="15" applyFill="1" applyBorder="1" applyAlignment="1">
      <alignment horizontal="center" wrapText="1"/>
    </xf>
    <xf numFmtId="0" fontId="1" fillId="13" borderId="92" xfId="15" applyFill="1" applyBorder="1" applyAlignment="1">
      <alignment horizontal="center" wrapText="1"/>
    </xf>
    <xf numFmtId="180" fontId="1" fillId="0" borderId="93" xfId="15" applyNumberFormat="1" applyBorder="1" applyAlignment="1">
      <alignment horizontal="center" vertical="center" wrapText="1"/>
    </xf>
    <xf numFmtId="218" fontId="74" fillId="21" borderId="94" xfId="8" applyNumberFormat="1" applyFont="1" applyFill="1" applyBorder="1" applyAlignment="1">
      <alignment horizontal="center" vertical="center"/>
    </xf>
    <xf numFmtId="218" fontId="70" fillId="0" borderId="0" xfId="15" applyNumberFormat="1" applyFont="1" applyAlignment="1">
      <alignment horizontal="center" vertical="center"/>
    </xf>
    <xf numFmtId="0" fontId="75" fillId="0" borderId="0" xfId="15" applyFont="1" applyAlignment="1">
      <alignment horizontal="right" vertical="center"/>
    </xf>
    <xf numFmtId="0" fontId="1" fillId="0" borderId="24" xfId="0" applyFont="1" applyBorder="1" applyAlignment="1">
      <alignment horizontal="left" vertical="center" wrapText="1"/>
    </xf>
    <xf numFmtId="236" fontId="2" fillId="0" borderId="0" xfId="4" applyNumberFormat="1" applyFont="1"/>
    <xf numFmtId="236" fontId="2" fillId="0" borderId="0" xfId="10" applyNumberFormat="1"/>
    <xf numFmtId="0" fontId="6" fillId="0" borderId="0" xfId="10" applyFont="1" applyAlignment="1">
      <alignment horizontal="center" vertical="center" wrapText="1"/>
    </xf>
    <xf numFmtId="44" fontId="2" fillId="0" borderId="0" xfId="10" applyNumberFormat="1"/>
    <xf numFmtId="0" fontId="4" fillId="0" borderId="19" xfId="10" applyFont="1" applyBorder="1" applyAlignment="1">
      <alignment horizontal="center" vertical="center"/>
    </xf>
    <xf numFmtId="0" fontId="2" fillId="0" borderId="83" xfId="10" applyBorder="1" applyAlignment="1">
      <alignment horizontal="center" wrapText="1"/>
    </xf>
    <xf numFmtId="0" fontId="50" fillId="7" borderId="95" xfId="0" applyFont="1" applyFill="1" applyBorder="1" applyAlignment="1">
      <alignment horizontal="center" vertical="center"/>
    </xf>
    <xf numFmtId="44" fontId="8" fillId="8" borderId="1" xfId="4" applyFont="1" applyFill="1" applyBorder="1" applyAlignment="1">
      <alignment horizontal="center" vertical="center"/>
    </xf>
    <xf numFmtId="213" fontId="2" fillId="0" borderId="21" xfId="10" applyNumberFormat="1" applyBorder="1" applyAlignment="1">
      <alignment horizontal="center" vertical="center"/>
    </xf>
    <xf numFmtId="165" fontId="6" fillId="0" borderId="21" xfId="10" applyNumberFormat="1" applyFont="1" applyBorder="1" applyAlignment="1">
      <alignment horizontal="center" vertical="center"/>
    </xf>
    <xf numFmtId="10" fontId="49" fillId="7" borderId="96" xfId="10" applyNumberFormat="1" applyFont="1" applyFill="1" applyBorder="1" applyAlignment="1">
      <alignment horizontal="center" vertical="center"/>
    </xf>
    <xf numFmtId="0" fontId="4" fillId="0" borderId="97" xfId="10" applyFont="1" applyBorder="1" applyAlignment="1">
      <alignment horizontal="center" vertical="center"/>
    </xf>
    <xf numFmtId="239" fontId="2" fillId="0" borderId="93" xfId="4" applyNumberFormat="1" applyFont="1" applyBorder="1" applyAlignment="1">
      <alignment horizontal="center" vertical="center"/>
    </xf>
    <xf numFmtId="240" fontId="6" fillId="0" borderId="93" xfId="10" applyNumberFormat="1" applyFont="1" applyBorder="1" applyAlignment="1">
      <alignment horizontal="center" vertical="center"/>
    </xf>
    <xf numFmtId="241" fontId="73" fillId="0" borderId="98" xfId="4" applyNumberFormat="1" applyFont="1" applyFill="1" applyBorder="1" applyAlignment="1">
      <alignment horizontal="center" vertical="center"/>
    </xf>
    <xf numFmtId="237" fontId="8" fillId="0" borderId="92" xfId="10" applyNumberFormat="1" applyFont="1" applyBorder="1" applyAlignment="1">
      <alignment horizontal="center" vertical="center"/>
    </xf>
    <xf numFmtId="0" fontId="1" fillId="0" borderId="0" xfId="0" applyFont="1"/>
    <xf numFmtId="0" fontId="2" fillId="0" borderId="26" xfId="10" applyBorder="1" applyAlignment="1">
      <alignment horizontal="center" wrapText="1"/>
    </xf>
    <xf numFmtId="0" fontId="5" fillId="0" borderId="92" xfId="10" applyFont="1" applyBorder="1" applyAlignment="1">
      <alignment horizontal="center" wrapText="1"/>
    </xf>
    <xf numFmtId="0" fontId="2" fillId="0" borderId="92" xfId="10" applyBorder="1" applyAlignment="1">
      <alignment horizontal="center" wrapText="1"/>
    </xf>
    <xf numFmtId="0" fontId="13" fillId="0" borderId="0" xfId="10" applyFont="1" applyAlignment="1" applyProtection="1">
      <alignment wrapText="1"/>
      <protection locked="0"/>
    </xf>
    <xf numFmtId="0" fontId="1" fillId="0" borderId="0" xfId="13"/>
    <xf numFmtId="0" fontId="14" fillId="0" borderId="0" xfId="10" applyFont="1"/>
    <xf numFmtId="0" fontId="13" fillId="0" borderId="7" xfId="13" applyFont="1" applyBorder="1" applyAlignment="1">
      <alignment horizontal="left" vertical="center"/>
    </xf>
    <xf numFmtId="0" fontId="13" fillId="0" borderId="8" xfId="13" applyFont="1" applyBorder="1" applyAlignment="1">
      <alignment horizontal="left" vertical="center"/>
    </xf>
    <xf numFmtId="0" fontId="3" fillId="0" borderId="5" xfId="10" applyFont="1" applyBorder="1" applyAlignment="1">
      <alignment horizontal="left" vertical="center"/>
    </xf>
    <xf numFmtId="242" fontId="8" fillId="0" borderId="0" xfId="10" applyNumberFormat="1" applyFont="1" applyAlignment="1">
      <alignment vertical="center"/>
    </xf>
    <xf numFmtId="218" fontId="2" fillId="0" borderId="0" xfId="10" applyNumberFormat="1" applyAlignment="1">
      <alignment horizontal="center"/>
    </xf>
    <xf numFmtId="218" fontId="2" fillId="0" borderId="0" xfId="10" applyNumberFormat="1"/>
    <xf numFmtId="0" fontId="9" fillId="0" borderId="0" xfId="0" applyFont="1" applyAlignment="1" applyProtection="1">
      <alignment horizontal="center" vertical="center"/>
      <protection locked="0"/>
    </xf>
    <xf numFmtId="2" fontId="13" fillId="0" borderId="1" xfId="10" applyNumberFormat="1" applyFont="1" applyBorder="1" applyAlignment="1">
      <alignment horizontal="center"/>
    </xf>
    <xf numFmtId="165" fontId="72" fillId="0" borderId="102" xfId="10" applyNumberFormat="1" applyFont="1" applyBorder="1" applyAlignment="1">
      <alignment horizontal="center" vertical="center"/>
    </xf>
    <xf numFmtId="238" fontId="2" fillId="0" borderId="99" xfId="10" applyNumberFormat="1" applyBorder="1" applyAlignment="1">
      <alignment horizontal="center" vertical="center"/>
    </xf>
    <xf numFmtId="165" fontId="72" fillId="0" borderId="94" xfId="10" applyNumberFormat="1" applyFont="1" applyBorder="1" applyAlignment="1">
      <alignment horizontal="center" vertical="center"/>
    </xf>
    <xf numFmtId="236" fontId="72" fillId="0" borderId="103" xfId="10" applyNumberFormat="1" applyFont="1" applyBorder="1" applyAlignment="1">
      <alignment horizontal="center"/>
    </xf>
    <xf numFmtId="0" fontId="49" fillId="7" borderId="11" xfId="10" applyFont="1" applyFill="1"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vertical="center" wrapText="1"/>
    </xf>
    <xf numFmtId="0" fontId="72" fillId="0" borderId="88" xfId="0" applyFont="1" applyBorder="1" applyAlignment="1">
      <alignment horizontal="center" vertical="center"/>
    </xf>
    <xf numFmtId="0" fontId="72" fillId="0" borderId="89" xfId="0" applyFont="1" applyBorder="1" applyAlignment="1">
      <alignment horizontal="center" vertical="center"/>
    </xf>
    <xf numFmtId="0" fontId="3" fillId="21" borderId="21" xfId="10" applyFont="1" applyFill="1" applyBorder="1" applyAlignment="1">
      <alignment vertical="center" wrapText="1"/>
    </xf>
    <xf numFmtId="0" fontId="41" fillId="21" borderId="27" xfId="0" applyFont="1" applyFill="1" applyBorder="1" applyAlignment="1">
      <alignment vertical="center" wrapText="1"/>
    </xf>
    <xf numFmtId="0" fontId="41" fillId="21" borderId="26" xfId="0" applyFont="1" applyFill="1" applyBorder="1" applyAlignment="1">
      <alignment vertical="center" wrapText="1"/>
    </xf>
    <xf numFmtId="0" fontId="55" fillId="7" borderId="0" xfId="10" applyFont="1" applyFill="1" applyAlignment="1">
      <alignment horizontal="center" vertical="center" wrapText="1"/>
    </xf>
    <xf numFmtId="0" fontId="56" fillId="7" borderId="0" xfId="0" applyFont="1" applyFill="1" applyAlignment="1">
      <alignment horizontal="center" vertical="center"/>
    </xf>
    <xf numFmtId="0" fontId="45" fillId="0" borderId="0" xfId="10" applyFont="1" applyAlignment="1">
      <alignment horizontal="center" vertical="center" wrapText="1"/>
    </xf>
    <xf numFmtId="0" fontId="46" fillId="0" borderId="0" xfId="0" applyFont="1" applyAlignment="1">
      <alignment vertical="center"/>
    </xf>
    <xf numFmtId="0" fontId="47" fillId="0" borderId="0" xfId="0" applyFont="1" applyAlignment="1">
      <alignment vertical="center"/>
    </xf>
    <xf numFmtId="193" fontId="51" fillId="0" borderId="0" xfId="10" applyNumberFormat="1" applyFont="1" applyAlignment="1">
      <alignment horizontal="center"/>
    </xf>
    <xf numFmtId="193" fontId="52" fillId="0" borderId="0" xfId="0" applyNumberFormat="1" applyFont="1" applyAlignment="1">
      <alignment horizontal="center"/>
    </xf>
    <xf numFmtId="193" fontId="52" fillId="0" borderId="0" xfId="0" applyNumberFormat="1" applyFont="1"/>
    <xf numFmtId="193" fontId="53" fillId="0" borderId="0" xfId="0" applyNumberFormat="1" applyFont="1"/>
    <xf numFmtId="0" fontId="57" fillId="7" borderId="0" xfId="10" applyFont="1" applyFill="1" applyAlignment="1">
      <alignment horizontal="center" vertical="center" wrapText="1"/>
    </xf>
    <xf numFmtId="203" fontId="8" fillId="0" borderId="90" xfId="2" applyNumberFormat="1" applyFont="1" applyFill="1" applyBorder="1" applyAlignment="1">
      <alignment horizontal="left" vertical="center"/>
    </xf>
    <xf numFmtId="203" fontId="8" fillId="0" borderId="0" xfId="2" applyNumberFormat="1" applyFont="1" applyFill="1" applyBorder="1" applyAlignment="1">
      <alignment horizontal="left" vertical="center"/>
    </xf>
    <xf numFmtId="0" fontId="9" fillId="0" borderId="0" xfId="0" applyFont="1" applyAlignment="1" applyProtection="1">
      <alignment horizontal="left" vertical="center"/>
      <protection locked="0"/>
    </xf>
    <xf numFmtId="233" fontId="9" fillId="0" borderId="0" xfId="0" applyNumberFormat="1" applyFont="1" applyAlignment="1" applyProtection="1">
      <alignment horizontal="left" vertical="center"/>
      <protection locked="0"/>
    </xf>
    <xf numFmtId="0" fontId="71" fillId="0" borderId="9" xfId="10" applyFont="1" applyBorder="1" applyAlignment="1">
      <alignment horizontal="center" vertical="center"/>
    </xf>
    <xf numFmtId="0" fontId="71" fillId="0" borderId="87" xfId="10" applyFont="1" applyBorder="1" applyAlignment="1">
      <alignment horizontal="center" vertical="center"/>
    </xf>
    <xf numFmtId="0" fontId="71" fillId="0" borderId="26" xfId="10" applyFont="1" applyBorder="1" applyAlignment="1">
      <alignment horizontal="center" vertical="center"/>
    </xf>
    <xf numFmtId="0" fontId="71" fillId="0" borderId="24" xfId="10" applyFont="1" applyBorder="1" applyAlignment="1">
      <alignment horizontal="center" vertical="center"/>
    </xf>
    <xf numFmtId="0" fontId="28" fillId="0" borderId="0" xfId="0" applyFont="1" applyAlignment="1" applyProtection="1">
      <alignment horizontal="center" vertical="center"/>
      <protection locked="0"/>
    </xf>
    <xf numFmtId="0" fontId="5" fillId="0" borderId="77" xfId="10" applyFont="1" applyBorder="1" applyAlignment="1">
      <alignment horizontal="center" wrapText="1"/>
    </xf>
    <xf numFmtId="0" fontId="5" fillId="0" borderId="80" xfId="10" applyFont="1" applyBorder="1" applyAlignment="1">
      <alignment horizontal="center" wrapText="1"/>
    </xf>
    <xf numFmtId="165" fontId="72" fillId="0" borderId="14" xfId="10" applyNumberFormat="1" applyFont="1" applyBorder="1" applyAlignment="1">
      <alignment horizontal="center" vertical="center"/>
    </xf>
    <xf numFmtId="165" fontId="72" fillId="0" borderId="0" xfId="10" applyNumberFormat="1" applyFont="1" applyAlignment="1">
      <alignment horizontal="center" vertical="center"/>
    </xf>
    <xf numFmtId="0" fontId="8" fillId="0" borderId="14" xfId="10" applyFont="1" applyBorder="1" applyAlignment="1">
      <alignment horizontal="center" vertical="center" wrapText="1"/>
    </xf>
    <xf numFmtId="0" fontId="2" fillId="0" borderId="1" xfId="10" applyBorder="1" applyAlignment="1">
      <alignment horizontal="right"/>
    </xf>
    <xf numFmtId="0" fontId="9" fillId="0" borderId="0" xfId="10" applyFont="1" applyAlignment="1">
      <alignment wrapText="1"/>
    </xf>
    <xf numFmtId="0" fontId="29" fillId="0" borderId="0" xfId="0" applyFont="1" applyAlignment="1">
      <alignment wrapText="1"/>
    </xf>
    <xf numFmtId="0" fontId="22" fillId="0" borderId="0" xfId="0" applyFont="1" applyAlignment="1" applyProtection="1">
      <alignment horizontal="center"/>
      <protection locked="0"/>
    </xf>
    <xf numFmtId="0" fontId="1" fillId="0" borderId="0" xfId="0" applyFont="1" applyAlignment="1" applyProtection="1">
      <alignment horizontal="center"/>
      <protection locked="0"/>
    </xf>
    <xf numFmtId="165" fontId="72" fillId="0" borderId="14" xfId="10" applyNumberFormat="1" applyFont="1" applyBorder="1" applyAlignment="1">
      <alignment horizontal="center"/>
    </xf>
    <xf numFmtId="165" fontId="72" fillId="0" borderId="17" xfId="10" applyNumberFormat="1" applyFont="1" applyBorder="1" applyAlignment="1">
      <alignment horizontal="center"/>
    </xf>
    <xf numFmtId="0" fontId="5" fillId="0" borderId="99" xfId="10" applyFont="1" applyBorder="1" applyAlignment="1">
      <alignment horizontal="center"/>
    </xf>
    <xf numFmtId="0" fontId="5" fillId="0" borderId="57" xfId="10" applyFont="1" applyBorder="1" applyAlignment="1">
      <alignment horizontal="center"/>
    </xf>
    <xf numFmtId="178" fontId="73" fillId="0" borderId="0" xfId="9" applyNumberFormat="1" applyFont="1" applyFill="1" applyBorder="1" applyAlignment="1">
      <alignment horizontal="right"/>
    </xf>
    <xf numFmtId="44" fontId="5" fillId="0" borderId="1" xfId="4" applyFont="1" applyBorder="1" applyAlignment="1">
      <alignment horizontal="center"/>
    </xf>
    <xf numFmtId="0" fontId="70" fillId="0" borderId="0" xfId="0" applyFont="1" applyAlignment="1">
      <alignment horizontal="right"/>
    </xf>
    <xf numFmtId="0" fontId="5" fillId="0" borderId="0" xfId="0" applyFont="1" applyAlignment="1">
      <alignment horizontal="left" vertical="center" wrapText="1"/>
    </xf>
    <xf numFmtId="0" fontId="13" fillId="0" borderId="0" xfId="10" applyFont="1" applyAlignment="1" applyProtection="1">
      <alignment horizontal="left" vertical="center" wrapText="1"/>
      <protection locked="0"/>
    </xf>
    <xf numFmtId="0" fontId="13" fillId="21" borderId="2" xfId="10" applyFont="1" applyFill="1" applyBorder="1" applyAlignment="1" applyProtection="1">
      <alignment horizontal="left" vertical="center" wrapText="1"/>
      <protection locked="0"/>
    </xf>
    <xf numFmtId="0" fontId="13" fillId="21" borderId="3" xfId="10" applyFont="1" applyFill="1" applyBorder="1" applyAlignment="1" applyProtection="1">
      <alignment horizontal="left" vertical="center" wrapText="1"/>
      <protection locked="0"/>
    </xf>
    <xf numFmtId="0" fontId="13" fillId="21" borderId="4" xfId="10" applyFont="1" applyFill="1" applyBorder="1" applyAlignment="1" applyProtection="1">
      <alignment horizontal="left" vertical="center" wrapText="1"/>
      <protection locked="0"/>
    </xf>
    <xf numFmtId="0" fontId="13" fillId="21" borderId="5" xfId="10" applyFont="1" applyFill="1" applyBorder="1" applyAlignment="1">
      <alignment horizontal="left" vertical="center" wrapText="1"/>
    </xf>
    <xf numFmtId="0" fontId="13" fillId="21" borderId="0" xfId="10" applyFont="1" applyFill="1" applyAlignment="1">
      <alignment horizontal="left" vertical="center" wrapText="1"/>
    </xf>
    <xf numFmtId="0" fontId="13" fillId="21" borderId="6" xfId="10" applyFont="1" applyFill="1" applyBorder="1" applyAlignment="1">
      <alignment horizontal="left" vertical="center" wrapText="1"/>
    </xf>
    <xf numFmtId="0" fontId="3" fillId="0" borderId="0" xfId="10" applyFont="1" applyAlignment="1" applyProtection="1">
      <alignment horizontal="left" vertical="center" wrapText="1"/>
      <protection locked="0"/>
    </xf>
    <xf numFmtId="0" fontId="77" fillId="0" borderId="8" xfId="0" applyFont="1" applyBorder="1" applyAlignment="1">
      <alignment horizontal="left" vertical="center"/>
    </xf>
    <xf numFmtId="0" fontId="76" fillId="0" borderId="8" xfId="10" applyFont="1" applyBorder="1" applyAlignment="1">
      <alignment horizontal="left" vertical="center"/>
    </xf>
    <xf numFmtId="0" fontId="76" fillId="0" borderId="9" xfId="10" applyFont="1" applyBorder="1" applyAlignment="1">
      <alignment horizontal="left" vertical="center"/>
    </xf>
    <xf numFmtId="0" fontId="3" fillId="0" borderId="0" xfId="10" applyFont="1" applyAlignment="1">
      <alignment horizontal="left" vertical="center" wrapText="1"/>
    </xf>
    <xf numFmtId="0" fontId="3" fillId="0" borderId="0" xfId="10" applyFont="1" applyAlignment="1">
      <alignment vertical="center" wrapText="1"/>
    </xf>
    <xf numFmtId="0" fontId="3" fillId="0" borderId="0" xfId="10" applyFont="1" applyAlignment="1">
      <alignment vertical="center"/>
    </xf>
    <xf numFmtId="236" fontId="72" fillId="0" borderId="100" xfId="10" applyNumberFormat="1" applyFont="1" applyBorder="1" applyAlignment="1">
      <alignment horizontal="center"/>
    </xf>
    <xf numFmtId="236" fontId="72" fillId="0" borderId="101" xfId="10" applyNumberFormat="1" applyFont="1" applyBorder="1" applyAlignment="1">
      <alignment horizontal="center"/>
    </xf>
    <xf numFmtId="0" fontId="5" fillId="0" borderId="101" xfId="10" applyFont="1" applyBorder="1" applyAlignment="1">
      <alignment horizontal="left"/>
    </xf>
    <xf numFmtId="0" fontId="5" fillId="0" borderId="29" xfId="10" applyFont="1" applyBorder="1" applyAlignment="1">
      <alignment horizontal="left"/>
    </xf>
    <xf numFmtId="0" fontId="70" fillId="0" borderId="0" xfId="0" applyFont="1" applyAlignment="1">
      <alignment horizontal="right" vertical="center"/>
    </xf>
    <xf numFmtId="0" fontId="1" fillId="0" borderId="11" xfId="15" applyBorder="1" applyAlignment="1">
      <alignment horizontal="center"/>
    </xf>
    <xf numFmtId="0" fontId="22" fillId="0" borderId="13" xfId="15" applyFont="1" applyBorder="1" applyAlignment="1">
      <alignment horizontal="center"/>
    </xf>
    <xf numFmtId="0" fontId="22" fillId="10" borderId="1" xfId="15" applyFont="1" applyFill="1" applyBorder="1" applyAlignment="1">
      <alignment horizontal="center" vertical="center" wrapText="1"/>
    </xf>
    <xf numFmtId="0" fontId="1" fillId="10" borderId="1" xfId="15" applyFill="1" applyBorder="1" applyAlignment="1">
      <alignment horizontal="center" vertical="center" wrapText="1"/>
    </xf>
    <xf numFmtId="0" fontId="22" fillId="13" borderId="1" xfId="15" applyFont="1" applyFill="1" applyBorder="1" applyAlignment="1">
      <alignment horizontal="center" vertical="center"/>
    </xf>
    <xf numFmtId="0" fontId="1" fillId="13" borderId="1" xfId="15" applyFill="1" applyBorder="1" applyAlignment="1">
      <alignment horizontal="center" vertical="center"/>
    </xf>
    <xf numFmtId="0" fontId="22" fillId="15" borderId="1" xfId="15" applyFont="1" applyFill="1" applyBorder="1" applyAlignment="1">
      <alignment horizontal="center" vertical="center" wrapText="1"/>
    </xf>
    <xf numFmtId="0" fontId="1" fillId="15" borderId="1" xfId="15" applyFill="1" applyBorder="1" applyAlignment="1">
      <alignment horizontal="center" vertical="center" wrapText="1"/>
    </xf>
    <xf numFmtId="0" fontId="22" fillId="0" borderId="75" xfId="15" applyFont="1" applyBorder="1" applyAlignment="1">
      <alignment horizontal="center" vertical="center" wrapText="1"/>
    </xf>
    <xf numFmtId="44" fontId="43" fillId="0" borderId="15" xfId="4" applyFont="1" applyBorder="1" applyAlignment="1">
      <alignment vertical="center" wrapText="1"/>
    </xf>
    <xf numFmtId="44" fontId="43" fillId="0" borderId="18" xfId="4" applyFont="1" applyBorder="1" applyAlignment="1">
      <alignment vertical="center" wrapText="1"/>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180" fontId="0" fillId="0" borderId="2" xfId="0" applyNumberFormat="1" applyBorder="1" applyAlignment="1">
      <alignment horizontal="center" vertical="center"/>
    </xf>
    <xf numFmtId="180" fontId="0" fillId="0" borderId="7" xfId="0" applyNumberFormat="1" applyBorder="1" applyAlignment="1">
      <alignment horizontal="center" vertical="center"/>
    </xf>
    <xf numFmtId="180" fontId="0" fillId="0" borderId="1" xfId="0" applyNumberFormat="1" applyBorder="1" applyAlignment="1">
      <alignment horizontal="center" vertical="center"/>
    </xf>
    <xf numFmtId="216" fontId="0" fillId="0" borderId="28" xfId="0" applyNumberFormat="1" applyBorder="1" applyAlignment="1">
      <alignment horizontal="center" vertical="center"/>
    </xf>
    <xf numFmtId="216" fontId="0" fillId="0" borderId="19" xfId="0" applyNumberFormat="1" applyBorder="1" applyAlignment="1">
      <alignment horizontal="center" vertical="center"/>
    </xf>
    <xf numFmtId="180" fontId="0" fillId="0" borderId="28" xfId="0" applyNumberFormat="1" applyBorder="1" applyAlignment="1">
      <alignment horizontal="center" vertical="center"/>
    </xf>
    <xf numFmtId="180" fontId="0" fillId="0" borderId="19" xfId="0" applyNumberFormat="1" applyBorder="1" applyAlignment="1">
      <alignment horizontal="center" vertical="center"/>
    </xf>
    <xf numFmtId="10" fontId="0" fillId="0" borderId="1" xfId="0" applyNumberFormat="1" applyBorder="1" applyAlignment="1">
      <alignment horizontal="center" vertical="center"/>
    </xf>
    <xf numFmtId="221" fontId="0" fillId="14" borderId="1" xfId="0" applyNumberFormat="1" applyFill="1" applyBorder="1" applyAlignment="1">
      <alignment horizontal="center" vertical="center"/>
    </xf>
    <xf numFmtId="0" fontId="22" fillId="14" borderId="28" xfId="15" applyFont="1" applyFill="1" applyBorder="1" applyAlignment="1">
      <alignment horizontal="center" vertical="center" wrapText="1"/>
    </xf>
    <xf numFmtId="0" fontId="1" fillId="14" borderId="91" xfId="15" applyFill="1" applyBorder="1" applyAlignment="1">
      <alignment horizontal="center" vertical="center" wrapText="1"/>
    </xf>
    <xf numFmtId="0" fontId="1" fillId="14" borderId="19" xfId="15" applyFill="1" applyBorder="1" applyAlignment="1">
      <alignment horizontal="center" vertical="center" wrapText="1"/>
    </xf>
    <xf numFmtId="0" fontId="22" fillId="0" borderId="28" xfId="0" applyFont="1" applyBorder="1" applyAlignment="1">
      <alignment horizontal="center" vertical="center"/>
    </xf>
    <xf numFmtId="0" fontId="22" fillId="0" borderId="19" xfId="0" applyFont="1" applyBorder="1" applyAlignment="1">
      <alignment horizontal="center" vertical="center"/>
    </xf>
    <xf numFmtId="0" fontId="22" fillId="0" borderId="2"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7"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28" xfId="0" applyFont="1" applyBorder="1" applyAlignment="1">
      <alignment horizontal="center" vertical="center" wrapText="1"/>
    </xf>
    <xf numFmtId="0" fontId="0" fillId="0" borderId="91" xfId="0" applyBorder="1" applyAlignment="1">
      <alignment horizontal="center" vertical="center" wrapText="1"/>
    </xf>
    <xf numFmtId="0" fontId="0" fillId="0" borderId="19" xfId="0" applyBorder="1" applyAlignment="1">
      <alignment horizontal="center" vertical="center" wrapText="1"/>
    </xf>
  </cellXfs>
  <cellStyles count="17">
    <cellStyle name="Euro" xfId="1" xr:uid="{00000000-0005-0000-0000-000000000000}"/>
    <cellStyle name="Milliers" xfId="2" builtinId="3"/>
    <cellStyle name="Milliers_Cotation ordi C-4906 Northeast Masonry stanstead SPECIAL LANDING" xfId="3" xr:uid="{00000000-0005-0000-0000-000002000000}"/>
    <cellStyle name="Monétaire" xfId="4" builtinId="4"/>
    <cellStyle name="Monétaire_A T-3486 P#1 Architectural Specialties REF C6491 R3 caledonia job SCIOTO V1" xfId="5" xr:uid="{00000000-0005-0000-0000-000004000000}"/>
    <cellStyle name="Monétaire_Cotation ordi C-2036 Grani Calcaire slab STANSTEAD" xfId="6" xr:uid="{00000000-0005-0000-0000-000005000000}"/>
    <cellStyle name="Monétaire_Cotation ordi C-3305 J&amp;B pcs for hearth calM" xfId="7" xr:uid="{00000000-0005-0000-0000-000006000000}"/>
    <cellStyle name="Monétaire_Cotation ordi C-3600 ASI Canada slope curbing" xfId="8" xr:uid="{00000000-0005-0000-0000-000007000000}"/>
    <cellStyle name="Monétaire_Cotation ordi C-4906 Northeast Masonry stanstead SPECIAL LANDING" xfId="9" xr:uid="{00000000-0005-0000-0000-000008000000}"/>
    <cellStyle name="Normal" xfId="0" builtinId="0"/>
    <cellStyle name="Normal_Cotation ordi C-2036 Grani Calcaire slab STANSTEAD" xfId="10" xr:uid="{00000000-0005-0000-0000-00000A000000}"/>
    <cellStyle name="Normal_Cotation ordi C-2244 NCGC slabs 5 and 6 in" xfId="11" xr:uid="{00000000-0005-0000-0000-00000B000000}"/>
    <cellStyle name="Normal_Cotation ordi C-3039 Monument Polycor std" xfId="12" xr:uid="{00000000-0005-0000-0000-00000C000000}"/>
    <cellStyle name="Normal_Cotation ordi C-3305 J&amp;B pcs for hearth calM" xfId="13" xr:uid="{00000000-0005-0000-0000-00000D000000}"/>
    <cellStyle name="Normal_Cotation ordi C-3511 ASI Canada cobble stones" xfId="14" xr:uid="{00000000-0005-0000-0000-00000E000000}"/>
    <cellStyle name="Normal_Cotation ordi C-3600 ASI Canada slope curbing" xfId="15" xr:uid="{00000000-0005-0000-0000-00000F000000}"/>
    <cellStyle name="Pourcentage" xfId="16" builtinId="5"/>
  </cellStyles>
  <dxfs count="39">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7030A0"/>
        </patternFill>
      </fill>
    </dxf>
    <dxf>
      <fill>
        <patternFill>
          <bgColor rgb="FF92D050"/>
        </patternFill>
      </fill>
    </dxf>
    <dxf>
      <fill>
        <patternFill>
          <bgColor rgb="FFFFFF00"/>
        </patternFill>
      </fill>
    </dxf>
    <dxf>
      <fill>
        <patternFill>
          <bgColor rgb="FF35F33A"/>
        </patternFill>
      </fill>
    </dxf>
    <dxf>
      <fill>
        <patternFill>
          <bgColor rgb="FFCC9900"/>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66"/>
        </patternFill>
      </fill>
    </dxf>
    <dxf>
      <fill>
        <patternFill>
          <bgColor rgb="FFFF66CC"/>
        </patternFill>
      </fill>
    </dxf>
    <dxf>
      <fill>
        <patternFill patternType="solid">
          <bgColor rgb="FF66FF33"/>
        </patternFill>
      </fill>
    </dxf>
    <dxf>
      <fill>
        <patternFill>
          <bgColor theme="4" tint="0.59996337778862885"/>
        </patternFill>
      </fill>
    </dxf>
    <dxf>
      <fill>
        <patternFill>
          <bgColor rgb="FF7030A0"/>
        </patternFill>
      </fill>
    </dxf>
    <dxf>
      <fill>
        <patternFill>
          <bgColor theme="9"/>
        </patternFill>
      </fill>
    </dxf>
    <dxf>
      <fill>
        <patternFill>
          <bgColor rgb="FFFFC000"/>
        </patternFill>
      </fill>
    </dxf>
    <dxf>
      <fill>
        <patternFill>
          <bgColor rgb="FF00B0F0"/>
        </patternFill>
      </fill>
    </dxf>
    <dxf>
      <font>
        <condense val="0"/>
        <extend val="0"/>
        <color rgb="FF9C0006"/>
      </font>
      <fill>
        <patternFill>
          <bgColor rgb="FFFFC7CE"/>
        </patternFill>
      </fill>
    </dxf>
    <dxf>
      <fill>
        <patternFill>
          <bgColor rgb="FF92D050"/>
        </patternFill>
      </fill>
    </dxf>
    <dxf>
      <fill>
        <patternFill>
          <bgColor rgb="FFFFFF00"/>
        </patternFill>
      </fill>
    </dxf>
    <dxf>
      <fill>
        <patternFill>
          <bgColor rgb="FFFFFF00"/>
        </patternFill>
      </fill>
    </dxf>
    <dxf>
      <fill>
        <patternFill>
          <bgColor theme="0" tint="-0.24994659260841701"/>
        </patternFill>
      </fill>
      <border>
        <left style="thin">
          <color indexed="64"/>
        </left>
        <right style="thin">
          <color indexed="64"/>
        </right>
        <top style="thin">
          <color indexed="64"/>
        </top>
        <bottom style="thin">
          <color indexed="64"/>
        </bottom>
      </border>
    </dxf>
    <dxf>
      <fill>
        <patternFill>
          <bgColor theme="9" tint="0.39994506668294322"/>
        </patternFill>
      </fill>
      <border>
        <left style="thin">
          <color indexed="64"/>
        </left>
        <right style="thin">
          <color indexed="64"/>
        </right>
        <top style="thin">
          <color indexed="64"/>
        </top>
        <bottom style="thin">
          <color indexed="64"/>
        </bottom>
      </border>
    </dxf>
    <dxf>
      <fill>
        <patternFill>
          <fgColor rgb="FF4BACC6"/>
          <bgColor theme="8"/>
        </patternFill>
      </fill>
      <border>
        <left style="thin">
          <color indexed="64"/>
        </left>
        <right style="thin">
          <color indexed="64"/>
        </right>
        <top style="thin">
          <color indexed="64"/>
        </top>
        <bottom style="thin">
          <color indexed="64"/>
        </bottom>
      </border>
    </dxf>
    <dxf>
      <fill>
        <patternFill>
          <bgColor rgb="FF92D050"/>
        </patternFill>
      </fill>
      <border>
        <left style="thin">
          <color indexed="64"/>
        </left>
        <right style="thin">
          <color indexed="64"/>
        </right>
        <top style="thin">
          <color indexed="64"/>
        </top>
        <bottom style="thin">
          <color indexed="64"/>
        </bottom>
      </border>
    </dxf>
    <dxf>
      <fill>
        <patternFill>
          <bgColor rgb="FFFFFF00"/>
        </patternFill>
      </fill>
      <border>
        <left style="thin">
          <color indexed="64"/>
        </left>
        <right style="thin">
          <color indexed="64"/>
        </right>
        <top style="thin">
          <color indexed="64"/>
        </top>
        <bottom style="thin">
          <color indexed="64"/>
        </bottom>
      </border>
    </dxf>
    <dxf>
      <fill>
        <patternFill>
          <bgColor theme="2" tint="-0.24994659260841701"/>
        </patternFill>
      </fill>
      <border>
        <left style="thin">
          <color indexed="64"/>
        </left>
        <right style="thin">
          <color indexed="64"/>
        </right>
        <top style="thin">
          <color indexed="64"/>
        </top>
        <bottom style="thin">
          <color indexed="64"/>
        </bottom>
      </border>
    </dxf>
    <dxf>
      <fill>
        <patternFill>
          <bgColor rgb="FFFFC000"/>
        </patternFill>
      </fill>
      <border>
        <left style="thin">
          <color indexed="64"/>
        </left>
        <right style="thin">
          <color indexed="64"/>
        </right>
        <top style="thin">
          <color indexed="64"/>
        </top>
        <bottom style="thin">
          <color indexed="64"/>
        </bottom>
      </border>
    </dxf>
    <dxf>
      <fill>
        <patternFill>
          <bgColor theme="8" tint="0.59996337778862885"/>
        </patternFill>
      </fill>
      <border>
        <left style="thin">
          <color indexed="64"/>
        </left>
        <right style="thin">
          <color indexed="64"/>
        </right>
        <top style="thin">
          <color indexed="64"/>
        </top>
        <bottom style="thin">
          <color indexed="64"/>
        </bottom>
      </border>
    </dxf>
    <dxf>
      <font>
        <condense val="0"/>
        <extend val="0"/>
        <color indexed="2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51</xdr:col>
      <xdr:colOff>0</xdr:colOff>
      <xdr:row>47</xdr:row>
      <xdr:rowOff>47625</xdr:rowOff>
    </xdr:from>
    <xdr:to>
      <xdr:col>51</xdr:col>
      <xdr:colOff>114300</xdr:colOff>
      <xdr:row>48</xdr:row>
      <xdr:rowOff>133350</xdr:rowOff>
    </xdr:to>
    <xdr:sp macro="" textlink="">
      <xdr:nvSpPr>
        <xdr:cNvPr id="281600" name="Text Box 1">
          <a:extLst>
            <a:ext uri="{FF2B5EF4-FFF2-40B4-BE49-F238E27FC236}">
              <a16:creationId xmlns:a16="http://schemas.microsoft.com/office/drawing/2014/main" id="{00000000-0008-0000-0200-0000004C0400}"/>
            </a:ext>
          </a:extLst>
        </xdr:cNvPr>
        <xdr:cNvSpPr txBox="1">
          <a:spLocks noChangeArrowheads="1"/>
        </xdr:cNvSpPr>
      </xdr:nvSpPr>
      <xdr:spPr bwMode="auto">
        <a:xfrm>
          <a:off x="28898850" y="1396365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47625</xdr:rowOff>
    </xdr:from>
    <xdr:to>
      <xdr:col>51</xdr:col>
      <xdr:colOff>114300</xdr:colOff>
      <xdr:row>48</xdr:row>
      <xdr:rowOff>133350</xdr:rowOff>
    </xdr:to>
    <xdr:sp macro="" textlink="">
      <xdr:nvSpPr>
        <xdr:cNvPr id="281601" name="Text Box 2">
          <a:extLst>
            <a:ext uri="{FF2B5EF4-FFF2-40B4-BE49-F238E27FC236}">
              <a16:creationId xmlns:a16="http://schemas.microsoft.com/office/drawing/2014/main" id="{00000000-0008-0000-0200-0000014C0400}"/>
            </a:ext>
          </a:extLst>
        </xdr:cNvPr>
        <xdr:cNvSpPr txBox="1">
          <a:spLocks noChangeArrowheads="1"/>
        </xdr:cNvSpPr>
      </xdr:nvSpPr>
      <xdr:spPr bwMode="auto">
        <a:xfrm>
          <a:off x="28898850" y="1396365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47625</xdr:rowOff>
    </xdr:from>
    <xdr:to>
      <xdr:col>51</xdr:col>
      <xdr:colOff>114300</xdr:colOff>
      <xdr:row>48</xdr:row>
      <xdr:rowOff>133350</xdr:rowOff>
    </xdr:to>
    <xdr:sp macro="" textlink="">
      <xdr:nvSpPr>
        <xdr:cNvPr id="281602" name="Text Box 3">
          <a:extLst>
            <a:ext uri="{FF2B5EF4-FFF2-40B4-BE49-F238E27FC236}">
              <a16:creationId xmlns:a16="http://schemas.microsoft.com/office/drawing/2014/main" id="{00000000-0008-0000-0200-0000024C0400}"/>
            </a:ext>
          </a:extLst>
        </xdr:cNvPr>
        <xdr:cNvSpPr txBox="1">
          <a:spLocks noChangeArrowheads="1"/>
        </xdr:cNvSpPr>
      </xdr:nvSpPr>
      <xdr:spPr bwMode="auto">
        <a:xfrm>
          <a:off x="28898850" y="1396365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603" name="Text Box 4">
          <a:extLst>
            <a:ext uri="{FF2B5EF4-FFF2-40B4-BE49-F238E27FC236}">
              <a16:creationId xmlns:a16="http://schemas.microsoft.com/office/drawing/2014/main" id="{00000000-0008-0000-0200-000003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604" name="Text Box 5">
          <a:extLst>
            <a:ext uri="{FF2B5EF4-FFF2-40B4-BE49-F238E27FC236}">
              <a16:creationId xmlns:a16="http://schemas.microsoft.com/office/drawing/2014/main" id="{00000000-0008-0000-0200-000004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47625</xdr:rowOff>
    </xdr:from>
    <xdr:to>
      <xdr:col>51</xdr:col>
      <xdr:colOff>114300</xdr:colOff>
      <xdr:row>48</xdr:row>
      <xdr:rowOff>133350</xdr:rowOff>
    </xdr:to>
    <xdr:sp macro="" textlink="">
      <xdr:nvSpPr>
        <xdr:cNvPr id="281605" name="Text Box 6">
          <a:extLst>
            <a:ext uri="{FF2B5EF4-FFF2-40B4-BE49-F238E27FC236}">
              <a16:creationId xmlns:a16="http://schemas.microsoft.com/office/drawing/2014/main" id="{00000000-0008-0000-0200-0000054C0400}"/>
            </a:ext>
          </a:extLst>
        </xdr:cNvPr>
        <xdr:cNvSpPr txBox="1">
          <a:spLocks noChangeArrowheads="1"/>
        </xdr:cNvSpPr>
      </xdr:nvSpPr>
      <xdr:spPr bwMode="auto">
        <a:xfrm>
          <a:off x="28898850" y="1396365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47625</xdr:rowOff>
    </xdr:from>
    <xdr:to>
      <xdr:col>51</xdr:col>
      <xdr:colOff>114300</xdr:colOff>
      <xdr:row>48</xdr:row>
      <xdr:rowOff>133350</xdr:rowOff>
    </xdr:to>
    <xdr:sp macro="" textlink="">
      <xdr:nvSpPr>
        <xdr:cNvPr id="281606" name="Text Box 7">
          <a:extLst>
            <a:ext uri="{FF2B5EF4-FFF2-40B4-BE49-F238E27FC236}">
              <a16:creationId xmlns:a16="http://schemas.microsoft.com/office/drawing/2014/main" id="{00000000-0008-0000-0200-0000064C0400}"/>
            </a:ext>
          </a:extLst>
        </xdr:cNvPr>
        <xdr:cNvSpPr txBox="1">
          <a:spLocks noChangeArrowheads="1"/>
        </xdr:cNvSpPr>
      </xdr:nvSpPr>
      <xdr:spPr bwMode="auto">
        <a:xfrm>
          <a:off x="28898850" y="1396365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607" name="Text Box 8">
          <a:extLst>
            <a:ext uri="{FF2B5EF4-FFF2-40B4-BE49-F238E27FC236}">
              <a16:creationId xmlns:a16="http://schemas.microsoft.com/office/drawing/2014/main" id="{00000000-0008-0000-0200-000007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608" name="Text Box 9">
          <a:extLst>
            <a:ext uri="{FF2B5EF4-FFF2-40B4-BE49-F238E27FC236}">
              <a16:creationId xmlns:a16="http://schemas.microsoft.com/office/drawing/2014/main" id="{00000000-0008-0000-0200-000008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609" name="Text Box 10">
          <a:extLst>
            <a:ext uri="{FF2B5EF4-FFF2-40B4-BE49-F238E27FC236}">
              <a16:creationId xmlns:a16="http://schemas.microsoft.com/office/drawing/2014/main" id="{00000000-0008-0000-0200-000009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610" name="Text Box 11">
          <a:extLst>
            <a:ext uri="{FF2B5EF4-FFF2-40B4-BE49-F238E27FC236}">
              <a16:creationId xmlns:a16="http://schemas.microsoft.com/office/drawing/2014/main" id="{00000000-0008-0000-0200-00000A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611" name="Text Box 12">
          <a:extLst>
            <a:ext uri="{FF2B5EF4-FFF2-40B4-BE49-F238E27FC236}">
              <a16:creationId xmlns:a16="http://schemas.microsoft.com/office/drawing/2014/main" id="{00000000-0008-0000-0200-00000B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12" name="Text Box 13">
          <a:extLst>
            <a:ext uri="{FF2B5EF4-FFF2-40B4-BE49-F238E27FC236}">
              <a16:creationId xmlns:a16="http://schemas.microsoft.com/office/drawing/2014/main" id="{00000000-0008-0000-0200-00000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13" name="Text Box 14">
          <a:extLst>
            <a:ext uri="{FF2B5EF4-FFF2-40B4-BE49-F238E27FC236}">
              <a16:creationId xmlns:a16="http://schemas.microsoft.com/office/drawing/2014/main" id="{00000000-0008-0000-0200-00000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14" name="Text Box 15">
          <a:extLst>
            <a:ext uri="{FF2B5EF4-FFF2-40B4-BE49-F238E27FC236}">
              <a16:creationId xmlns:a16="http://schemas.microsoft.com/office/drawing/2014/main" id="{00000000-0008-0000-0200-00000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15" name="Text Box 16">
          <a:extLst>
            <a:ext uri="{FF2B5EF4-FFF2-40B4-BE49-F238E27FC236}">
              <a16:creationId xmlns:a16="http://schemas.microsoft.com/office/drawing/2014/main" id="{00000000-0008-0000-0200-00000F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16" name="Text Box 17">
          <a:extLst>
            <a:ext uri="{FF2B5EF4-FFF2-40B4-BE49-F238E27FC236}">
              <a16:creationId xmlns:a16="http://schemas.microsoft.com/office/drawing/2014/main" id="{00000000-0008-0000-0200-00001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17" name="Text Box 18">
          <a:extLst>
            <a:ext uri="{FF2B5EF4-FFF2-40B4-BE49-F238E27FC236}">
              <a16:creationId xmlns:a16="http://schemas.microsoft.com/office/drawing/2014/main" id="{00000000-0008-0000-0200-00001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18" name="Text Box 19">
          <a:extLst>
            <a:ext uri="{FF2B5EF4-FFF2-40B4-BE49-F238E27FC236}">
              <a16:creationId xmlns:a16="http://schemas.microsoft.com/office/drawing/2014/main" id="{00000000-0008-0000-0200-00001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19" name="Text Box 20">
          <a:extLst>
            <a:ext uri="{FF2B5EF4-FFF2-40B4-BE49-F238E27FC236}">
              <a16:creationId xmlns:a16="http://schemas.microsoft.com/office/drawing/2014/main" id="{00000000-0008-0000-0200-000013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20" name="Text Box 21">
          <a:extLst>
            <a:ext uri="{FF2B5EF4-FFF2-40B4-BE49-F238E27FC236}">
              <a16:creationId xmlns:a16="http://schemas.microsoft.com/office/drawing/2014/main" id="{00000000-0008-0000-0200-000014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21" name="Text Box 22">
          <a:extLst>
            <a:ext uri="{FF2B5EF4-FFF2-40B4-BE49-F238E27FC236}">
              <a16:creationId xmlns:a16="http://schemas.microsoft.com/office/drawing/2014/main" id="{00000000-0008-0000-0200-00001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22" name="Text Box 23">
          <a:extLst>
            <a:ext uri="{FF2B5EF4-FFF2-40B4-BE49-F238E27FC236}">
              <a16:creationId xmlns:a16="http://schemas.microsoft.com/office/drawing/2014/main" id="{00000000-0008-0000-0200-00001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23" name="Text Box 24">
          <a:extLst>
            <a:ext uri="{FF2B5EF4-FFF2-40B4-BE49-F238E27FC236}">
              <a16:creationId xmlns:a16="http://schemas.microsoft.com/office/drawing/2014/main" id="{00000000-0008-0000-0200-000017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24" name="Text Box 25">
          <a:extLst>
            <a:ext uri="{FF2B5EF4-FFF2-40B4-BE49-F238E27FC236}">
              <a16:creationId xmlns:a16="http://schemas.microsoft.com/office/drawing/2014/main" id="{00000000-0008-0000-0200-000018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25" name="Text Box 26">
          <a:extLst>
            <a:ext uri="{FF2B5EF4-FFF2-40B4-BE49-F238E27FC236}">
              <a16:creationId xmlns:a16="http://schemas.microsoft.com/office/drawing/2014/main" id="{00000000-0008-0000-0200-00001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26" name="Text Box 27">
          <a:extLst>
            <a:ext uri="{FF2B5EF4-FFF2-40B4-BE49-F238E27FC236}">
              <a16:creationId xmlns:a16="http://schemas.microsoft.com/office/drawing/2014/main" id="{00000000-0008-0000-0200-00001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27" name="Text Box 28">
          <a:extLst>
            <a:ext uri="{FF2B5EF4-FFF2-40B4-BE49-F238E27FC236}">
              <a16:creationId xmlns:a16="http://schemas.microsoft.com/office/drawing/2014/main" id="{00000000-0008-0000-0200-00001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28" name="Text Box 29">
          <a:extLst>
            <a:ext uri="{FF2B5EF4-FFF2-40B4-BE49-F238E27FC236}">
              <a16:creationId xmlns:a16="http://schemas.microsoft.com/office/drawing/2014/main" id="{00000000-0008-0000-0200-00001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29" name="Text Box 30">
          <a:extLst>
            <a:ext uri="{FF2B5EF4-FFF2-40B4-BE49-F238E27FC236}">
              <a16:creationId xmlns:a16="http://schemas.microsoft.com/office/drawing/2014/main" id="{00000000-0008-0000-0200-00001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30" name="Text Box 31">
          <a:extLst>
            <a:ext uri="{FF2B5EF4-FFF2-40B4-BE49-F238E27FC236}">
              <a16:creationId xmlns:a16="http://schemas.microsoft.com/office/drawing/2014/main" id="{00000000-0008-0000-0200-00001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31" name="Text Box 32">
          <a:extLst>
            <a:ext uri="{FF2B5EF4-FFF2-40B4-BE49-F238E27FC236}">
              <a16:creationId xmlns:a16="http://schemas.microsoft.com/office/drawing/2014/main" id="{00000000-0008-0000-0200-00001F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32" name="Text Box 33">
          <a:extLst>
            <a:ext uri="{FF2B5EF4-FFF2-40B4-BE49-F238E27FC236}">
              <a16:creationId xmlns:a16="http://schemas.microsoft.com/office/drawing/2014/main" id="{00000000-0008-0000-0200-000020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33" name="Text Box 34">
          <a:extLst>
            <a:ext uri="{FF2B5EF4-FFF2-40B4-BE49-F238E27FC236}">
              <a16:creationId xmlns:a16="http://schemas.microsoft.com/office/drawing/2014/main" id="{00000000-0008-0000-0200-000021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34" name="Text Box 35">
          <a:extLst>
            <a:ext uri="{FF2B5EF4-FFF2-40B4-BE49-F238E27FC236}">
              <a16:creationId xmlns:a16="http://schemas.microsoft.com/office/drawing/2014/main" id="{00000000-0008-0000-0200-000022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35" name="Text Box 36">
          <a:extLst>
            <a:ext uri="{FF2B5EF4-FFF2-40B4-BE49-F238E27FC236}">
              <a16:creationId xmlns:a16="http://schemas.microsoft.com/office/drawing/2014/main" id="{00000000-0008-0000-0200-000023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36" name="Text Box 37">
          <a:extLst>
            <a:ext uri="{FF2B5EF4-FFF2-40B4-BE49-F238E27FC236}">
              <a16:creationId xmlns:a16="http://schemas.microsoft.com/office/drawing/2014/main" id="{00000000-0008-0000-0200-000024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37" name="Text Box 38">
          <a:extLst>
            <a:ext uri="{FF2B5EF4-FFF2-40B4-BE49-F238E27FC236}">
              <a16:creationId xmlns:a16="http://schemas.microsoft.com/office/drawing/2014/main" id="{00000000-0008-0000-0200-000025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38" name="Text Box 39">
          <a:extLst>
            <a:ext uri="{FF2B5EF4-FFF2-40B4-BE49-F238E27FC236}">
              <a16:creationId xmlns:a16="http://schemas.microsoft.com/office/drawing/2014/main" id="{00000000-0008-0000-0200-000026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39" name="Text Box 40">
          <a:extLst>
            <a:ext uri="{FF2B5EF4-FFF2-40B4-BE49-F238E27FC236}">
              <a16:creationId xmlns:a16="http://schemas.microsoft.com/office/drawing/2014/main" id="{00000000-0008-0000-0200-000027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40" name="Text Box 41">
          <a:extLst>
            <a:ext uri="{FF2B5EF4-FFF2-40B4-BE49-F238E27FC236}">
              <a16:creationId xmlns:a16="http://schemas.microsoft.com/office/drawing/2014/main" id="{00000000-0008-0000-0200-000028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41" name="Text Box 42">
          <a:extLst>
            <a:ext uri="{FF2B5EF4-FFF2-40B4-BE49-F238E27FC236}">
              <a16:creationId xmlns:a16="http://schemas.microsoft.com/office/drawing/2014/main" id="{00000000-0008-0000-0200-000029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42" name="Text Box 43">
          <a:extLst>
            <a:ext uri="{FF2B5EF4-FFF2-40B4-BE49-F238E27FC236}">
              <a16:creationId xmlns:a16="http://schemas.microsoft.com/office/drawing/2014/main" id="{00000000-0008-0000-0200-00002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43" name="Text Box 44">
          <a:extLst>
            <a:ext uri="{FF2B5EF4-FFF2-40B4-BE49-F238E27FC236}">
              <a16:creationId xmlns:a16="http://schemas.microsoft.com/office/drawing/2014/main" id="{00000000-0008-0000-0200-00002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44" name="Text Box 45">
          <a:extLst>
            <a:ext uri="{FF2B5EF4-FFF2-40B4-BE49-F238E27FC236}">
              <a16:creationId xmlns:a16="http://schemas.microsoft.com/office/drawing/2014/main" id="{00000000-0008-0000-0200-00002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45" name="Text Box 46">
          <a:extLst>
            <a:ext uri="{FF2B5EF4-FFF2-40B4-BE49-F238E27FC236}">
              <a16:creationId xmlns:a16="http://schemas.microsoft.com/office/drawing/2014/main" id="{00000000-0008-0000-0200-00002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46" name="Text Box 47">
          <a:extLst>
            <a:ext uri="{FF2B5EF4-FFF2-40B4-BE49-F238E27FC236}">
              <a16:creationId xmlns:a16="http://schemas.microsoft.com/office/drawing/2014/main" id="{00000000-0008-0000-0200-00002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47" name="Text Box 48">
          <a:extLst>
            <a:ext uri="{FF2B5EF4-FFF2-40B4-BE49-F238E27FC236}">
              <a16:creationId xmlns:a16="http://schemas.microsoft.com/office/drawing/2014/main" id="{00000000-0008-0000-0200-00002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48" name="Text Box 49">
          <a:extLst>
            <a:ext uri="{FF2B5EF4-FFF2-40B4-BE49-F238E27FC236}">
              <a16:creationId xmlns:a16="http://schemas.microsoft.com/office/drawing/2014/main" id="{00000000-0008-0000-0200-00003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49" name="Text Box 50">
          <a:extLst>
            <a:ext uri="{FF2B5EF4-FFF2-40B4-BE49-F238E27FC236}">
              <a16:creationId xmlns:a16="http://schemas.microsoft.com/office/drawing/2014/main" id="{00000000-0008-0000-0200-00003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50" name="Text Box 51">
          <a:extLst>
            <a:ext uri="{FF2B5EF4-FFF2-40B4-BE49-F238E27FC236}">
              <a16:creationId xmlns:a16="http://schemas.microsoft.com/office/drawing/2014/main" id="{00000000-0008-0000-0200-00003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51" name="Text Box 52">
          <a:extLst>
            <a:ext uri="{FF2B5EF4-FFF2-40B4-BE49-F238E27FC236}">
              <a16:creationId xmlns:a16="http://schemas.microsoft.com/office/drawing/2014/main" id="{00000000-0008-0000-0200-000033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52" name="Text Box 53">
          <a:extLst>
            <a:ext uri="{FF2B5EF4-FFF2-40B4-BE49-F238E27FC236}">
              <a16:creationId xmlns:a16="http://schemas.microsoft.com/office/drawing/2014/main" id="{00000000-0008-0000-0200-000034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53" name="Text Box 54">
          <a:extLst>
            <a:ext uri="{FF2B5EF4-FFF2-40B4-BE49-F238E27FC236}">
              <a16:creationId xmlns:a16="http://schemas.microsoft.com/office/drawing/2014/main" id="{00000000-0008-0000-0200-00003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54" name="Text Box 55">
          <a:extLst>
            <a:ext uri="{FF2B5EF4-FFF2-40B4-BE49-F238E27FC236}">
              <a16:creationId xmlns:a16="http://schemas.microsoft.com/office/drawing/2014/main" id="{00000000-0008-0000-0200-00003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55" name="Text Box 56">
          <a:extLst>
            <a:ext uri="{FF2B5EF4-FFF2-40B4-BE49-F238E27FC236}">
              <a16:creationId xmlns:a16="http://schemas.microsoft.com/office/drawing/2014/main" id="{00000000-0008-0000-0200-000037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56" name="Text Box 57">
          <a:extLst>
            <a:ext uri="{FF2B5EF4-FFF2-40B4-BE49-F238E27FC236}">
              <a16:creationId xmlns:a16="http://schemas.microsoft.com/office/drawing/2014/main" id="{00000000-0008-0000-0200-000038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57" name="Text Box 58">
          <a:extLst>
            <a:ext uri="{FF2B5EF4-FFF2-40B4-BE49-F238E27FC236}">
              <a16:creationId xmlns:a16="http://schemas.microsoft.com/office/drawing/2014/main" id="{00000000-0008-0000-0200-00003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58" name="Text Box 59">
          <a:extLst>
            <a:ext uri="{FF2B5EF4-FFF2-40B4-BE49-F238E27FC236}">
              <a16:creationId xmlns:a16="http://schemas.microsoft.com/office/drawing/2014/main" id="{00000000-0008-0000-0200-00003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59" name="Text Box 60">
          <a:extLst>
            <a:ext uri="{FF2B5EF4-FFF2-40B4-BE49-F238E27FC236}">
              <a16:creationId xmlns:a16="http://schemas.microsoft.com/office/drawing/2014/main" id="{00000000-0008-0000-0200-00003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60" name="Text Box 61">
          <a:extLst>
            <a:ext uri="{FF2B5EF4-FFF2-40B4-BE49-F238E27FC236}">
              <a16:creationId xmlns:a16="http://schemas.microsoft.com/office/drawing/2014/main" id="{00000000-0008-0000-0200-00003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61" name="Text Box 62">
          <a:extLst>
            <a:ext uri="{FF2B5EF4-FFF2-40B4-BE49-F238E27FC236}">
              <a16:creationId xmlns:a16="http://schemas.microsoft.com/office/drawing/2014/main" id="{00000000-0008-0000-0200-00003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62" name="Text Box 63">
          <a:extLst>
            <a:ext uri="{FF2B5EF4-FFF2-40B4-BE49-F238E27FC236}">
              <a16:creationId xmlns:a16="http://schemas.microsoft.com/office/drawing/2014/main" id="{00000000-0008-0000-0200-00003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63" name="Text Box 64">
          <a:extLst>
            <a:ext uri="{FF2B5EF4-FFF2-40B4-BE49-F238E27FC236}">
              <a16:creationId xmlns:a16="http://schemas.microsoft.com/office/drawing/2014/main" id="{00000000-0008-0000-0200-00003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64" name="Text Box 65">
          <a:extLst>
            <a:ext uri="{FF2B5EF4-FFF2-40B4-BE49-F238E27FC236}">
              <a16:creationId xmlns:a16="http://schemas.microsoft.com/office/drawing/2014/main" id="{00000000-0008-0000-0200-00004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65" name="Text Box 66">
          <a:extLst>
            <a:ext uri="{FF2B5EF4-FFF2-40B4-BE49-F238E27FC236}">
              <a16:creationId xmlns:a16="http://schemas.microsoft.com/office/drawing/2014/main" id="{00000000-0008-0000-0200-00004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66" name="Text Box 67">
          <a:extLst>
            <a:ext uri="{FF2B5EF4-FFF2-40B4-BE49-F238E27FC236}">
              <a16:creationId xmlns:a16="http://schemas.microsoft.com/office/drawing/2014/main" id="{00000000-0008-0000-0200-00004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67" name="Text Box 68">
          <a:extLst>
            <a:ext uri="{FF2B5EF4-FFF2-40B4-BE49-F238E27FC236}">
              <a16:creationId xmlns:a16="http://schemas.microsoft.com/office/drawing/2014/main" id="{00000000-0008-0000-0200-000043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68" name="Text Box 69">
          <a:extLst>
            <a:ext uri="{FF2B5EF4-FFF2-40B4-BE49-F238E27FC236}">
              <a16:creationId xmlns:a16="http://schemas.microsoft.com/office/drawing/2014/main" id="{00000000-0008-0000-0200-000044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69" name="Text Box 70">
          <a:extLst>
            <a:ext uri="{FF2B5EF4-FFF2-40B4-BE49-F238E27FC236}">
              <a16:creationId xmlns:a16="http://schemas.microsoft.com/office/drawing/2014/main" id="{00000000-0008-0000-0200-00004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70" name="Text Box 71">
          <a:extLst>
            <a:ext uri="{FF2B5EF4-FFF2-40B4-BE49-F238E27FC236}">
              <a16:creationId xmlns:a16="http://schemas.microsoft.com/office/drawing/2014/main" id="{00000000-0008-0000-0200-00004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71" name="Text Box 72">
          <a:extLst>
            <a:ext uri="{FF2B5EF4-FFF2-40B4-BE49-F238E27FC236}">
              <a16:creationId xmlns:a16="http://schemas.microsoft.com/office/drawing/2014/main" id="{00000000-0008-0000-0200-000047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72" name="Text Box 73">
          <a:extLst>
            <a:ext uri="{FF2B5EF4-FFF2-40B4-BE49-F238E27FC236}">
              <a16:creationId xmlns:a16="http://schemas.microsoft.com/office/drawing/2014/main" id="{00000000-0008-0000-0200-000048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73" name="Text Box 74">
          <a:extLst>
            <a:ext uri="{FF2B5EF4-FFF2-40B4-BE49-F238E27FC236}">
              <a16:creationId xmlns:a16="http://schemas.microsoft.com/office/drawing/2014/main" id="{00000000-0008-0000-0200-00004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74" name="Text Box 75">
          <a:extLst>
            <a:ext uri="{FF2B5EF4-FFF2-40B4-BE49-F238E27FC236}">
              <a16:creationId xmlns:a16="http://schemas.microsoft.com/office/drawing/2014/main" id="{00000000-0008-0000-0200-00004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75" name="Text Box 76">
          <a:extLst>
            <a:ext uri="{FF2B5EF4-FFF2-40B4-BE49-F238E27FC236}">
              <a16:creationId xmlns:a16="http://schemas.microsoft.com/office/drawing/2014/main" id="{00000000-0008-0000-0200-00004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76" name="Text Box 77">
          <a:extLst>
            <a:ext uri="{FF2B5EF4-FFF2-40B4-BE49-F238E27FC236}">
              <a16:creationId xmlns:a16="http://schemas.microsoft.com/office/drawing/2014/main" id="{00000000-0008-0000-0200-00004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77" name="Text Box 78">
          <a:extLst>
            <a:ext uri="{FF2B5EF4-FFF2-40B4-BE49-F238E27FC236}">
              <a16:creationId xmlns:a16="http://schemas.microsoft.com/office/drawing/2014/main" id="{00000000-0008-0000-0200-00004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78" name="Text Box 79">
          <a:extLst>
            <a:ext uri="{FF2B5EF4-FFF2-40B4-BE49-F238E27FC236}">
              <a16:creationId xmlns:a16="http://schemas.microsoft.com/office/drawing/2014/main" id="{00000000-0008-0000-0200-00004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79" name="Text Box 80">
          <a:extLst>
            <a:ext uri="{FF2B5EF4-FFF2-40B4-BE49-F238E27FC236}">
              <a16:creationId xmlns:a16="http://schemas.microsoft.com/office/drawing/2014/main" id="{00000000-0008-0000-0200-00004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80" name="Text Box 81">
          <a:extLst>
            <a:ext uri="{FF2B5EF4-FFF2-40B4-BE49-F238E27FC236}">
              <a16:creationId xmlns:a16="http://schemas.microsoft.com/office/drawing/2014/main" id="{00000000-0008-0000-0200-00005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81" name="Text Box 82">
          <a:extLst>
            <a:ext uri="{FF2B5EF4-FFF2-40B4-BE49-F238E27FC236}">
              <a16:creationId xmlns:a16="http://schemas.microsoft.com/office/drawing/2014/main" id="{00000000-0008-0000-0200-00005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82" name="Text Box 83">
          <a:extLst>
            <a:ext uri="{FF2B5EF4-FFF2-40B4-BE49-F238E27FC236}">
              <a16:creationId xmlns:a16="http://schemas.microsoft.com/office/drawing/2014/main" id="{00000000-0008-0000-0200-00005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83" name="Text Box 84">
          <a:extLst>
            <a:ext uri="{FF2B5EF4-FFF2-40B4-BE49-F238E27FC236}">
              <a16:creationId xmlns:a16="http://schemas.microsoft.com/office/drawing/2014/main" id="{00000000-0008-0000-0200-000053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84" name="Text Box 85">
          <a:extLst>
            <a:ext uri="{FF2B5EF4-FFF2-40B4-BE49-F238E27FC236}">
              <a16:creationId xmlns:a16="http://schemas.microsoft.com/office/drawing/2014/main" id="{00000000-0008-0000-0200-000054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85" name="Text Box 86">
          <a:extLst>
            <a:ext uri="{FF2B5EF4-FFF2-40B4-BE49-F238E27FC236}">
              <a16:creationId xmlns:a16="http://schemas.microsoft.com/office/drawing/2014/main" id="{00000000-0008-0000-0200-00005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86" name="Text Box 87">
          <a:extLst>
            <a:ext uri="{FF2B5EF4-FFF2-40B4-BE49-F238E27FC236}">
              <a16:creationId xmlns:a16="http://schemas.microsoft.com/office/drawing/2014/main" id="{00000000-0008-0000-0200-00005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87" name="Text Box 88">
          <a:extLst>
            <a:ext uri="{FF2B5EF4-FFF2-40B4-BE49-F238E27FC236}">
              <a16:creationId xmlns:a16="http://schemas.microsoft.com/office/drawing/2014/main" id="{00000000-0008-0000-0200-000057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88" name="Text Box 89">
          <a:extLst>
            <a:ext uri="{FF2B5EF4-FFF2-40B4-BE49-F238E27FC236}">
              <a16:creationId xmlns:a16="http://schemas.microsoft.com/office/drawing/2014/main" id="{00000000-0008-0000-0200-000058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89" name="Text Box 90">
          <a:extLst>
            <a:ext uri="{FF2B5EF4-FFF2-40B4-BE49-F238E27FC236}">
              <a16:creationId xmlns:a16="http://schemas.microsoft.com/office/drawing/2014/main" id="{00000000-0008-0000-0200-00005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90" name="Text Box 91">
          <a:extLst>
            <a:ext uri="{FF2B5EF4-FFF2-40B4-BE49-F238E27FC236}">
              <a16:creationId xmlns:a16="http://schemas.microsoft.com/office/drawing/2014/main" id="{00000000-0008-0000-0200-00005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91" name="Text Box 92">
          <a:extLst>
            <a:ext uri="{FF2B5EF4-FFF2-40B4-BE49-F238E27FC236}">
              <a16:creationId xmlns:a16="http://schemas.microsoft.com/office/drawing/2014/main" id="{00000000-0008-0000-0200-00005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92" name="Text Box 93">
          <a:extLst>
            <a:ext uri="{FF2B5EF4-FFF2-40B4-BE49-F238E27FC236}">
              <a16:creationId xmlns:a16="http://schemas.microsoft.com/office/drawing/2014/main" id="{00000000-0008-0000-0200-00005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93" name="Text Box 94">
          <a:extLst>
            <a:ext uri="{FF2B5EF4-FFF2-40B4-BE49-F238E27FC236}">
              <a16:creationId xmlns:a16="http://schemas.microsoft.com/office/drawing/2014/main" id="{00000000-0008-0000-0200-00005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94" name="Text Box 95">
          <a:extLst>
            <a:ext uri="{FF2B5EF4-FFF2-40B4-BE49-F238E27FC236}">
              <a16:creationId xmlns:a16="http://schemas.microsoft.com/office/drawing/2014/main" id="{00000000-0008-0000-0200-00005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95" name="Text Box 96">
          <a:extLst>
            <a:ext uri="{FF2B5EF4-FFF2-40B4-BE49-F238E27FC236}">
              <a16:creationId xmlns:a16="http://schemas.microsoft.com/office/drawing/2014/main" id="{00000000-0008-0000-0200-00005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96" name="Text Box 97">
          <a:extLst>
            <a:ext uri="{FF2B5EF4-FFF2-40B4-BE49-F238E27FC236}">
              <a16:creationId xmlns:a16="http://schemas.microsoft.com/office/drawing/2014/main" id="{00000000-0008-0000-0200-00006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97" name="Text Box 98">
          <a:extLst>
            <a:ext uri="{FF2B5EF4-FFF2-40B4-BE49-F238E27FC236}">
              <a16:creationId xmlns:a16="http://schemas.microsoft.com/office/drawing/2014/main" id="{00000000-0008-0000-0200-00006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98" name="Text Box 99">
          <a:extLst>
            <a:ext uri="{FF2B5EF4-FFF2-40B4-BE49-F238E27FC236}">
              <a16:creationId xmlns:a16="http://schemas.microsoft.com/office/drawing/2014/main" id="{00000000-0008-0000-0200-00006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99" name="Text Box 100">
          <a:extLst>
            <a:ext uri="{FF2B5EF4-FFF2-40B4-BE49-F238E27FC236}">
              <a16:creationId xmlns:a16="http://schemas.microsoft.com/office/drawing/2014/main" id="{00000000-0008-0000-0200-000063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00" name="Text Box 101">
          <a:extLst>
            <a:ext uri="{FF2B5EF4-FFF2-40B4-BE49-F238E27FC236}">
              <a16:creationId xmlns:a16="http://schemas.microsoft.com/office/drawing/2014/main" id="{00000000-0008-0000-0200-000064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01" name="Text Box 102">
          <a:extLst>
            <a:ext uri="{FF2B5EF4-FFF2-40B4-BE49-F238E27FC236}">
              <a16:creationId xmlns:a16="http://schemas.microsoft.com/office/drawing/2014/main" id="{00000000-0008-0000-0200-00006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02" name="Text Box 103">
          <a:extLst>
            <a:ext uri="{FF2B5EF4-FFF2-40B4-BE49-F238E27FC236}">
              <a16:creationId xmlns:a16="http://schemas.microsoft.com/office/drawing/2014/main" id="{00000000-0008-0000-0200-00006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03" name="Text Box 104">
          <a:extLst>
            <a:ext uri="{FF2B5EF4-FFF2-40B4-BE49-F238E27FC236}">
              <a16:creationId xmlns:a16="http://schemas.microsoft.com/office/drawing/2014/main" id="{00000000-0008-0000-0200-000067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04" name="Text Box 105">
          <a:extLst>
            <a:ext uri="{FF2B5EF4-FFF2-40B4-BE49-F238E27FC236}">
              <a16:creationId xmlns:a16="http://schemas.microsoft.com/office/drawing/2014/main" id="{00000000-0008-0000-0200-000068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05" name="Text Box 106">
          <a:extLst>
            <a:ext uri="{FF2B5EF4-FFF2-40B4-BE49-F238E27FC236}">
              <a16:creationId xmlns:a16="http://schemas.microsoft.com/office/drawing/2014/main" id="{00000000-0008-0000-0200-00006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06" name="Text Box 107">
          <a:extLst>
            <a:ext uri="{FF2B5EF4-FFF2-40B4-BE49-F238E27FC236}">
              <a16:creationId xmlns:a16="http://schemas.microsoft.com/office/drawing/2014/main" id="{00000000-0008-0000-0200-00006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07" name="Text Box 108">
          <a:extLst>
            <a:ext uri="{FF2B5EF4-FFF2-40B4-BE49-F238E27FC236}">
              <a16:creationId xmlns:a16="http://schemas.microsoft.com/office/drawing/2014/main" id="{00000000-0008-0000-0200-00006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08" name="Text Box 109">
          <a:extLst>
            <a:ext uri="{FF2B5EF4-FFF2-40B4-BE49-F238E27FC236}">
              <a16:creationId xmlns:a16="http://schemas.microsoft.com/office/drawing/2014/main" id="{00000000-0008-0000-0200-00006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09" name="Text Box 110">
          <a:extLst>
            <a:ext uri="{FF2B5EF4-FFF2-40B4-BE49-F238E27FC236}">
              <a16:creationId xmlns:a16="http://schemas.microsoft.com/office/drawing/2014/main" id="{00000000-0008-0000-0200-00006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10" name="Text Box 111">
          <a:extLst>
            <a:ext uri="{FF2B5EF4-FFF2-40B4-BE49-F238E27FC236}">
              <a16:creationId xmlns:a16="http://schemas.microsoft.com/office/drawing/2014/main" id="{00000000-0008-0000-0200-00006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11" name="Text Box 112">
          <a:extLst>
            <a:ext uri="{FF2B5EF4-FFF2-40B4-BE49-F238E27FC236}">
              <a16:creationId xmlns:a16="http://schemas.microsoft.com/office/drawing/2014/main" id="{00000000-0008-0000-0200-00006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12" name="Text Box 113">
          <a:extLst>
            <a:ext uri="{FF2B5EF4-FFF2-40B4-BE49-F238E27FC236}">
              <a16:creationId xmlns:a16="http://schemas.microsoft.com/office/drawing/2014/main" id="{00000000-0008-0000-0200-00007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13" name="Text Box 114">
          <a:extLst>
            <a:ext uri="{FF2B5EF4-FFF2-40B4-BE49-F238E27FC236}">
              <a16:creationId xmlns:a16="http://schemas.microsoft.com/office/drawing/2014/main" id="{00000000-0008-0000-0200-00007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14" name="Text Box 115">
          <a:extLst>
            <a:ext uri="{FF2B5EF4-FFF2-40B4-BE49-F238E27FC236}">
              <a16:creationId xmlns:a16="http://schemas.microsoft.com/office/drawing/2014/main" id="{00000000-0008-0000-0200-00007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15" name="Text Box 116">
          <a:extLst>
            <a:ext uri="{FF2B5EF4-FFF2-40B4-BE49-F238E27FC236}">
              <a16:creationId xmlns:a16="http://schemas.microsoft.com/office/drawing/2014/main" id="{00000000-0008-0000-0200-000073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16" name="Text Box 117">
          <a:extLst>
            <a:ext uri="{FF2B5EF4-FFF2-40B4-BE49-F238E27FC236}">
              <a16:creationId xmlns:a16="http://schemas.microsoft.com/office/drawing/2014/main" id="{00000000-0008-0000-0200-000074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17" name="Text Box 118">
          <a:extLst>
            <a:ext uri="{FF2B5EF4-FFF2-40B4-BE49-F238E27FC236}">
              <a16:creationId xmlns:a16="http://schemas.microsoft.com/office/drawing/2014/main" id="{00000000-0008-0000-0200-00007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18" name="Text Box 119">
          <a:extLst>
            <a:ext uri="{FF2B5EF4-FFF2-40B4-BE49-F238E27FC236}">
              <a16:creationId xmlns:a16="http://schemas.microsoft.com/office/drawing/2014/main" id="{00000000-0008-0000-0200-00007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19" name="Text Box 120">
          <a:extLst>
            <a:ext uri="{FF2B5EF4-FFF2-40B4-BE49-F238E27FC236}">
              <a16:creationId xmlns:a16="http://schemas.microsoft.com/office/drawing/2014/main" id="{00000000-0008-0000-0200-000077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20" name="Text Box 121">
          <a:extLst>
            <a:ext uri="{FF2B5EF4-FFF2-40B4-BE49-F238E27FC236}">
              <a16:creationId xmlns:a16="http://schemas.microsoft.com/office/drawing/2014/main" id="{00000000-0008-0000-0200-000078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21" name="Text Box 122">
          <a:extLst>
            <a:ext uri="{FF2B5EF4-FFF2-40B4-BE49-F238E27FC236}">
              <a16:creationId xmlns:a16="http://schemas.microsoft.com/office/drawing/2014/main" id="{00000000-0008-0000-0200-00007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22" name="Text Box 123">
          <a:extLst>
            <a:ext uri="{FF2B5EF4-FFF2-40B4-BE49-F238E27FC236}">
              <a16:creationId xmlns:a16="http://schemas.microsoft.com/office/drawing/2014/main" id="{00000000-0008-0000-0200-00007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23" name="Text Box 124">
          <a:extLst>
            <a:ext uri="{FF2B5EF4-FFF2-40B4-BE49-F238E27FC236}">
              <a16:creationId xmlns:a16="http://schemas.microsoft.com/office/drawing/2014/main" id="{00000000-0008-0000-0200-00007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24" name="Text Box 125">
          <a:extLst>
            <a:ext uri="{FF2B5EF4-FFF2-40B4-BE49-F238E27FC236}">
              <a16:creationId xmlns:a16="http://schemas.microsoft.com/office/drawing/2014/main" id="{00000000-0008-0000-0200-00007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25" name="Text Box 126">
          <a:extLst>
            <a:ext uri="{FF2B5EF4-FFF2-40B4-BE49-F238E27FC236}">
              <a16:creationId xmlns:a16="http://schemas.microsoft.com/office/drawing/2014/main" id="{00000000-0008-0000-0200-00007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26" name="Text Box 127">
          <a:extLst>
            <a:ext uri="{FF2B5EF4-FFF2-40B4-BE49-F238E27FC236}">
              <a16:creationId xmlns:a16="http://schemas.microsoft.com/office/drawing/2014/main" id="{00000000-0008-0000-0200-00007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27" name="Text Box 128">
          <a:extLst>
            <a:ext uri="{FF2B5EF4-FFF2-40B4-BE49-F238E27FC236}">
              <a16:creationId xmlns:a16="http://schemas.microsoft.com/office/drawing/2014/main" id="{00000000-0008-0000-0200-00007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28" name="Text Box 129">
          <a:extLst>
            <a:ext uri="{FF2B5EF4-FFF2-40B4-BE49-F238E27FC236}">
              <a16:creationId xmlns:a16="http://schemas.microsoft.com/office/drawing/2014/main" id="{00000000-0008-0000-0200-00008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29" name="Text Box 130">
          <a:extLst>
            <a:ext uri="{FF2B5EF4-FFF2-40B4-BE49-F238E27FC236}">
              <a16:creationId xmlns:a16="http://schemas.microsoft.com/office/drawing/2014/main" id="{00000000-0008-0000-0200-00008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30" name="Text Box 131">
          <a:extLst>
            <a:ext uri="{FF2B5EF4-FFF2-40B4-BE49-F238E27FC236}">
              <a16:creationId xmlns:a16="http://schemas.microsoft.com/office/drawing/2014/main" id="{00000000-0008-0000-0200-00008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31" name="Text Box 132">
          <a:extLst>
            <a:ext uri="{FF2B5EF4-FFF2-40B4-BE49-F238E27FC236}">
              <a16:creationId xmlns:a16="http://schemas.microsoft.com/office/drawing/2014/main" id="{00000000-0008-0000-0200-000083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32" name="Text Box 133">
          <a:extLst>
            <a:ext uri="{FF2B5EF4-FFF2-40B4-BE49-F238E27FC236}">
              <a16:creationId xmlns:a16="http://schemas.microsoft.com/office/drawing/2014/main" id="{00000000-0008-0000-0200-000084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33" name="Text Box 134">
          <a:extLst>
            <a:ext uri="{FF2B5EF4-FFF2-40B4-BE49-F238E27FC236}">
              <a16:creationId xmlns:a16="http://schemas.microsoft.com/office/drawing/2014/main" id="{00000000-0008-0000-0200-00008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34" name="Text Box 135">
          <a:extLst>
            <a:ext uri="{FF2B5EF4-FFF2-40B4-BE49-F238E27FC236}">
              <a16:creationId xmlns:a16="http://schemas.microsoft.com/office/drawing/2014/main" id="{00000000-0008-0000-0200-00008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35" name="Text Box 136">
          <a:extLst>
            <a:ext uri="{FF2B5EF4-FFF2-40B4-BE49-F238E27FC236}">
              <a16:creationId xmlns:a16="http://schemas.microsoft.com/office/drawing/2014/main" id="{00000000-0008-0000-0200-000087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36" name="Text Box 137">
          <a:extLst>
            <a:ext uri="{FF2B5EF4-FFF2-40B4-BE49-F238E27FC236}">
              <a16:creationId xmlns:a16="http://schemas.microsoft.com/office/drawing/2014/main" id="{00000000-0008-0000-0200-000088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37" name="Text Box 138">
          <a:extLst>
            <a:ext uri="{FF2B5EF4-FFF2-40B4-BE49-F238E27FC236}">
              <a16:creationId xmlns:a16="http://schemas.microsoft.com/office/drawing/2014/main" id="{00000000-0008-0000-0200-00008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38" name="Text Box 139">
          <a:extLst>
            <a:ext uri="{FF2B5EF4-FFF2-40B4-BE49-F238E27FC236}">
              <a16:creationId xmlns:a16="http://schemas.microsoft.com/office/drawing/2014/main" id="{00000000-0008-0000-0200-00008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39" name="Text Box 140">
          <a:extLst>
            <a:ext uri="{FF2B5EF4-FFF2-40B4-BE49-F238E27FC236}">
              <a16:creationId xmlns:a16="http://schemas.microsoft.com/office/drawing/2014/main" id="{00000000-0008-0000-0200-00008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40" name="Text Box 141">
          <a:extLst>
            <a:ext uri="{FF2B5EF4-FFF2-40B4-BE49-F238E27FC236}">
              <a16:creationId xmlns:a16="http://schemas.microsoft.com/office/drawing/2014/main" id="{00000000-0008-0000-0200-00008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41" name="Text Box 142">
          <a:extLst>
            <a:ext uri="{FF2B5EF4-FFF2-40B4-BE49-F238E27FC236}">
              <a16:creationId xmlns:a16="http://schemas.microsoft.com/office/drawing/2014/main" id="{00000000-0008-0000-0200-00008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42" name="Text Box 143">
          <a:extLst>
            <a:ext uri="{FF2B5EF4-FFF2-40B4-BE49-F238E27FC236}">
              <a16:creationId xmlns:a16="http://schemas.microsoft.com/office/drawing/2014/main" id="{00000000-0008-0000-0200-00008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43" name="Text Box 144">
          <a:extLst>
            <a:ext uri="{FF2B5EF4-FFF2-40B4-BE49-F238E27FC236}">
              <a16:creationId xmlns:a16="http://schemas.microsoft.com/office/drawing/2014/main" id="{00000000-0008-0000-0200-00008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44" name="Text Box 145">
          <a:extLst>
            <a:ext uri="{FF2B5EF4-FFF2-40B4-BE49-F238E27FC236}">
              <a16:creationId xmlns:a16="http://schemas.microsoft.com/office/drawing/2014/main" id="{00000000-0008-0000-0200-00009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45" name="Text Box 146">
          <a:extLst>
            <a:ext uri="{FF2B5EF4-FFF2-40B4-BE49-F238E27FC236}">
              <a16:creationId xmlns:a16="http://schemas.microsoft.com/office/drawing/2014/main" id="{00000000-0008-0000-0200-00009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46" name="Text Box 147">
          <a:extLst>
            <a:ext uri="{FF2B5EF4-FFF2-40B4-BE49-F238E27FC236}">
              <a16:creationId xmlns:a16="http://schemas.microsoft.com/office/drawing/2014/main" id="{00000000-0008-0000-0200-00009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47" name="Text Box 148">
          <a:extLst>
            <a:ext uri="{FF2B5EF4-FFF2-40B4-BE49-F238E27FC236}">
              <a16:creationId xmlns:a16="http://schemas.microsoft.com/office/drawing/2014/main" id="{00000000-0008-0000-0200-000093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48" name="Text Box 149">
          <a:extLst>
            <a:ext uri="{FF2B5EF4-FFF2-40B4-BE49-F238E27FC236}">
              <a16:creationId xmlns:a16="http://schemas.microsoft.com/office/drawing/2014/main" id="{00000000-0008-0000-0200-000094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49" name="Text Box 150">
          <a:extLst>
            <a:ext uri="{FF2B5EF4-FFF2-40B4-BE49-F238E27FC236}">
              <a16:creationId xmlns:a16="http://schemas.microsoft.com/office/drawing/2014/main" id="{00000000-0008-0000-0200-00009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50" name="Text Box 151">
          <a:extLst>
            <a:ext uri="{FF2B5EF4-FFF2-40B4-BE49-F238E27FC236}">
              <a16:creationId xmlns:a16="http://schemas.microsoft.com/office/drawing/2014/main" id="{00000000-0008-0000-0200-00009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51" name="Text Box 152">
          <a:extLst>
            <a:ext uri="{FF2B5EF4-FFF2-40B4-BE49-F238E27FC236}">
              <a16:creationId xmlns:a16="http://schemas.microsoft.com/office/drawing/2014/main" id="{00000000-0008-0000-0200-000097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52" name="Text Box 153">
          <a:extLst>
            <a:ext uri="{FF2B5EF4-FFF2-40B4-BE49-F238E27FC236}">
              <a16:creationId xmlns:a16="http://schemas.microsoft.com/office/drawing/2014/main" id="{00000000-0008-0000-0200-000098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53" name="Text Box 154">
          <a:extLst>
            <a:ext uri="{FF2B5EF4-FFF2-40B4-BE49-F238E27FC236}">
              <a16:creationId xmlns:a16="http://schemas.microsoft.com/office/drawing/2014/main" id="{00000000-0008-0000-0200-00009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54" name="Text Box 155">
          <a:extLst>
            <a:ext uri="{FF2B5EF4-FFF2-40B4-BE49-F238E27FC236}">
              <a16:creationId xmlns:a16="http://schemas.microsoft.com/office/drawing/2014/main" id="{00000000-0008-0000-0200-00009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55" name="Text Box 156">
          <a:extLst>
            <a:ext uri="{FF2B5EF4-FFF2-40B4-BE49-F238E27FC236}">
              <a16:creationId xmlns:a16="http://schemas.microsoft.com/office/drawing/2014/main" id="{00000000-0008-0000-0200-00009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56" name="Text Box 157">
          <a:extLst>
            <a:ext uri="{FF2B5EF4-FFF2-40B4-BE49-F238E27FC236}">
              <a16:creationId xmlns:a16="http://schemas.microsoft.com/office/drawing/2014/main" id="{00000000-0008-0000-0200-00009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57" name="Text Box 158">
          <a:extLst>
            <a:ext uri="{FF2B5EF4-FFF2-40B4-BE49-F238E27FC236}">
              <a16:creationId xmlns:a16="http://schemas.microsoft.com/office/drawing/2014/main" id="{00000000-0008-0000-0200-00009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58" name="Text Box 159">
          <a:extLst>
            <a:ext uri="{FF2B5EF4-FFF2-40B4-BE49-F238E27FC236}">
              <a16:creationId xmlns:a16="http://schemas.microsoft.com/office/drawing/2014/main" id="{00000000-0008-0000-0200-00009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59" name="Text Box 160">
          <a:extLst>
            <a:ext uri="{FF2B5EF4-FFF2-40B4-BE49-F238E27FC236}">
              <a16:creationId xmlns:a16="http://schemas.microsoft.com/office/drawing/2014/main" id="{00000000-0008-0000-0200-00009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60" name="Text Box 161">
          <a:extLst>
            <a:ext uri="{FF2B5EF4-FFF2-40B4-BE49-F238E27FC236}">
              <a16:creationId xmlns:a16="http://schemas.microsoft.com/office/drawing/2014/main" id="{00000000-0008-0000-0200-0000A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61" name="Text Box 162">
          <a:extLst>
            <a:ext uri="{FF2B5EF4-FFF2-40B4-BE49-F238E27FC236}">
              <a16:creationId xmlns:a16="http://schemas.microsoft.com/office/drawing/2014/main" id="{00000000-0008-0000-0200-0000A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62" name="Text Box 163">
          <a:extLst>
            <a:ext uri="{FF2B5EF4-FFF2-40B4-BE49-F238E27FC236}">
              <a16:creationId xmlns:a16="http://schemas.microsoft.com/office/drawing/2014/main" id="{00000000-0008-0000-0200-0000A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63" name="Text Box 164">
          <a:extLst>
            <a:ext uri="{FF2B5EF4-FFF2-40B4-BE49-F238E27FC236}">
              <a16:creationId xmlns:a16="http://schemas.microsoft.com/office/drawing/2014/main" id="{00000000-0008-0000-0200-0000A3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64" name="Text Box 165">
          <a:extLst>
            <a:ext uri="{FF2B5EF4-FFF2-40B4-BE49-F238E27FC236}">
              <a16:creationId xmlns:a16="http://schemas.microsoft.com/office/drawing/2014/main" id="{00000000-0008-0000-0200-0000A4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65" name="Text Box 166">
          <a:extLst>
            <a:ext uri="{FF2B5EF4-FFF2-40B4-BE49-F238E27FC236}">
              <a16:creationId xmlns:a16="http://schemas.microsoft.com/office/drawing/2014/main" id="{00000000-0008-0000-0200-0000A5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66" name="Text Box 167">
          <a:extLst>
            <a:ext uri="{FF2B5EF4-FFF2-40B4-BE49-F238E27FC236}">
              <a16:creationId xmlns:a16="http://schemas.microsoft.com/office/drawing/2014/main" id="{00000000-0008-0000-0200-0000A6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67" name="Text Box 168">
          <a:extLst>
            <a:ext uri="{FF2B5EF4-FFF2-40B4-BE49-F238E27FC236}">
              <a16:creationId xmlns:a16="http://schemas.microsoft.com/office/drawing/2014/main" id="{00000000-0008-0000-0200-0000A7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68" name="Text Box 169">
          <a:extLst>
            <a:ext uri="{FF2B5EF4-FFF2-40B4-BE49-F238E27FC236}">
              <a16:creationId xmlns:a16="http://schemas.microsoft.com/office/drawing/2014/main" id="{00000000-0008-0000-0200-0000A8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69" name="Text Box 170">
          <a:extLst>
            <a:ext uri="{FF2B5EF4-FFF2-40B4-BE49-F238E27FC236}">
              <a16:creationId xmlns:a16="http://schemas.microsoft.com/office/drawing/2014/main" id="{00000000-0008-0000-0200-0000A9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114</xdr:row>
      <xdr:rowOff>38100</xdr:rowOff>
    </xdr:from>
    <xdr:to>
      <xdr:col>51</xdr:col>
      <xdr:colOff>114300</xdr:colOff>
      <xdr:row>115</xdr:row>
      <xdr:rowOff>114301</xdr:rowOff>
    </xdr:to>
    <xdr:sp macro="" textlink="">
      <xdr:nvSpPr>
        <xdr:cNvPr id="281770" name="Text Box 172">
          <a:extLst>
            <a:ext uri="{FF2B5EF4-FFF2-40B4-BE49-F238E27FC236}">
              <a16:creationId xmlns:a16="http://schemas.microsoft.com/office/drawing/2014/main" id="{00000000-0008-0000-0200-0000AA4C0400}"/>
            </a:ext>
          </a:extLst>
        </xdr:cNvPr>
        <xdr:cNvSpPr txBox="1">
          <a:spLocks noChangeArrowheads="1"/>
        </xdr:cNvSpPr>
      </xdr:nvSpPr>
      <xdr:spPr bwMode="auto">
        <a:xfrm>
          <a:off x="28898850" y="24803100"/>
          <a:ext cx="1143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114</xdr:row>
      <xdr:rowOff>38100</xdr:rowOff>
    </xdr:from>
    <xdr:to>
      <xdr:col>51</xdr:col>
      <xdr:colOff>114300</xdr:colOff>
      <xdr:row>115</xdr:row>
      <xdr:rowOff>114301</xdr:rowOff>
    </xdr:to>
    <xdr:sp macro="" textlink="">
      <xdr:nvSpPr>
        <xdr:cNvPr id="281771" name="Text Box 173">
          <a:extLst>
            <a:ext uri="{FF2B5EF4-FFF2-40B4-BE49-F238E27FC236}">
              <a16:creationId xmlns:a16="http://schemas.microsoft.com/office/drawing/2014/main" id="{00000000-0008-0000-0200-0000AB4C0400}"/>
            </a:ext>
          </a:extLst>
        </xdr:cNvPr>
        <xdr:cNvSpPr txBox="1">
          <a:spLocks noChangeArrowheads="1"/>
        </xdr:cNvSpPr>
      </xdr:nvSpPr>
      <xdr:spPr bwMode="auto">
        <a:xfrm>
          <a:off x="28898850" y="24803100"/>
          <a:ext cx="1143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114</xdr:row>
      <xdr:rowOff>38100</xdr:rowOff>
    </xdr:from>
    <xdr:to>
      <xdr:col>51</xdr:col>
      <xdr:colOff>114300</xdr:colOff>
      <xdr:row>115</xdr:row>
      <xdr:rowOff>114301</xdr:rowOff>
    </xdr:to>
    <xdr:sp macro="" textlink="">
      <xdr:nvSpPr>
        <xdr:cNvPr id="281772" name="Text Box 174">
          <a:extLst>
            <a:ext uri="{FF2B5EF4-FFF2-40B4-BE49-F238E27FC236}">
              <a16:creationId xmlns:a16="http://schemas.microsoft.com/office/drawing/2014/main" id="{00000000-0008-0000-0200-0000AC4C0400}"/>
            </a:ext>
          </a:extLst>
        </xdr:cNvPr>
        <xdr:cNvSpPr txBox="1">
          <a:spLocks noChangeArrowheads="1"/>
        </xdr:cNvSpPr>
      </xdr:nvSpPr>
      <xdr:spPr bwMode="auto">
        <a:xfrm>
          <a:off x="28898850" y="24803100"/>
          <a:ext cx="1143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114</xdr:row>
      <xdr:rowOff>38100</xdr:rowOff>
    </xdr:from>
    <xdr:to>
      <xdr:col>51</xdr:col>
      <xdr:colOff>114300</xdr:colOff>
      <xdr:row>115</xdr:row>
      <xdr:rowOff>114301</xdr:rowOff>
    </xdr:to>
    <xdr:sp macro="" textlink="">
      <xdr:nvSpPr>
        <xdr:cNvPr id="281773" name="Text Box 175">
          <a:extLst>
            <a:ext uri="{FF2B5EF4-FFF2-40B4-BE49-F238E27FC236}">
              <a16:creationId xmlns:a16="http://schemas.microsoft.com/office/drawing/2014/main" id="{00000000-0008-0000-0200-0000AD4C0400}"/>
            </a:ext>
          </a:extLst>
        </xdr:cNvPr>
        <xdr:cNvSpPr txBox="1">
          <a:spLocks noChangeArrowheads="1"/>
        </xdr:cNvSpPr>
      </xdr:nvSpPr>
      <xdr:spPr bwMode="auto">
        <a:xfrm>
          <a:off x="28898850" y="24803100"/>
          <a:ext cx="1143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74" name="Text Box 176">
          <a:extLst>
            <a:ext uri="{FF2B5EF4-FFF2-40B4-BE49-F238E27FC236}">
              <a16:creationId xmlns:a16="http://schemas.microsoft.com/office/drawing/2014/main" id="{00000000-0008-0000-0200-0000AE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75" name="Text Box 177">
          <a:extLst>
            <a:ext uri="{FF2B5EF4-FFF2-40B4-BE49-F238E27FC236}">
              <a16:creationId xmlns:a16="http://schemas.microsoft.com/office/drawing/2014/main" id="{00000000-0008-0000-0200-0000AF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76" name="Text Box 178">
          <a:extLst>
            <a:ext uri="{FF2B5EF4-FFF2-40B4-BE49-F238E27FC236}">
              <a16:creationId xmlns:a16="http://schemas.microsoft.com/office/drawing/2014/main" id="{00000000-0008-0000-0200-0000B0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77" name="Text Box 179">
          <a:extLst>
            <a:ext uri="{FF2B5EF4-FFF2-40B4-BE49-F238E27FC236}">
              <a16:creationId xmlns:a16="http://schemas.microsoft.com/office/drawing/2014/main" id="{00000000-0008-0000-0200-0000B1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93</xdr:row>
      <xdr:rowOff>85725</xdr:rowOff>
    </xdr:from>
    <xdr:to>
      <xdr:col>51</xdr:col>
      <xdr:colOff>114300</xdr:colOff>
      <xdr:row>95</xdr:row>
      <xdr:rowOff>9525</xdr:rowOff>
    </xdr:to>
    <xdr:sp macro="" textlink="">
      <xdr:nvSpPr>
        <xdr:cNvPr id="281778" name="Text Box 180">
          <a:extLst>
            <a:ext uri="{FF2B5EF4-FFF2-40B4-BE49-F238E27FC236}">
              <a16:creationId xmlns:a16="http://schemas.microsoft.com/office/drawing/2014/main" id="{00000000-0008-0000-0200-0000B2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93</xdr:row>
      <xdr:rowOff>85725</xdr:rowOff>
    </xdr:from>
    <xdr:to>
      <xdr:col>51</xdr:col>
      <xdr:colOff>114300</xdr:colOff>
      <xdr:row>95</xdr:row>
      <xdr:rowOff>9525</xdr:rowOff>
    </xdr:to>
    <xdr:sp macro="" textlink="">
      <xdr:nvSpPr>
        <xdr:cNvPr id="281779" name="Text Box 181">
          <a:extLst>
            <a:ext uri="{FF2B5EF4-FFF2-40B4-BE49-F238E27FC236}">
              <a16:creationId xmlns:a16="http://schemas.microsoft.com/office/drawing/2014/main" id="{00000000-0008-0000-0200-0000B3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93</xdr:row>
      <xdr:rowOff>85725</xdr:rowOff>
    </xdr:from>
    <xdr:to>
      <xdr:col>51</xdr:col>
      <xdr:colOff>114300</xdr:colOff>
      <xdr:row>95</xdr:row>
      <xdr:rowOff>9525</xdr:rowOff>
    </xdr:to>
    <xdr:sp macro="" textlink="">
      <xdr:nvSpPr>
        <xdr:cNvPr id="281780" name="Text Box 182">
          <a:extLst>
            <a:ext uri="{FF2B5EF4-FFF2-40B4-BE49-F238E27FC236}">
              <a16:creationId xmlns:a16="http://schemas.microsoft.com/office/drawing/2014/main" id="{00000000-0008-0000-0200-0000B4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93</xdr:row>
      <xdr:rowOff>85725</xdr:rowOff>
    </xdr:from>
    <xdr:to>
      <xdr:col>51</xdr:col>
      <xdr:colOff>114300</xdr:colOff>
      <xdr:row>95</xdr:row>
      <xdr:rowOff>9525</xdr:rowOff>
    </xdr:to>
    <xdr:sp macro="" textlink="">
      <xdr:nvSpPr>
        <xdr:cNvPr id="281781" name="Text Box 183">
          <a:extLst>
            <a:ext uri="{FF2B5EF4-FFF2-40B4-BE49-F238E27FC236}">
              <a16:creationId xmlns:a16="http://schemas.microsoft.com/office/drawing/2014/main" id="{00000000-0008-0000-0200-0000B5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93</xdr:row>
      <xdr:rowOff>85725</xdr:rowOff>
    </xdr:from>
    <xdr:to>
      <xdr:col>51</xdr:col>
      <xdr:colOff>114300</xdr:colOff>
      <xdr:row>95</xdr:row>
      <xdr:rowOff>9525</xdr:rowOff>
    </xdr:to>
    <xdr:sp macro="" textlink="">
      <xdr:nvSpPr>
        <xdr:cNvPr id="281782" name="Text Box 184">
          <a:extLst>
            <a:ext uri="{FF2B5EF4-FFF2-40B4-BE49-F238E27FC236}">
              <a16:creationId xmlns:a16="http://schemas.microsoft.com/office/drawing/2014/main" id="{00000000-0008-0000-0200-0000B6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93</xdr:row>
      <xdr:rowOff>85725</xdr:rowOff>
    </xdr:from>
    <xdr:to>
      <xdr:col>51</xdr:col>
      <xdr:colOff>114300</xdr:colOff>
      <xdr:row>95</xdr:row>
      <xdr:rowOff>9525</xdr:rowOff>
    </xdr:to>
    <xdr:sp macro="" textlink="">
      <xdr:nvSpPr>
        <xdr:cNvPr id="281783" name="Text Box 185">
          <a:extLst>
            <a:ext uri="{FF2B5EF4-FFF2-40B4-BE49-F238E27FC236}">
              <a16:creationId xmlns:a16="http://schemas.microsoft.com/office/drawing/2014/main" id="{00000000-0008-0000-0200-0000B7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93</xdr:row>
      <xdr:rowOff>85725</xdr:rowOff>
    </xdr:from>
    <xdr:to>
      <xdr:col>51</xdr:col>
      <xdr:colOff>114300</xdr:colOff>
      <xdr:row>95</xdr:row>
      <xdr:rowOff>9525</xdr:rowOff>
    </xdr:to>
    <xdr:sp macro="" textlink="">
      <xdr:nvSpPr>
        <xdr:cNvPr id="281784" name="Text Box 186">
          <a:extLst>
            <a:ext uri="{FF2B5EF4-FFF2-40B4-BE49-F238E27FC236}">
              <a16:creationId xmlns:a16="http://schemas.microsoft.com/office/drawing/2014/main" id="{00000000-0008-0000-0200-0000B8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93</xdr:row>
      <xdr:rowOff>85725</xdr:rowOff>
    </xdr:from>
    <xdr:to>
      <xdr:col>51</xdr:col>
      <xdr:colOff>114300</xdr:colOff>
      <xdr:row>95</xdr:row>
      <xdr:rowOff>9525</xdr:rowOff>
    </xdr:to>
    <xdr:sp macro="" textlink="">
      <xdr:nvSpPr>
        <xdr:cNvPr id="281785" name="Text Box 187">
          <a:extLst>
            <a:ext uri="{FF2B5EF4-FFF2-40B4-BE49-F238E27FC236}">
              <a16:creationId xmlns:a16="http://schemas.microsoft.com/office/drawing/2014/main" id="{00000000-0008-0000-0200-0000B9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786" name="Text Box 189">
          <a:extLst>
            <a:ext uri="{FF2B5EF4-FFF2-40B4-BE49-F238E27FC236}">
              <a16:creationId xmlns:a16="http://schemas.microsoft.com/office/drawing/2014/main" id="{00000000-0008-0000-0200-0000BA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787" name="Text Box 190">
          <a:extLst>
            <a:ext uri="{FF2B5EF4-FFF2-40B4-BE49-F238E27FC236}">
              <a16:creationId xmlns:a16="http://schemas.microsoft.com/office/drawing/2014/main" id="{00000000-0008-0000-0200-0000BB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788" name="Text Box 191">
          <a:extLst>
            <a:ext uri="{FF2B5EF4-FFF2-40B4-BE49-F238E27FC236}">
              <a16:creationId xmlns:a16="http://schemas.microsoft.com/office/drawing/2014/main" id="{00000000-0008-0000-0200-0000BC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789" name="Text Box 192">
          <a:extLst>
            <a:ext uri="{FF2B5EF4-FFF2-40B4-BE49-F238E27FC236}">
              <a16:creationId xmlns:a16="http://schemas.microsoft.com/office/drawing/2014/main" id="{00000000-0008-0000-0200-0000BD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790" name="Text Box 193">
          <a:extLst>
            <a:ext uri="{FF2B5EF4-FFF2-40B4-BE49-F238E27FC236}">
              <a16:creationId xmlns:a16="http://schemas.microsoft.com/office/drawing/2014/main" id="{00000000-0008-0000-0200-0000BE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791" name="Text Box 194">
          <a:extLst>
            <a:ext uri="{FF2B5EF4-FFF2-40B4-BE49-F238E27FC236}">
              <a16:creationId xmlns:a16="http://schemas.microsoft.com/office/drawing/2014/main" id="{00000000-0008-0000-0200-0000BF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792" name="Text Box 195">
          <a:extLst>
            <a:ext uri="{FF2B5EF4-FFF2-40B4-BE49-F238E27FC236}">
              <a16:creationId xmlns:a16="http://schemas.microsoft.com/office/drawing/2014/main" id="{00000000-0008-0000-0200-0000C0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793" name="Text Box 196">
          <a:extLst>
            <a:ext uri="{FF2B5EF4-FFF2-40B4-BE49-F238E27FC236}">
              <a16:creationId xmlns:a16="http://schemas.microsoft.com/office/drawing/2014/main" id="{00000000-0008-0000-0200-0000C1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794" name="Text Box 197">
          <a:extLst>
            <a:ext uri="{FF2B5EF4-FFF2-40B4-BE49-F238E27FC236}">
              <a16:creationId xmlns:a16="http://schemas.microsoft.com/office/drawing/2014/main" id="{00000000-0008-0000-0200-0000C2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795" name="Text Box 198">
          <a:extLst>
            <a:ext uri="{FF2B5EF4-FFF2-40B4-BE49-F238E27FC236}">
              <a16:creationId xmlns:a16="http://schemas.microsoft.com/office/drawing/2014/main" id="{00000000-0008-0000-0200-0000C3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796" name="Text Box 199">
          <a:extLst>
            <a:ext uri="{FF2B5EF4-FFF2-40B4-BE49-F238E27FC236}">
              <a16:creationId xmlns:a16="http://schemas.microsoft.com/office/drawing/2014/main" id="{00000000-0008-0000-0200-0000C4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797" name="Text Box 200">
          <a:extLst>
            <a:ext uri="{FF2B5EF4-FFF2-40B4-BE49-F238E27FC236}">
              <a16:creationId xmlns:a16="http://schemas.microsoft.com/office/drawing/2014/main" id="{00000000-0008-0000-0200-0000C5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798" name="Text Box 201">
          <a:extLst>
            <a:ext uri="{FF2B5EF4-FFF2-40B4-BE49-F238E27FC236}">
              <a16:creationId xmlns:a16="http://schemas.microsoft.com/office/drawing/2014/main" id="{00000000-0008-0000-0200-0000C6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799" name="Text Box 202">
          <a:extLst>
            <a:ext uri="{FF2B5EF4-FFF2-40B4-BE49-F238E27FC236}">
              <a16:creationId xmlns:a16="http://schemas.microsoft.com/office/drawing/2014/main" id="{00000000-0008-0000-0200-0000C7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00" name="Text Box 203">
          <a:extLst>
            <a:ext uri="{FF2B5EF4-FFF2-40B4-BE49-F238E27FC236}">
              <a16:creationId xmlns:a16="http://schemas.microsoft.com/office/drawing/2014/main" id="{00000000-0008-0000-0200-0000C8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01" name="Text Box 204">
          <a:extLst>
            <a:ext uri="{FF2B5EF4-FFF2-40B4-BE49-F238E27FC236}">
              <a16:creationId xmlns:a16="http://schemas.microsoft.com/office/drawing/2014/main" id="{00000000-0008-0000-0200-0000C9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02" name="Text Box 205">
          <a:extLst>
            <a:ext uri="{FF2B5EF4-FFF2-40B4-BE49-F238E27FC236}">
              <a16:creationId xmlns:a16="http://schemas.microsoft.com/office/drawing/2014/main" id="{00000000-0008-0000-0200-0000CA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03" name="Text Box 206">
          <a:extLst>
            <a:ext uri="{FF2B5EF4-FFF2-40B4-BE49-F238E27FC236}">
              <a16:creationId xmlns:a16="http://schemas.microsoft.com/office/drawing/2014/main" id="{00000000-0008-0000-0200-0000CB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04" name="Text Box 207">
          <a:extLst>
            <a:ext uri="{FF2B5EF4-FFF2-40B4-BE49-F238E27FC236}">
              <a16:creationId xmlns:a16="http://schemas.microsoft.com/office/drawing/2014/main" id="{00000000-0008-0000-0200-0000CC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05" name="Text Box 208">
          <a:extLst>
            <a:ext uri="{FF2B5EF4-FFF2-40B4-BE49-F238E27FC236}">
              <a16:creationId xmlns:a16="http://schemas.microsoft.com/office/drawing/2014/main" id="{00000000-0008-0000-0200-0000CD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06" name="Text Box 209">
          <a:extLst>
            <a:ext uri="{FF2B5EF4-FFF2-40B4-BE49-F238E27FC236}">
              <a16:creationId xmlns:a16="http://schemas.microsoft.com/office/drawing/2014/main" id="{00000000-0008-0000-0200-0000CE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07" name="Text Box 210">
          <a:extLst>
            <a:ext uri="{FF2B5EF4-FFF2-40B4-BE49-F238E27FC236}">
              <a16:creationId xmlns:a16="http://schemas.microsoft.com/office/drawing/2014/main" id="{00000000-0008-0000-0200-0000CF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08" name="Text Box 211">
          <a:extLst>
            <a:ext uri="{FF2B5EF4-FFF2-40B4-BE49-F238E27FC236}">
              <a16:creationId xmlns:a16="http://schemas.microsoft.com/office/drawing/2014/main" id="{00000000-0008-0000-0200-0000D0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09" name="Text Box 212">
          <a:extLst>
            <a:ext uri="{FF2B5EF4-FFF2-40B4-BE49-F238E27FC236}">
              <a16:creationId xmlns:a16="http://schemas.microsoft.com/office/drawing/2014/main" id="{00000000-0008-0000-0200-0000D1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10" name="Text Box 213">
          <a:extLst>
            <a:ext uri="{FF2B5EF4-FFF2-40B4-BE49-F238E27FC236}">
              <a16:creationId xmlns:a16="http://schemas.microsoft.com/office/drawing/2014/main" id="{00000000-0008-0000-0200-0000D2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11" name="Text Box 214">
          <a:extLst>
            <a:ext uri="{FF2B5EF4-FFF2-40B4-BE49-F238E27FC236}">
              <a16:creationId xmlns:a16="http://schemas.microsoft.com/office/drawing/2014/main" id="{00000000-0008-0000-0200-0000D3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12" name="Text Box 215">
          <a:extLst>
            <a:ext uri="{FF2B5EF4-FFF2-40B4-BE49-F238E27FC236}">
              <a16:creationId xmlns:a16="http://schemas.microsoft.com/office/drawing/2014/main" id="{00000000-0008-0000-0200-0000D4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13" name="Text Box 216">
          <a:extLst>
            <a:ext uri="{FF2B5EF4-FFF2-40B4-BE49-F238E27FC236}">
              <a16:creationId xmlns:a16="http://schemas.microsoft.com/office/drawing/2014/main" id="{00000000-0008-0000-0200-0000D5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14" name="Text Box 217">
          <a:extLst>
            <a:ext uri="{FF2B5EF4-FFF2-40B4-BE49-F238E27FC236}">
              <a16:creationId xmlns:a16="http://schemas.microsoft.com/office/drawing/2014/main" id="{00000000-0008-0000-0200-0000D6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15" name="Text Box 218">
          <a:extLst>
            <a:ext uri="{FF2B5EF4-FFF2-40B4-BE49-F238E27FC236}">
              <a16:creationId xmlns:a16="http://schemas.microsoft.com/office/drawing/2014/main" id="{00000000-0008-0000-0200-0000D7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16" name="Text Box 219">
          <a:extLst>
            <a:ext uri="{FF2B5EF4-FFF2-40B4-BE49-F238E27FC236}">
              <a16:creationId xmlns:a16="http://schemas.microsoft.com/office/drawing/2014/main" id="{00000000-0008-0000-0200-0000D8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17" name="Text Box 220">
          <a:extLst>
            <a:ext uri="{FF2B5EF4-FFF2-40B4-BE49-F238E27FC236}">
              <a16:creationId xmlns:a16="http://schemas.microsoft.com/office/drawing/2014/main" id="{00000000-0008-0000-0200-0000D9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18" name="Text Box 221">
          <a:extLst>
            <a:ext uri="{FF2B5EF4-FFF2-40B4-BE49-F238E27FC236}">
              <a16:creationId xmlns:a16="http://schemas.microsoft.com/office/drawing/2014/main" id="{00000000-0008-0000-0200-0000DA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19" name="Text Box 222">
          <a:extLst>
            <a:ext uri="{FF2B5EF4-FFF2-40B4-BE49-F238E27FC236}">
              <a16:creationId xmlns:a16="http://schemas.microsoft.com/office/drawing/2014/main" id="{00000000-0008-0000-0200-0000DB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20" name="Text Box 223">
          <a:extLst>
            <a:ext uri="{FF2B5EF4-FFF2-40B4-BE49-F238E27FC236}">
              <a16:creationId xmlns:a16="http://schemas.microsoft.com/office/drawing/2014/main" id="{00000000-0008-0000-0200-0000DC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21" name="Text Box 224">
          <a:extLst>
            <a:ext uri="{FF2B5EF4-FFF2-40B4-BE49-F238E27FC236}">
              <a16:creationId xmlns:a16="http://schemas.microsoft.com/office/drawing/2014/main" id="{00000000-0008-0000-0200-0000DD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22" name="Text Box 225">
          <a:extLst>
            <a:ext uri="{FF2B5EF4-FFF2-40B4-BE49-F238E27FC236}">
              <a16:creationId xmlns:a16="http://schemas.microsoft.com/office/drawing/2014/main" id="{00000000-0008-0000-0200-0000DE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23" name="Text Box 226">
          <a:extLst>
            <a:ext uri="{FF2B5EF4-FFF2-40B4-BE49-F238E27FC236}">
              <a16:creationId xmlns:a16="http://schemas.microsoft.com/office/drawing/2014/main" id="{00000000-0008-0000-0200-0000DF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24" name="Text Box 227">
          <a:extLst>
            <a:ext uri="{FF2B5EF4-FFF2-40B4-BE49-F238E27FC236}">
              <a16:creationId xmlns:a16="http://schemas.microsoft.com/office/drawing/2014/main" id="{00000000-0008-0000-0200-0000E0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25" name="Text Box 228">
          <a:extLst>
            <a:ext uri="{FF2B5EF4-FFF2-40B4-BE49-F238E27FC236}">
              <a16:creationId xmlns:a16="http://schemas.microsoft.com/office/drawing/2014/main" id="{00000000-0008-0000-0200-0000E1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26" name="Text Box 229">
          <a:extLst>
            <a:ext uri="{FF2B5EF4-FFF2-40B4-BE49-F238E27FC236}">
              <a16:creationId xmlns:a16="http://schemas.microsoft.com/office/drawing/2014/main" id="{00000000-0008-0000-0200-0000E2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27" name="Text Box 230">
          <a:extLst>
            <a:ext uri="{FF2B5EF4-FFF2-40B4-BE49-F238E27FC236}">
              <a16:creationId xmlns:a16="http://schemas.microsoft.com/office/drawing/2014/main" id="{00000000-0008-0000-0200-0000E3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28" name="Text Box 231">
          <a:extLst>
            <a:ext uri="{FF2B5EF4-FFF2-40B4-BE49-F238E27FC236}">
              <a16:creationId xmlns:a16="http://schemas.microsoft.com/office/drawing/2014/main" id="{00000000-0008-0000-0200-0000E4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29" name="Text Box 232">
          <a:extLst>
            <a:ext uri="{FF2B5EF4-FFF2-40B4-BE49-F238E27FC236}">
              <a16:creationId xmlns:a16="http://schemas.microsoft.com/office/drawing/2014/main" id="{00000000-0008-0000-0200-0000E5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30" name="Text Box 233">
          <a:extLst>
            <a:ext uri="{FF2B5EF4-FFF2-40B4-BE49-F238E27FC236}">
              <a16:creationId xmlns:a16="http://schemas.microsoft.com/office/drawing/2014/main" id="{00000000-0008-0000-0200-0000E6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31" name="Text Box 234">
          <a:extLst>
            <a:ext uri="{FF2B5EF4-FFF2-40B4-BE49-F238E27FC236}">
              <a16:creationId xmlns:a16="http://schemas.microsoft.com/office/drawing/2014/main" id="{00000000-0008-0000-0200-0000E7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32" name="Text Box 235">
          <a:extLst>
            <a:ext uri="{FF2B5EF4-FFF2-40B4-BE49-F238E27FC236}">
              <a16:creationId xmlns:a16="http://schemas.microsoft.com/office/drawing/2014/main" id="{00000000-0008-0000-0200-0000E8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33" name="Text Box 236">
          <a:extLst>
            <a:ext uri="{FF2B5EF4-FFF2-40B4-BE49-F238E27FC236}">
              <a16:creationId xmlns:a16="http://schemas.microsoft.com/office/drawing/2014/main" id="{00000000-0008-0000-0200-0000E9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34" name="Text Box 237">
          <a:extLst>
            <a:ext uri="{FF2B5EF4-FFF2-40B4-BE49-F238E27FC236}">
              <a16:creationId xmlns:a16="http://schemas.microsoft.com/office/drawing/2014/main" id="{00000000-0008-0000-0200-0000EA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35" name="Text Box 238">
          <a:extLst>
            <a:ext uri="{FF2B5EF4-FFF2-40B4-BE49-F238E27FC236}">
              <a16:creationId xmlns:a16="http://schemas.microsoft.com/office/drawing/2014/main" id="{00000000-0008-0000-0200-0000EB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36" name="Text Box 239">
          <a:extLst>
            <a:ext uri="{FF2B5EF4-FFF2-40B4-BE49-F238E27FC236}">
              <a16:creationId xmlns:a16="http://schemas.microsoft.com/office/drawing/2014/main" id="{00000000-0008-0000-0200-0000EC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37" name="Text Box 240">
          <a:extLst>
            <a:ext uri="{FF2B5EF4-FFF2-40B4-BE49-F238E27FC236}">
              <a16:creationId xmlns:a16="http://schemas.microsoft.com/office/drawing/2014/main" id="{00000000-0008-0000-0200-0000ED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38" name="Text Box 241">
          <a:extLst>
            <a:ext uri="{FF2B5EF4-FFF2-40B4-BE49-F238E27FC236}">
              <a16:creationId xmlns:a16="http://schemas.microsoft.com/office/drawing/2014/main" id="{00000000-0008-0000-0200-0000EE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39" name="Text Box 242">
          <a:extLst>
            <a:ext uri="{FF2B5EF4-FFF2-40B4-BE49-F238E27FC236}">
              <a16:creationId xmlns:a16="http://schemas.microsoft.com/office/drawing/2014/main" id="{00000000-0008-0000-0200-0000EF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40" name="Text Box 243">
          <a:extLst>
            <a:ext uri="{FF2B5EF4-FFF2-40B4-BE49-F238E27FC236}">
              <a16:creationId xmlns:a16="http://schemas.microsoft.com/office/drawing/2014/main" id="{00000000-0008-0000-0200-0000F0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41" name="Text Box 244">
          <a:extLst>
            <a:ext uri="{FF2B5EF4-FFF2-40B4-BE49-F238E27FC236}">
              <a16:creationId xmlns:a16="http://schemas.microsoft.com/office/drawing/2014/main" id="{00000000-0008-0000-0200-0000F1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42" name="Text Box 245">
          <a:extLst>
            <a:ext uri="{FF2B5EF4-FFF2-40B4-BE49-F238E27FC236}">
              <a16:creationId xmlns:a16="http://schemas.microsoft.com/office/drawing/2014/main" id="{00000000-0008-0000-0200-0000F2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43" name="Text Box 246">
          <a:extLst>
            <a:ext uri="{FF2B5EF4-FFF2-40B4-BE49-F238E27FC236}">
              <a16:creationId xmlns:a16="http://schemas.microsoft.com/office/drawing/2014/main" id="{00000000-0008-0000-0200-0000F3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44" name="Text Box 247">
          <a:extLst>
            <a:ext uri="{FF2B5EF4-FFF2-40B4-BE49-F238E27FC236}">
              <a16:creationId xmlns:a16="http://schemas.microsoft.com/office/drawing/2014/main" id="{00000000-0008-0000-0200-0000F4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45" name="Text Box 248">
          <a:extLst>
            <a:ext uri="{FF2B5EF4-FFF2-40B4-BE49-F238E27FC236}">
              <a16:creationId xmlns:a16="http://schemas.microsoft.com/office/drawing/2014/main" id="{00000000-0008-0000-0200-0000F5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46" name="Text Box 249">
          <a:extLst>
            <a:ext uri="{FF2B5EF4-FFF2-40B4-BE49-F238E27FC236}">
              <a16:creationId xmlns:a16="http://schemas.microsoft.com/office/drawing/2014/main" id="{00000000-0008-0000-0200-0000F6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47" name="Text Box 250">
          <a:extLst>
            <a:ext uri="{FF2B5EF4-FFF2-40B4-BE49-F238E27FC236}">
              <a16:creationId xmlns:a16="http://schemas.microsoft.com/office/drawing/2014/main" id="{00000000-0008-0000-0200-0000F7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48" name="Text Box 251">
          <a:extLst>
            <a:ext uri="{FF2B5EF4-FFF2-40B4-BE49-F238E27FC236}">
              <a16:creationId xmlns:a16="http://schemas.microsoft.com/office/drawing/2014/main" id="{00000000-0008-0000-0200-0000F8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49" name="Text Box 252">
          <a:extLst>
            <a:ext uri="{FF2B5EF4-FFF2-40B4-BE49-F238E27FC236}">
              <a16:creationId xmlns:a16="http://schemas.microsoft.com/office/drawing/2014/main" id="{00000000-0008-0000-0200-0000F9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50" name="Text Box 253">
          <a:extLst>
            <a:ext uri="{FF2B5EF4-FFF2-40B4-BE49-F238E27FC236}">
              <a16:creationId xmlns:a16="http://schemas.microsoft.com/office/drawing/2014/main" id="{00000000-0008-0000-0200-0000FA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51" name="Text Box 254">
          <a:extLst>
            <a:ext uri="{FF2B5EF4-FFF2-40B4-BE49-F238E27FC236}">
              <a16:creationId xmlns:a16="http://schemas.microsoft.com/office/drawing/2014/main" id="{00000000-0008-0000-0200-0000FB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52" name="Text Box 255">
          <a:extLst>
            <a:ext uri="{FF2B5EF4-FFF2-40B4-BE49-F238E27FC236}">
              <a16:creationId xmlns:a16="http://schemas.microsoft.com/office/drawing/2014/main" id="{00000000-0008-0000-0200-0000FC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53" name="Text Box 256">
          <a:extLst>
            <a:ext uri="{FF2B5EF4-FFF2-40B4-BE49-F238E27FC236}">
              <a16:creationId xmlns:a16="http://schemas.microsoft.com/office/drawing/2014/main" id="{00000000-0008-0000-0200-0000FD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54" name="Text Box 257">
          <a:extLst>
            <a:ext uri="{FF2B5EF4-FFF2-40B4-BE49-F238E27FC236}">
              <a16:creationId xmlns:a16="http://schemas.microsoft.com/office/drawing/2014/main" id="{00000000-0008-0000-0200-0000FE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55" name="Text Box 258">
          <a:extLst>
            <a:ext uri="{FF2B5EF4-FFF2-40B4-BE49-F238E27FC236}">
              <a16:creationId xmlns:a16="http://schemas.microsoft.com/office/drawing/2014/main" id="{00000000-0008-0000-0200-0000FF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56" name="Text Box 259">
          <a:extLst>
            <a:ext uri="{FF2B5EF4-FFF2-40B4-BE49-F238E27FC236}">
              <a16:creationId xmlns:a16="http://schemas.microsoft.com/office/drawing/2014/main" id="{00000000-0008-0000-0200-000000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57" name="Text Box 260">
          <a:extLst>
            <a:ext uri="{FF2B5EF4-FFF2-40B4-BE49-F238E27FC236}">
              <a16:creationId xmlns:a16="http://schemas.microsoft.com/office/drawing/2014/main" id="{00000000-0008-0000-0200-000001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58" name="Text Box 261">
          <a:extLst>
            <a:ext uri="{FF2B5EF4-FFF2-40B4-BE49-F238E27FC236}">
              <a16:creationId xmlns:a16="http://schemas.microsoft.com/office/drawing/2014/main" id="{00000000-0008-0000-0200-000002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59" name="Text Box 262">
          <a:extLst>
            <a:ext uri="{FF2B5EF4-FFF2-40B4-BE49-F238E27FC236}">
              <a16:creationId xmlns:a16="http://schemas.microsoft.com/office/drawing/2014/main" id="{00000000-0008-0000-0200-000003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60" name="Text Box 263">
          <a:extLst>
            <a:ext uri="{FF2B5EF4-FFF2-40B4-BE49-F238E27FC236}">
              <a16:creationId xmlns:a16="http://schemas.microsoft.com/office/drawing/2014/main" id="{00000000-0008-0000-0200-000004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61" name="Text Box 264">
          <a:extLst>
            <a:ext uri="{FF2B5EF4-FFF2-40B4-BE49-F238E27FC236}">
              <a16:creationId xmlns:a16="http://schemas.microsoft.com/office/drawing/2014/main" id="{00000000-0008-0000-0200-000005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62" name="Text Box 265">
          <a:extLst>
            <a:ext uri="{FF2B5EF4-FFF2-40B4-BE49-F238E27FC236}">
              <a16:creationId xmlns:a16="http://schemas.microsoft.com/office/drawing/2014/main" id="{00000000-0008-0000-0200-000006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63" name="Text Box 266">
          <a:extLst>
            <a:ext uri="{FF2B5EF4-FFF2-40B4-BE49-F238E27FC236}">
              <a16:creationId xmlns:a16="http://schemas.microsoft.com/office/drawing/2014/main" id="{00000000-0008-0000-0200-000007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64" name="Text Box 267">
          <a:extLst>
            <a:ext uri="{FF2B5EF4-FFF2-40B4-BE49-F238E27FC236}">
              <a16:creationId xmlns:a16="http://schemas.microsoft.com/office/drawing/2014/main" id="{00000000-0008-0000-0200-000008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65" name="Text Box 268">
          <a:extLst>
            <a:ext uri="{FF2B5EF4-FFF2-40B4-BE49-F238E27FC236}">
              <a16:creationId xmlns:a16="http://schemas.microsoft.com/office/drawing/2014/main" id="{00000000-0008-0000-0200-000009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66" name="Text Box 269">
          <a:extLst>
            <a:ext uri="{FF2B5EF4-FFF2-40B4-BE49-F238E27FC236}">
              <a16:creationId xmlns:a16="http://schemas.microsoft.com/office/drawing/2014/main" id="{00000000-0008-0000-0200-00000A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67" name="Text Box 270">
          <a:extLst>
            <a:ext uri="{FF2B5EF4-FFF2-40B4-BE49-F238E27FC236}">
              <a16:creationId xmlns:a16="http://schemas.microsoft.com/office/drawing/2014/main" id="{00000000-0008-0000-0200-00000B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68" name="Text Box 271">
          <a:extLst>
            <a:ext uri="{FF2B5EF4-FFF2-40B4-BE49-F238E27FC236}">
              <a16:creationId xmlns:a16="http://schemas.microsoft.com/office/drawing/2014/main" id="{00000000-0008-0000-0200-00000C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69" name="Text Box 272">
          <a:extLst>
            <a:ext uri="{FF2B5EF4-FFF2-40B4-BE49-F238E27FC236}">
              <a16:creationId xmlns:a16="http://schemas.microsoft.com/office/drawing/2014/main" id="{00000000-0008-0000-0200-00000D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70" name="Text Box 273">
          <a:extLst>
            <a:ext uri="{FF2B5EF4-FFF2-40B4-BE49-F238E27FC236}">
              <a16:creationId xmlns:a16="http://schemas.microsoft.com/office/drawing/2014/main" id="{00000000-0008-0000-0200-00000E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71" name="Text Box 274">
          <a:extLst>
            <a:ext uri="{FF2B5EF4-FFF2-40B4-BE49-F238E27FC236}">
              <a16:creationId xmlns:a16="http://schemas.microsoft.com/office/drawing/2014/main" id="{00000000-0008-0000-0200-00000F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72" name="Text Box 275">
          <a:extLst>
            <a:ext uri="{FF2B5EF4-FFF2-40B4-BE49-F238E27FC236}">
              <a16:creationId xmlns:a16="http://schemas.microsoft.com/office/drawing/2014/main" id="{00000000-0008-0000-0200-000010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73" name="Text Box 276">
          <a:extLst>
            <a:ext uri="{FF2B5EF4-FFF2-40B4-BE49-F238E27FC236}">
              <a16:creationId xmlns:a16="http://schemas.microsoft.com/office/drawing/2014/main" id="{00000000-0008-0000-0200-000011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74" name="Text Box 277">
          <a:extLst>
            <a:ext uri="{FF2B5EF4-FFF2-40B4-BE49-F238E27FC236}">
              <a16:creationId xmlns:a16="http://schemas.microsoft.com/office/drawing/2014/main" id="{00000000-0008-0000-0200-000012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75" name="Text Box 278">
          <a:extLst>
            <a:ext uri="{FF2B5EF4-FFF2-40B4-BE49-F238E27FC236}">
              <a16:creationId xmlns:a16="http://schemas.microsoft.com/office/drawing/2014/main" id="{00000000-0008-0000-0200-000013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76" name="Text Box 279">
          <a:extLst>
            <a:ext uri="{FF2B5EF4-FFF2-40B4-BE49-F238E27FC236}">
              <a16:creationId xmlns:a16="http://schemas.microsoft.com/office/drawing/2014/main" id="{00000000-0008-0000-0200-000014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77" name="Text Box 280">
          <a:extLst>
            <a:ext uri="{FF2B5EF4-FFF2-40B4-BE49-F238E27FC236}">
              <a16:creationId xmlns:a16="http://schemas.microsoft.com/office/drawing/2014/main" id="{00000000-0008-0000-0200-000015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78" name="Text Box 281">
          <a:extLst>
            <a:ext uri="{FF2B5EF4-FFF2-40B4-BE49-F238E27FC236}">
              <a16:creationId xmlns:a16="http://schemas.microsoft.com/office/drawing/2014/main" id="{00000000-0008-0000-0200-000016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79" name="Text Box 282">
          <a:extLst>
            <a:ext uri="{FF2B5EF4-FFF2-40B4-BE49-F238E27FC236}">
              <a16:creationId xmlns:a16="http://schemas.microsoft.com/office/drawing/2014/main" id="{00000000-0008-0000-0200-000017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80" name="Text Box 283">
          <a:extLst>
            <a:ext uri="{FF2B5EF4-FFF2-40B4-BE49-F238E27FC236}">
              <a16:creationId xmlns:a16="http://schemas.microsoft.com/office/drawing/2014/main" id="{00000000-0008-0000-0200-000018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81" name="Text Box 284">
          <a:extLst>
            <a:ext uri="{FF2B5EF4-FFF2-40B4-BE49-F238E27FC236}">
              <a16:creationId xmlns:a16="http://schemas.microsoft.com/office/drawing/2014/main" id="{00000000-0008-0000-0200-000019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82" name="Text Box 285">
          <a:extLst>
            <a:ext uri="{FF2B5EF4-FFF2-40B4-BE49-F238E27FC236}">
              <a16:creationId xmlns:a16="http://schemas.microsoft.com/office/drawing/2014/main" id="{00000000-0008-0000-0200-00001A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83" name="Text Box 286">
          <a:extLst>
            <a:ext uri="{FF2B5EF4-FFF2-40B4-BE49-F238E27FC236}">
              <a16:creationId xmlns:a16="http://schemas.microsoft.com/office/drawing/2014/main" id="{00000000-0008-0000-0200-00001B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84" name="Text Box 287">
          <a:extLst>
            <a:ext uri="{FF2B5EF4-FFF2-40B4-BE49-F238E27FC236}">
              <a16:creationId xmlns:a16="http://schemas.microsoft.com/office/drawing/2014/main" id="{00000000-0008-0000-0200-00001C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85" name="Text Box 288">
          <a:extLst>
            <a:ext uri="{FF2B5EF4-FFF2-40B4-BE49-F238E27FC236}">
              <a16:creationId xmlns:a16="http://schemas.microsoft.com/office/drawing/2014/main" id="{00000000-0008-0000-0200-00001D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86" name="Text Box 289">
          <a:extLst>
            <a:ext uri="{FF2B5EF4-FFF2-40B4-BE49-F238E27FC236}">
              <a16:creationId xmlns:a16="http://schemas.microsoft.com/office/drawing/2014/main" id="{00000000-0008-0000-0200-00001E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87" name="Text Box 290">
          <a:extLst>
            <a:ext uri="{FF2B5EF4-FFF2-40B4-BE49-F238E27FC236}">
              <a16:creationId xmlns:a16="http://schemas.microsoft.com/office/drawing/2014/main" id="{00000000-0008-0000-0200-00001F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88" name="Text Box 291">
          <a:extLst>
            <a:ext uri="{FF2B5EF4-FFF2-40B4-BE49-F238E27FC236}">
              <a16:creationId xmlns:a16="http://schemas.microsoft.com/office/drawing/2014/main" id="{00000000-0008-0000-0200-000020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89" name="Text Box 292">
          <a:extLst>
            <a:ext uri="{FF2B5EF4-FFF2-40B4-BE49-F238E27FC236}">
              <a16:creationId xmlns:a16="http://schemas.microsoft.com/office/drawing/2014/main" id="{00000000-0008-0000-0200-000021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90" name="Text Box 293">
          <a:extLst>
            <a:ext uri="{FF2B5EF4-FFF2-40B4-BE49-F238E27FC236}">
              <a16:creationId xmlns:a16="http://schemas.microsoft.com/office/drawing/2014/main" id="{00000000-0008-0000-0200-000022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91" name="Text Box 294">
          <a:extLst>
            <a:ext uri="{FF2B5EF4-FFF2-40B4-BE49-F238E27FC236}">
              <a16:creationId xmlns:a16="http://schemas.microsoft.com/office/drawing/2014/main" id="{00000000-0008-0000-0200-000023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92" name="Text Box 295">
          <a:extLst>
            <a:ext uri="{FF2B5EF4-FFF2-40B4-BE49-F238E27FC236}">
              <a16:creationId xmlns:a16="http://schemas.microsoft.com/office/drawing/2014/main" id="{00000000-0008-0000-0200-000024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93" name="Text Box 296">
          <a:extLst>
            <a:ext uri="{FF2B5EF4-FFF2-40B4-BE49-F238E27FC236}">
              <a16:creationId xmlns:a16="http://schemas.microsoft.com/office/drawing/2014/main" id="{00000000-0008-0000-0200-000025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94" name="Text Box 297">
          <a:extLst>
            <a:ext uri="{FF2B5EF4-FFF2-40B4-BE49-F238E27FC236}">
              <a16:creationId xmlns:a16="http://schemas.microsoft.com/office/drawing/2014/main" id="{00000000-0008-0000-0200-000026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95" name="Text Box 298">
          <a:extLst>
            <a:ext uri="{FF2B5EF4-FFF2-40B4-BE49-F238E27FC236}">
              <a16:creationId xmlns:a16="http://schemas.microsoft.com/office/drawing/2014/main" id="{00000000-0008-0000-0200-000027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96" name="Text Box 299">
          <a:extLst>
            <a:ext uri="{FF2B5EF4-FFF2-40B4-BE49-F238E27FC236}">
              <a16:creationId xmlns:a16="http://schemas.microsoft.com/office/drawing/2014/main" id="{00000000-0008-0000-0200-000028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97" name="Text Box 300">
          <a:extLst>
            <a:ext uri="{FF2B5EF4-FFF2-40B4-BE49-F238E27FC236}">
              <a16:creationId xmlns:a16="http://schemas.microsoft.com/office/drawing/2014/main" id="{00000000-0008-0000-0200-000029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98" name="Text Box 301">
          <a:extLst>
            <a:ext uri="{FF2B5EF4-FFF2-40B4-BE49-F238E27FC236}">
              <a16:creationId xmlns:a16="http://schemas.microsoft.com/office/drawing/2014/main" id="{00000000-0008-0000-0200-00002A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99" name="Text Box 302">
          <a:extLst>
            <a:ext uri="{FF2B5EF4-FFF2-40B4-BE49-F238E27FC236}">
              <a16:creationId xmlns:a16="http://schemas.microsoft.com/office/drawing/2014/main" id="{00000000-0008-0000-0200-00002B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00" name="Text Box 303">
          <a:extLst>
            <a:ext uri="{FF2B5EF4-FFF2-40B4-BE49-F238E27FC236}">
              <a16:creationId xmlns:a16="http://schemas.microsoft.com/office/drawing/2014/main" id="{00000000-0008-0000-0200-00002C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01" name="Text Box 304">
          <a:extLst>
            <a:ext uri="{FF2B5EF4-FFF2-40B4-BE49-F238E27FC236}">
              <a16:creationId xmlns:a16="http://schemas.microsoft.com/office/drawing/2014/main" id="{00000000-0008-0000-0200-00002D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02" name="Text Box 305">
          <a:extLst>
            <a:ext uri="{FF2B5EF4-FFF2-40B4-BE49-F238E27FC236}">
              <a16:creationId xmlns:a16="http://schemas.microsoft.com/office/drawing/2014/main" id="{00000000-0008-0000-0200-00002E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03" name="Text Box 306">
          <a:extLst>
            <a:ext uri="{FF2B5EF4-FFF2-40B4-BE49-F238E27FC236}">
              <a16:creationId xmlns:a16="http://schemas.microsoft.com/office/drawing/2014/main" id="{00000000-0008-0000-0200-00002F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04" name="Text Box 307">
          <a:extLst>
            <a:ext uri="{FF2B5EF4-FFF2-40B4-BE49-F238E27FC236}">
              <a16:creationId xmlns:a16="http://schemas.microsoft.com/office/drawing/2014/main" id="{00000000-0008-0000-0200-000030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05" name="Text Box 308">
          <a:extLst>
            <a:ext uri="{FF2B5EF4-FFF2-40B4-BE49-F238E27FC236}">
              <a16:creationId xmlns:a16="http://schemas.microsoft.com/office/drawing/2014/main" id="{00000000-0008-0000-0200-000031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06" name="Text Box 309">
          <a:extLst>
            <a:ext uri="{FF2B5EF4-FFF2-40B4-BE49-F238E27FC236}">
              <a16:creationId xmlns:a16="http://schemas.microsoft.com/office/drawing/2014/main" id="{00000000-0008-0000-0200-000032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07" name="Text Box 310">
          <a:extLst>
            <a:ext uri="{FF2B5EF4-FFF2-40B4-BE49-F238E27FC236}">
              <a16:creationId xmlns:a16="http://schemas.microsoft.com/office/drawing/2014/main" id="{00000000-0008-0000-0200-000033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08" name="Text Box 311">
          <a:extLst>
            <a:ext uri="{FF2B5EF4-FFF2-40B4-BE49-F238E27FC236}">
              <a16:creationId xmlns:a16="http://schemas.microsoft.com/office/drawing/2014/main" id="{00000000-0008-0000-0200-000034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09" name="Text Box 312">
          <a:extLst>
            <a:ext uri="{FF2B5EF4-FFF2-40B4-BE49-F238E27FC236}">
              <a16:creationId xmlns:a16="http://schemas.microsoft.com/office/drawing/2014/main" id="{00000000-0008-0000-0200-000035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10" name="Text Box 313">
          <a:extLst>
            <a:ext uri="{FF2B5EF4-FFF2-40B4-BE49-F238E27FC236}">
              <a16:creationId xmlns:a16="http://schemas.microsoft.com/office/drawing/2014/main" id="{00000000-0008-0000-0200-000036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11" name="Text Box 314">
          <a:extLst>
            <a:ext uri="{FF2B5EF4-FFF2-40B4-BE49-F238E27FC236}">
              <a16:creationId xmlns:a16="http://schemas.microsoft.com/office/drawing/2014/main" id="{00000000-0008-0000-0200-000037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12" name="Text Box 315">
          <a:extLst>
            <a:ext uri="{FF2B5EF4-FFF2-40B4-BE49-F238E27FC236}">
              <a16:creationId xmlns:a16="http://schemas.microsoft.com/office/drawing/2014/main" id="{00000000-0008-0000-0200-000038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13" name="Text Box 316">
          <a:extLst>
            <a:ext uri="{FF2B5EF4-FFF2-40B4-BE49-F238E27FC236}">
              <a16:creationId xmlns:a16="http://schemas.microsoft.com/office/drawing/2014/main" id="{00000000-0008-0000-0200-000039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14" name="Text Box 317">
          <a:extLst>
            <a:ext uri="{FF2B5EF4-FFF2-40B4-BE49-F238E27FC236}">
              <a16:creationId xmlns:a16="http://schemas.microsoft.com/office/drawing/2014/main" id="{00000000-0008-0000-0200-00003A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15" name="Text Box 318">
          <a:extLst>
            <a:ext uri="{FF2B5EF4-FFF2-40B4-BE49-F238E27FC236}">
              <a16:creationId xmlns:a16="http://schemas.microsoft.com/office/drawing/2014/main" id="{00000000-0008-0000-0200-00003B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16" name="Text Box 319">
          <a:extLst>
            <a:ext uri="{FF2B5EF4-FFF2-40B4-BE49-F238E27FC236}">
              <a16:creationId xmlns:a16="http://schemas.microsoft.com/office/drawing/2014/main" id="{00000000-0008-0000-0200-00003C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17" name="Text Box 320">
          <a:extLst>
            <a:ext uri="{FF2B5EF4-FFF2-40B4-BE49-F238E27FC236}">
              <a16:creationId xmlns:a16="http://schemas.microsoft.com/office/drawing/2014/main" id="{00000000-0008-0000-0200-00003D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18" name="Text Box 321">
          <a:extLst>
            <a:ext uri="{FF2B5EF4-FFF2-40B4-BE49-F238E27FC236}">
              <a16:creationId xmlns:a16="http://schemas.microsoft.com/office/drawing/2014/main" id="{00000000-0008-0000-0200-00003E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19" name="Text Box 322">
          <a:extLst>
            <a:ext uri="{FF2B5EF4-FFF2-40B4-BE49-F238E27FC236}">
              <a16:creationId xmlns:a16="http://schemas.microsoft.com/office/drawing/2014/main" id="{00000000-0008-0000-0200-00003F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20" name="Text Box 323">
          <a:extLst>
            <a:ext uri="{FF2B5EF4-FFF2-40B4-BE49-F238E27FC236}">
              <a16:creationId xmlns:a16="http://schemas.microsoft.com/office/drawing/2014/main" id="{00000000-0008-0000-0200-000040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21" name="Text Box 324">
          <a:extLst>
            <a:ext uri="{FF2B5EF4-FFF2-40B4-BE49-F238E27FC236}">
              <a16:creationId xmlns:a16="http://schemas.microsoft.com/office/drawing/2014/main" id="{00000000-0008-0000-0200-000041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22" name="Text Box 325">
          <a:extLst>
            <a:ext uri="{FF2B5EF4-FFF2-40B4-BE49-F238E27FC236}">
              <a16:creationId xmlns:a16="http://schemas.microsoft.com/office/drawing/2014/main" id="{00000000-0008-0000-0200-000042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23" name="Text Box 326">
          <a:extLst>
            <a:ext uri="{FF2B5EF4-FFF2-40B4-BE49-F238E27FC236}">
              <a16:creationId xmlns:a16="http://schemas.microsoft.com/office/drawing/2014/main" id="{00000000-0008-0000-0200-000043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24" name="Text Box 327">
          <a:extLst>
            <a:ext uri="{FF2B5EF4-FFF2-40B4-BE49-F238E27FC236}">
              <a16:creationId xmlns:a16="http://schemas.microsoft.com/office/drawing/2014/main" id="{00000000-0008-0000-0200-000044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25" name="Text Box 328">
          <a:extLst>
            <a:ext uri="{FF2B5EF4-FFF2-40B4-BE49-F238E27FC236}">
              <a16:creationId xmlns:a16="http://schemas.microsoft.com/office/drawing/2014/main" id="{00000000-0008-0000-0200-000045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26" name="Text Box 329">
          <a:extLst>
            <a:ext uri="{FF2B5EF4-FFF2-40B4-BE49-F238E27FC236}">
              <a16:creationId xmlns:a16="http://schemas.microsoft.com/office/drawing/2014/main" id="{00000000-0008-0000-0200-000046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27" name="Text Box 330">
          <a:extLst>
            <a:ext uri="{FF2B5EF4-FFF2-40B4-BE49-F238E27FC236}">
              <a16:creationId xmlns:a16="http://schemas.microsoft.com/office/drawing/2014/main" id="{00000000-0008-0000-0200-000047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929" name="Text Box 188">
          <a:extLst>
            <a:ext uri="{FF2B5EF4-FFF2-40B4-BE49-F238E27FC236}">
              <a16:creationId xmlns:a16="http://schemas.microsoft.com/office/drawing/2014/main" id="{00000000-0008-0000-0200-0000494D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930" name="Text Box 171">
          <a:extLst>
            <a:ext uri="{FF2B5EF4-FFF2-40B4-BE49-F238E27FC236}">
              <a16:creationId xmlns:a16="http://schemas.microsoft.com/office/drawing/2014/main" id="{00000000-0008-0000-0200-00004A4D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333376</xdr:colOff>
      <xdr:row>0</xdr:row>
      <xdr:rowOff>178594</xdr:rowOff>
    </xdr:from>
    <xdr:to>
      <xdr:col>9</xdr:col>
      <xdr:colOff>653962</xdr:colOff>
      <xdr:row>4</xdr:row>
      <xdr:rowOff>77632</xdr:rowOff>
    </xdr:to>
    <xdr:pic>
      <xdr:nvPicPr>
        <xdr:cNvPr id="336" name="Image 335" descr="logoDRCstamp_moyen.jpg">
          <a:extLst>
            <a:ext uri="{FF2B5EF4-FFF2-40B4-BE49-F238E27FC236}">
              <a16:creationId xmlns:a16="http://schemas.microsoft.com/office/drawing/2014/main" id="{00000000-0008-0000-0200-000050010000}"/>
            </a:ext>
          </a:extLst>
        </xdr:cNvPr>
        <xdr:cNvPicPr>
          <a:picLocks noChangeAspect="1"/>
        </xdr:cNvPicPr>
      </xdr:nvPicPr>
      <xdr:blipFill>
        <a:blip xmlns:r="http://schemas.openxmlformats.org/officeDocument/2006/relationships" r:embed="rId1" cstate="print"/>
        <a:stretch>
          <a:fillRect/>
        </a:stretch>
      </xdr:blipFill>
      <xdr:spPr>
        <a:xfrm>
          <a:off x="2607470" y="178594"/>
          <a:ext cx="1940718" cy="1577819"/>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2.xml"/><Relationship Id="rId4"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outlinePr summaryBelow="0" summaryRight="0"/>
    <pageSetUpPr fitToPage="1"/>
  </sheetPr>
  <dimension ref="B1:W67"/>
  <sheetViews>
    <sheetView workbookViewId="0">
      <selection activeCell="D31" sqref="D31"/>
    </sheetView>
  </sheetViews>
  <sheetFormatPr baseColWidth="10" defaultColWidth="11.42578125" defaultRowHeight="11.25" outlineLevelRow="2"/>
  <cols>
    <col min="1" max="1" width="4.42578125" style="86" customWidth="1"/>
    <col min="2" max="2" width="29.85546875" style="86" customWidth="1"/>
    <col min="3" max="3" width="23.42578125" style="86" customWidth="1"/>
    <col min="4" max="4" width="37.7109375" style="86" customWidth="1"/>
    <col min="5" max="5" width="8.42578125" style="86" bestFit="1" customWidth="1"/>
    <col min="6" max="6" width="5.140625" style="86" customWidth="1"/>
    <col min="7" max="7" width="12.7109375" style="86" bestFit="1" customWidth="1"/>
    <col min="8" max="8" width="46.140625" style="86" customWidth="1"/>
    <col min="9" max="9" width="59.42578125" style="86" bestFit="1" customWidth="1"/>
    <col min="10" max="10" width="3.42578125" style="86" customWidth="1"/>
    <col min="11" max="11" width="11.28515625" style="86" bestFit="1" customWidth="1"/>
    <col min="12" max="12" width="12.140625" style="86" bestFit="1" customWidth="1"/>
    <col min="13" max="23" width="10.42578125" style="86" customWidth="1"/>
    <col min="24" max="16384" width="11.42578125" style="86"/>
  </cols>
  <sheetData>
    <row r="1" spans="2:23" ht="12" thickBot="1"/>
    <row r="2" spans="2:23" ht="16.5" thickBot="1">
      <c r="B2" s="277" t="s">
        <v>332</v>
      </c>
      <c r="C2" s="277" t="s">
        <v>333</v>
      </c>
      <c r="D2" s="277" t="s">
        <v>334</v>
      </c>
      <c r="E2" s="318" t="s">
        <v>270</v>
      </c>
      <c r="G2" s="598" t="s">
        <v>249</v>
      </c>
      <c r="H2" s="599"/>
    </row>
    <row r="3" spans="2:23" ht="15.75">
      <c r="B3" s="280" t="s">
        <v>268</v>
      </c>
      <c r="C3" s="281" t="s">
        <v>23</v>
      </c>
      <c r="D3" s="296" t="s">
        <v>43</v>
      </c>
      <c r="E3" s="287"/>
      <c r="G3" s="276" t="s">
        <v>329</v>
      </c>
      <c r="H3" s="276" t="s">
        <v>328</v>
      </c>
    </row>
    <row r="4" spans="2:23" ht="33.75">
      <c r="B4" s="282"/>
      <c r="C4" s="278" t="s">
        <v>327</v>
      </c>
      <c r="D4" s="297" t="s">
        <v>195</v>
      </c>
      <c r="E4" s="288"/>
      <c r="G4" s="310" t="s">
        <v>219</v>
      </c>
      <c r="H4" s="216" t="str">
        <f>VLOOKUP("Canadian Dollar",tableauTraductions,LangueColonne)</f>
        <v>Canadian Dollar</v>
      </c>
    </row>
    <row r="5" spans="2:23" ht="15.75">
      <c r="B5" s="282"/>
      <c r="C5" s="278" t="s">
        <v>269</v>
      </c>
      <c r="D5" s="300">
        <v>4</v>
      </c>
      <c r="E5" s="291"/>
      <c r="G5" s="310" t="s">
        <v>315</v>
      </c>
      <c r="H5" s="216" t="str">
        <f>VLOOKUP("Renminbi",tableauTraductions,LangueColonne)</f>
        <v>Renminbi</v>
      </c>
    </row>
    <row r="6" spans="2:23" ht="16.5" thickBot="1">
      <c r="B6" s="283"/>
      <c r="C6" s="284" t="s">
        <v>217</v>
      </c>
      <c r="D6" s="298"/>
      <c r="E6" s="289"/>
      <c r="G6" s="310" t="s">
        <v>307</v>
      </c>
      <c r="H6" s="216" t="str">
        <f>VLOOKUP("Euro",tableauTraductions,LangueColonne)</f>
        <v>Euro</v>
      </c>
    </row>
    <row r="7" spans="2:23" ht="15.75">
      <c r="B7" s="280" t="s">
        <v>220</v>
      </c>
      <c r="C7" s="281" t="s">
        <v>216</v>
      </c>
      <c r="D7" s="296" t="s">
        <v>221</v>
      </c>
      <c r="E7" s="287"/>
      <c r="G7" s="310" t="s">
        <v>90</v>
      </c>
      <c r="H7" s="216" t="str">
        <f>VLOOKUP("Pound",tableauTraductions,LangueColonne)</f>
        <v>Pound</v>
      </c>
    </row>
    <row r="8" spans="2:23" ht="15.75">
      <c r="B8" s="282"/>
      <c r="C8" s="278" t="s">
        <v>239</v>
      </c>
      <c r="D8" s="297"/>
      <c r="E8" s="288"/>
      <c r="G8" s="312" t="s">
        <v>238</v>
      </c>
      <c r="H8" s="314" t="str">
        <f>VLOOKUP("U.S. Dollar",tableauTraductions,LangueColonne)</f>
        <v>U.S. Dollar</v>
      </c>
    </row>
    <row r="9" spans="2:23" ht="16.5" thickBot="1">
      <c r="B9" s="282"/>
      <c r="C9" s="278" t="s">
        <v>124</v>
      </c>
      <c r="D9" s="297"/>
      <c r="E9" s="288"/>
    </row>
    <row r="10" spans="2:23" ht="15.75">
      <c r="B10" s="282"/>
      <c r="C10" s="278" t="s">
        <v>91</v>
      </c>
      <c r="D10" s="297"/>
      <c r="E10" s="288"/>
      <c r="G10" s="598" t="s">
        <v>266</v>
      </c>
      <c r="H10" s="600"/>
      <c r="I10" s="601"/>
      <c r="K10" s="598" t="s">
        <v>272</v>
      </c>
      <c r="L10" s="599"/>
    </row>
    <row r="11" spans="2:23" ht="15.75">
      <c r="B11" s="282"/>
      <c r="C11" s="278" t="s">
        <v>149</v>
      </c>
      <c r="D11" s="297" t="s">
        <v>103</v>
      </c>
      <c r="E11" s="288"/>
      <c r="G11" s="276" t="s">
        <v>271</v>
      </c>
      <c r="H11" s="278" t="s">
        <v>55</v>
      </c>
      <c r="I11" s="311" t="s">
        <v>56</v>
      </c>
      <c r="K11" s="352" t="s">
        <v>331</v>
      </c>
      <c r="L11" s="353" t="s">
        <v>336</v>
      </c>
    </row>
    <row r="12" spans="2:23" ht="15.75">
      <c r="B12" s="282"/>
      <c r="C12" s="278" t="s">
        <v>104</v>
      </c>
      <c r="D12" s="297" t="s">
        <v>87</v>
      </c>
      <c r="E12" s="288"/>
      <c r="G12" s="310">
        <v>1</v>
      </c>
      <c r="H12" s="87" t="s">
        <v>80</v>
      </c>
      <c r="I12" s="216" t="s">
        <v>313</v>
      </c>
      <c r="K12" s="354" t="s">
        <v>161</v>
      </c>
      <c r="L12" s="355" t="s">
        <v>454</v>
      </c>
      <c r="M12" s="321"/>
      <c r="N12" s="321"/>
      <c r="O12" s="321"/>
      <c r="P12" s="321"/>
      <c r="Q12" s="321"/>
      <c r="R12" s="321"/>
      <c r="S12" s="321"/>
      <c r="T12" s="321"/>
      <c r="U12" s="321"/>
      <c r="V12" s="321"/>
      <c r="W12" s="321"/>
    </row>
    <row r="13" spans="2:23" ht="16.5" thickBot="1">
      <c r="B13" s="283"/>
      <c r="C13" s="284" t="s">
        <v>212</v>
      </c>
      <c r="D13" s="469">
        <v>1041</v>
      </c>
      <c r="E13" s="289"/>
      <c r="G13" s="310">
        <v>2</v>
      </c>
      <c r="H13" s="87" t="str">
        <f>CONCATENATE(TEXT(Accompte,"0%")," deposit on confirmation of order, balance before delivery")</f>
        <v>5% deposit on confirmation of order, balance before delivery</v>
      </c>
      <c r="I13" s="216" t="str">
        <f>CONCATENATE(TEXT(Accompte,"0%")," à la commande, le solde avant expédition")</f>
        <v>5% à la commande, le solde avant expédition</v>
      </c>
      <c r="K13" s="356" t="s">
        <v>38</v>
      </c>
      <c r="L13" s="357" t="s">
        <v>255</v>
      </c>
      <c r="M13" s="321"/>
      <c r="N13" s="321"/>
      <c r="O13" s="321"/>
      <c r="P13" s="321"/>
      <c r="Q13" s="321"/>
      <c r="R13" s="321"/>
      <c r="S13" s="321"/>
      <c r="T13" s="321"/>
      <c r="U13" s="321"/>
      <c r="V13" s="321"/>
      <c r="W13" s="321"/>
    </row>
    <row r="14" spans="2:23" ht="15.75">
      <c r="B14" s="280" t="s">
        <v>213</v>
      </c>
      <c r="C14" s="281" t="s">
        <v>75</v>
      </c>
      <c r="D14" s="299" t="s">
        <v>76</v>
      </c>
      <c r="E14" s="290"/>
      <c r="G14" s="310">
        <v>3</v>
      </c>
      <c r="H14" s="87" t="str">
        <f>CONCATENATE(TEXT(Accompte,"0%")," deposit on confirmation of order, balance net ",Paiement," days after date of invoice")</f>
        <v>5% deposit on confirmation of order, balance net 30 days after date of invoice</v>
      </c>
      <c r="I14" s="216" t="str">
        <f>CONCATENATE(TEXT(Accompte,"0%")," à la commande le solde ",Paiement," jours net après date de facturation")</f>
        <v>5% à la commande le solde 30 jours net après date de facturation</v>
      </c>
      <c r="K14" s="354" t="s">
        <v>86</v>
      </c>
      <c r="L14" s="355" t="s">
        <v>71</v>
      </c>
      <c r="M14" s="321"/>
      <c r="N14" s="321"/>
      <c r="O14" s="321"/>
      <c r="P14" s="321"/>
      <c r="Q14" s="321"/>
      <c r="R14" s="321"/>
      <c r="S14" s="321"/>
      <c r="T14" s="321"/>
      <c r="U14" s="321"/>
      <c r="V14" s="321"/>
      <c r="W14" s="321"/>
    </row>
    <row r="15" spans="2:23" ht="15.75">
      <c r="B15" s="282"/>
      <c r="C15" s="278" t="s">
        <v>216</v>
      </c>
      <c r="D15" s="297" t="s">
        <v>41</v>
      </c>
      <c r="E15" s="288"/>
      <c r="G15" s="310">
        <v>4</v>
      </c>
      <c r="H15" s="87" t="str">
        <f>CONCATENATE("net ",Paiement," days and ",TEXT(Escompte,"0%")," discount if payment by WIRE TRANSFER is received before ",DelaiEscompte," days from date of invoice")</f>
        <v>net 30 days and 5% discount if payment by WIRE TRANSFER is received before 30 days from date of invoice</v>
      </c>
      <c r="I15" s="216" t="str">
        <f>CONCATENATE("net ",Paiement," jours avec ",TEXT(Escompte,"0%")," d’escompte si paiement reçu par VIREMENT BANCAIRE chez DRC avant ",DelaiEscompte," jours net date de facturation")</f>
        <v>net 30 jours avec 5% d’escompte si paiement reçu par VIREMENT BANCAIRE chez DRC avant 30 jours net date de facturation</v>
      </c>
      <c r="K15" s="356" t="s">
        <v>58</v>
      </c>
      <c r="L15" s="357" t="s">
        <v>72</v>
      </c>
      <c r="M15" s="321"/>
      <c r="N15" s="321"/>
      <c r="O15" s="321"/>
      <c r="P15" s="321"/>
      <c r="Q15" s="321"/>
      <c r="R15" s="321"/>
      <c r="S15" s="321"/>
      <c r="T15" s="321"/>
      <c r="U15" s="321"/>
      <c r="V15" s="321"/>
      <c r="W15" s="321"/>
    </row>
    <row r="16" spans="2:23" ht="15.75">
      <c r="B16" s="282"/>
      <c r="C16" s="278" t="s">
        <v>42</v>
      </c>
      <c r="D16" s="297" t="s">
        <v>140</v>
      </c>
      <c r="E16" s="288"/>
      <c r="G16" s="310">
        <v>5</v>
      </c>
      <c r="H16" s="87" t="str">
        <f>CONCATENATE("net ",Paiement," days of date of invoice")</f>
        <v>net 30 days of date of invoice</v>
      </c>
      <c r="I16" s="216" t="str">
        <f>CONCATENATE("net ",Paiement," jours après date de facturation")</f>
        <v>net 30 jours après date de facturation</v>
      </c>
      <c r="K16" s="354" t="s">
        <v>256</v>
      </c>
      <c r="L16" s="355" t="s">
        <v>456</v>
      </c>
      <c r="M16" s="321"/>
      <c r="N16" s="321"/>
      <c r="O16" s="321"/>
      <c r="P16" s="321"/>
      <c r="Q16" s="321"/>
      <c r="R16" s="321"/>
      <c r="S16" s="321"/>
      <c r="T16" s="321"/>
      <c r="U16" s="321"/>
      <c r="V16" s="321"/>
      <c r="W16" s="321"/>
    </row>
    <row r="17" spans="2:23" ht="15.75">
      <c r="B17" s="282"/>
      <c r="C17" s="278" t="s">
        <v>141</v>
      </c>
      <c r="D17" s="297" t="s">
        <v>140</v>
      </c>
      <c r="E17" s="288"/>
      <c r="G17" s="310">
        <v>6</v>
      </c>
      <c r="H17" s="87" t="s">
        <v>241</v>
      </c>
      <c r="I17" s="216" t="s">
        <v>251</v>
      </c>
      <c r="K17" s="356" t="s">
        <v>73</v>
      </c>
      <c r="L17" s="357" t="s">
        <v>73</v>
      </c>
      <c r="M17" s="321"/>
      <c r="N17" s="321"/>
      <c r="O17" s="321"/>
      <c r="P17" s="321"/>
      <c r="Q17" s="321"/>
      <c r="R17" s="321"/>
      <c r="S17" s="321"/>
      <c r="T17" s="321"/>
      <c r="U17" s="321"/>
      <c r="V17" s="321"/>
      <c r="W17" s="321"/>
    </row>
    <row r="18" spans="2:23" ht="15.75">
      <c r="B18" s="282"/>
      <c r="C18" s="278" t="s">
        <v>24</v>
      </c>
      <c r="D18" s="297" t="s">
        <v>140</v>
      </c>
      <c r="E18" s="288"/>
      <c r="G18" s="310"/>
      <c r="H18" s="87"/>
      <c r="I18" s="216"/>
      <c r="K18" s="350" t="s">
        <v>118</v>
      </c>
      <c r="L18" s="351" t="s">
        <v>118</v>
      </c>
      <c r="M18" s="321"/>
      <c r="N18" s="321"/>
      <c r="O18" s="321"/>
      <c r="P18" s="321"/>
      <c r="Q18" s="321"/>
      <c r="R18" s="321"/>
      <c r="S18" s="321"/>
      <c r="T18" s="321"/>
      <c r="U18" s="321"/>
      <c r="V18" s="321"/>
      <c r="W18" s="321"/>
    </row>
    <row r="19" spans="2:23" ht="16.5" thickBot="1">
      <c r="B19" s="283"/>
      <c r="C19" s="284" t="s">
        <v>131</v>
      </c>
      <c r="D19" s="298"/>
      <c r="E19" s="289"/>
      <c r="G19" s="312">
        <v>8</v>
      </c>
      <c r="H19" s="313" t="str">
        <f>CONCATENATE(TEXT(Accompte,"0%")," deposit on confirmation of order and ",TEXT(Escompte,"0%")," discount on balance if payment received before ",DelaiEscompte," days from date of invoice")</f>
        <v>5% deposit on confirmation of order and 5% discount on balance if payment received before 30 days from date of invoice</v>
      </c>
      <c r="I19" s="314" t="str">
        <f>CONCATENATE(TEXT(Accompte,"0%")," à la commande et ",TEXT(Escompte,"0%")," de remise sur le solde si paiement reçu sous ",DelaiEscompte," jours")</f>
        <v>5% à la commande et 5% de remise sur le solde si paiement reçu sous 30 jours</v>
      </c>
    </row>
    <row r="20" spans="2:23" ht="15.75">
      <c r="B20" s="280" t="s">
        <v>132</v>
      </c>
      <c r="C20" s="281" t="s">
        <v>57</v>
      </c>
      <c r="D20" s="299" t="s">
        <v>49</v>
      </c>
      <c r="E20" s="290"/>
    </row>
    <row r="21" spans="2:23" ht="15.75" outlineLevel="1">
      <c r="B21" s="282"/>
      <c r="C21" s="278" t="s">
        <v>88</v>
      </c>
      <c r="D21" s="300" t="s">
        <v>40</v>
      </c>
      <c r="E21" s="291" t="str">
        <f>MID(cotationNumero,8,3)</f>
        <v>004</v>
      </c>
    </row>
    <row r="22" spans="2:23" ht="15.75" outlineLevel="1">
      <c r="B22" s="282"/>
      <c r="C22" s="278" t="s">
        <v>143</v>
      </c>
      <c r="D22" s="300" t="s">
        <v>36</v>
      </c>
      <c r="E22" s="291"/>
    </row>
    <row r="23" spans="2:23" ht="15.75" outlineLevel="1">
      <c r="B23" s="282"/>
      <c r="C23" s="278" t="s">
        <v>37</v>
      </c>
      <c r="D23" s="300"/>
      <c r="E23" s="291"/>
    </row>
    <row r="24" spans="2:23" ht="12.75" customHeight="1" outlineLevel="1" thickBot="1">
      <c r="B24" s="283"/>
      <c r="C24" s="284" t="s">
        <v>203</v>
      </c>
      <c r="D24" s="301">
        <f>DATE(cotationEmissionAn,cotationEmissionMois,cotationEmissionJour)</f>
        <v>40544</v>
      </c>
      <c r="E24" s="316">
        <v>2011</v>
      </c>
      <c r="G24" s="86">
        <v>1</v>
      </c>
      <c r="H24" s="86">
        <v>1</v>
      </c>
    </row>
    <row r="25" spans="2:23" ht="15.75">
      <c r="B25" s="280" t="s">
        <v>253</v>
      </c>
      <c r="C25" s="281" t="s">
        <v>216</v>
      </c>
      <c r="D25" s="299" t="s">
        <v>254</v>
      </c>
      <c r="E25" s="290"/>
    </row>
    <row r="26" spans="2:23" ht="15.75" outlineLevel="1">
      <c r="B26" s="282"/>
      <c r="C26" s="278" t="s">
        <v>119</v>
      </c>
      <c r="D26" s="297" t="s">
        <v>254</v>
      </c>
      <c r="E26" s="288"/>
    </row>
    <row r="27" spans="2:23" ht="15.75" outlineLevel="1">
      <c r="B27" s="282"/>
      <c r="C27" s="278" t="s">
        <v>42</v>
      </c>
      <c r="D27" s="297" t="s">
        <v>254</v>
      </c>
      <c r="E27" s="288"/>
    </row>
    <row r="28" spans="2:23" ht="15.75" outlineLevel="1">
      <c r="B28" s="282"/>
      <c r="C28" s="278" t="s">
        <v>141</v>
      </c>
      <c r="D28" s="297" t="s">
        <v>254</v>
      </c>
      <c r="E28" s="288"/>
    </row>
    <row r="29" spans="2:23" ht="15.75" outlineLevel="1">
      <c r="B29" s="282"/>
      <c r="C29" s="278" t="s">
        <v>24</v>
      </c>
      <c r="D29" s="297" t="s">
        <v>254</v>
      </c>
      <c r="E29" s="288"/>
    </row>
    <row r="30" spans="2:23" ht="12.75" customHeight="1" outlineLevel="1" thickBot="1">
      <c r="B30" s="283"/>
      <c r="C30" s="284" t="s">
        <v>131</v>
      </c>
      <c r="D30" s="300" t="s">
        <v>254</v>
      </c>
      <c r="E30" s="291"/>
    </row>
    <row r="31" spans="2:23" ht="15.75">
      <c r="B31" s="280" t="s">
        <v>288</v>
      </c>
      <c r="C31" s="281" t="s">
        <v>287</v>
      </c>
      <c r="D31" s="299">
        <v>0</v>
      </c>
      <c r="E31" s="290"/>
    </row>
    <row r="32" spans="2:23" ht="15.75" outlineLevel="1">
      <c r="B32" s="282"/>
      <c r="C32" s="278" t="s">
        <v>289</v>
      </c>
      <c r="D32" s="297">
        <v>30</v>
      </c>
      <c r="E32" s="288"/>
    </row>
    <row r="33" spans="2:5" ht="15.75" outlineLevel="1">
      <c r="B33" s="282"/>
      <c r="C33" s="278" t="s">
        <v>291</v>
      </c>
      <c r="D33" s="297">
        <v>30</v>
      </c>
      <c r="E33" s="288"/>
    </row>
    <row r="34" spans="2:5" ht="15.75" outlineLevel="1">
      <c r="B34" s="282"/>
      <c r="C34" s="278" t="s">
        <v>64</v>
      </c>
      <c r="D34" s="300">
        <f>Paiement</f>
        <v>30</v>
      </c>
      <c r="E34" s="291"/>
    </row>
    <row r="35" spans="2:5" ht="16.5" outlineLevel="1" thickBot="1">
      <c r="B35" s="282"/>
      <c r="C35" s="278" t="s">
        <v>292</v>
      </c>
      <c r="D35" s="298">
        <v>0.05</v>
      </c>
      <c r="E35" s="289"/>
    </row>
    <row r="36" spans="2:5" ht="15.75" outlineLevel="1">
      <c r="B36" s="282"/>
      <c r="C36" s="278" t="s">
        <v>202</v>
      </c>
      <c r="D36" s="302">
        <v>0.05</v>
      </c>
      <c r="E36" s="292"/>
    </row>
    <row r="37" spans="2:5" ht="15.75" outlineLevel="1">
      <c r="B37" s="282"/>
      <c r="C37" s="278" t="s">
        <v>267</v>
      </c>
      <c r="D37" s="317">
        <v>12</v>
      </c>
      <c r="E37" s="292"/>
    </row>
    <row r="38" spans="2:5" ht="15.75" outlineLevel="1">
      <c r="B38" s="282"/>
      <c r="C38" s="278" t="s">
        <v>305</v>
      </c>
      <c r="D38" s="303">
        <v>1.05</v>
      </c>
      <c r="E38" s="293"/>
    </row>
    <row r="39" spans="2:5" ht="15.75" outlineLevel="1">
      <c r="B39" s="282"/>
      <c r="C39" s="278" t="s">
        <v>335</v>
      </c>
      <c r="D39" s="320" t="s">
        <v>65</v>
      </c>
      <c r="E39" s="307">
        <f>IF(UPPER(Langue)="FR",2,1)</f>
        <v>1</v>
      </c>
    </row>
    <row r="40" spans="2:5" ht="15.75" outlineLevel="1">
      <c r="B40" s="282"/>
      <c r="C40" s="278" t="s">
        <v>273</v>
      </c>
      <c r="D40" s="297"/>
      <c r="E40" s="219" t="s">
        <v>9</v>
      </c>
    </row>
    <row r="41" spans="2:5" ht="16.5" outlineLevel="1" thickBot="1">
      <c r="B41" s="283"/>
      <c r="C41" s="284" t="s">
        <v>115</v>
      </c>
      <c r="D41" s="298"/>
      <c r="E41" s="289" t="str">
        <f>Mesure</f>
        <v>Impérial</v>
      </c>
    </row>
    <row r="42" spans="2:5" ht="15.75">
      <c r="B42" s="280" t="s">
        <v>196</v>
      </c>
      <c r="C42" s="281" t="s">
        <v>192</v>
      </c>
      <c r="D42" s="299">
        <v>7</v>
      </c>
      <c r="E42" s="290"/>
    </row>
    <row r="43" spans="2:5" ht="15.75" outlineLevel="1">
      <c r="B43" s="282"/>
      <c r="C43" s="278" t="s">
        <v>194</v>
      </c>
      <c r="D43" s="297"/>
      <c r="E43" s="288"/>
    </row>
    <row r="44" spans="2:5" ht="16.5" outlineLevel="1" thickBot="1">
      <c r="B44" s="283"/>
      <c r="C44" s="284" t="s">
        <v>191</v>
      </c>
      <c r="D44" s="298"/>
      <c r="E44" s="289"/>
    </row>
    <row r="45" spans="2:5" ht="15.75">
      <c r="B45" s="280" t="s">
        <v>290</v>
      </c>
      <c r="C45" s="281" t="s">
        <v>192</v>
      </c>
      <c r="D45" s="299" t="s">
        <v>46</v>
      </c>
      <c r="E45" s="290"/>
    </row>
    <row r="46" spans="2:5" ht="15.75" outlineLevel="1">
      <c r="B46" s="282"/>
      <c r="C46" s="278" t="s">
        <v>194</v>
      </c>
      <c r="D46" s="297" t="s">
        <v>47</v>
      </c>
      <c r="E46" s="288"/>
    </row>
    <row r="47" spans="2:5" ht="16.5" outlineLevel="1" thickBot="1">
      <c r="B47" s="283"/>
      <c r="C47" s="284" t="s">
        <v>193</v>
      </c>
      <c r="D47" s="298"/>
      <c r="E47" s="289"/>
    </row>
    <row r="48" spans="2:5" ht="15.75" outlineLevel="1">
      <c r="B48" s="282" t="s">
        <v>274</v>
      </c>
      <c r="C48" s="325" t="s">
        <v>216</v>
      </c>
      <c r="D48" s="327" t="s">
        <v>278</v>
      </c>
      <c r="E48" s="324"/>
    </row>
    <row r="49" spans="2:8" ht="15.75" outlineLevel="2">
      <c r="B49" s="282"/>
      <c r="C49" s="326" t="s">
        <v>239</v>
      </c>
      <c r="D49" s="327">
        <v>475</v>
      </c>
      <c r="E49" s="324"/>
    </row>
    <row r="50" spans="2:8" ht="15.75" outlineLevel="2">
      <c r="B50" s="282"/>
      <c r="C50" s="326" t="s">
        <v>124</v>
      </c>
      <c r="D50" s="327" t="s">
        <v>279</v>
      </c>
      <c r="E50" s="324"/>
    </row>
    <row r="51" spans="2:8" ht="15.75" outlineLevel="2">
      <c r="B51" s="282"/>
      <c r="C51" s="326" t="s">
        <v>275</v>
      </c>
      <c r="D51" s="327"/>
      <c r="E51" s="324"/>
    </row>
    <row r="52" spans="2:8" ht="15.75" outlineLevel="2">
      <c r="B52" s="282"/>
      <c r="C52" s="326" t="s">
        <v>91</v>
      </c>
      <c r="D52" s="327" t="s">
        <v>280</v>
      </c>
      <c r="E52" s="324"/>
    </row>
    <row r="53" spans="2:8" ht="15.75" outlineLevel="2">
      <c r="B53" s="282"/>
      <c r="C53" s="326" t="s">
        <v>276</v>
      </c>
      <c r="D53" s="327" t="s">
        <v>281</v>
      </c>
      <c r="E53" s="324"/>
    </row>
    <row r="54" spans="2:8" ht="15.75" outlineLevel="2">
      <c r="B54" s="282"/>
      <c r="C54" s="326" t="s">
        <v>276</v>
      </c>
      <c r="D54" s="327" t="s">
        <v>284</v>
      </c>
      <c r="E54" s="324"/>
    </row>
    <row r="55" spans="2:8" ht="15.75" outlineLevel="2">
      <c r="B55" s="282"/>
      <c r="C55" s="326" t="s">
        <v>104</v>
      </c>
      <c r="D55" s="327" t="s">
        <v>282</v>
      </c>
      <c r="E55" s="324"/>
    </row>
    <row r="56" spans="2:8" ht="15.75" outlineLevel="2">
      <c r="B56" s="282"/>
      <c r="C56" s="326" t="s">
        <v>277</v>
      </c>
      <c r="D56" s="327" t="s">
        <v>87</v>
      </c>
      <c r="E56" s="324"/>
    </row>
    <row r="57" spans="2:8" ht="16.5" outlineLevel="2" thickBot="1">
      <c r="B57" s="283"/>
      <c r="C57" s="284" t="s">
        <v>212</v>
      </c>
      <c r="D57" s="469" t="s">
        <v>283</v>
      </c>
      <c r="E57" s="289"/>
    </row>
    <row r="58" spans="2:8" ht="15.75">
      <c r="B58" s="280"/>
      <c r="C58" s="281" t="s">
        <v>146</v>
      </c>
      <c r="D58" s="304">
        <v>180</v>
      </c>
      <c r="E58" s="294"/>
    </row>
    <row r="59" spans="2:8" ht="25.5" outlineLevel="1">
      <c r="B59" s="282"/>
      <c r="C59" s="278" t="s">
        <v>144</v>
      </c>
      <c r="D59" s="304"/>
      <c r="E59" s="294"/>
    </row>
    <row r="60" spans="2:8" ht="25.5" outlineLevel="1">
      <c r="B60" s="282"/>
      <c r="C60" s="278" t="s">
        <v>260</v>
      </c>
      <c r="D60" s="305"/>
      <c r="E60" s="295"/>
    </row>
    <row r="61" spans="2:8" ht="15.75" outlineLevel="1">
      <c r="B61" s="282"/>
      <c r="C61" s="278" t="s">
        <v>83</v>
      </c>
      <c r="D61" s="306" t="s">
        <v>85</v>
      </c>
      <c r="E61" s="315"/>
    </row>
    <row r="62" spans="2:8" ht="15.75" outlineLevel="1">
      <c r="B62" s="282"/>
      <c r="C62" s="278" t="s">
        <v>244</v>
      </c>
      <c r="D62" s="306"/>
      <c r="E62" s="315"/>
    </row>
    <row r="63" spans="2:8" ht="16.5" outlineLevel="1" thickBot="1">
      <c r="B63" s="283"/>
      <c r="C63" s="284" t="s">
        <v>82</v>
      </c>
      <c r="D63" s="306"/>
      <c r="E63" s="315"/>
    </row>
    <row r="64" spans="2:8" ht="24" customHeight="1">
      <c r="B64" s="280" t="s">
        <v>181</v>
      </c>
      <c r="C64" s="281" t="s">
        <v>176</v>
      </c>
      <c r="D64" s="299" t="s">
        <v>219</v>
      </c>
      <c r="E64" s="290"/>
      <c r="H64" s="322"/>
    </row>
    <row r="65" spans="2:5" ht="27.75" customHeight="1" outlineLevel="1">
      <c r="B65" s="282"/>
      <c r="C65" s="278" t="s">
        <v>185</v>
      </c>
      <c r="D65" s="297" t="s">
        <v>238</v>
      </c>
      <c r="E65" s="288" t="str">
        <f>VLOOKUP(Devise.Client.Code,G4:H8,2)</f>
        <v>U.S. Dollar</v>
      </c>
    </row>
    <row r="66" spans="2:5" ht="25.5" outlineLevel="1">
      <c r="B66" s="282"/>
      <c r="C66" s="278" t="s">
        <v>187</v>
      </c>
      <c r="D66" s="300" t="str">
        <f>VLOOKUP(deviseFacture,arrayDeviseCode,2)</f>
        <v>USD</v>
      </c>
      <c r="E66" s="291"/>
    </row>
    <row r="67" spans="2:5" ht="16.5" outlineLevel="1" thickBot="1">
      <c r="B67" s="319"/>
      <c r="C67" s="279" t="s">
        <v>305</v>
      </c>
      <c r="D67" s="279"/>
      <c r="E67" s="289">
        <f>TauxChange</f>
        <v>1</v>
      </c>
    </row>
  </sheetData>
  <mergeCells count="3">
    <mergeCell ref="G2:H2"/>
    <mergeCell ref="G10:I10"/>
    <mergeCell ref="K10:L10"/>
  </mergeCells>
  <phoneticPr fontId="0" type="noConversion"/>
  <dataValidations count="2">
    <dataValidation type="list" allowBlank="1" showInputMessage="1" showErrorMessage="1" sqref="D39" xr:uid="{00000000-0002-0000-0000-000000000000}">
      <formula1>"fr,en"</formula1>
    </dataValidation>
    <dataValidation type="list" allowBlank="1" showInputMessage="1" showErrorMessage="1" sqref="E40" xr:uid="{00000000-0002-0000-0000-000001000000}">
      <formula1>lstMesure</formula1>
    </dataValidation>
  </dataValidations>
  <pageMargins left="0.79133858267716528" right="0.79133858267716528" top="0.98031496062992141" bottom="0.98031496062992141" header="0.48818897637795278" footer="0.48818897637795278"/>
  <pageSetup paperSize="9" orientation="landscape"/>
  <headerFooter alignWithMargins="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7"/>
  <dimension ref="B2:I42"/>
  <sheetViews>
    <sheetView workbookViewId="0">
      <selection activeCell="B11" sqref="B11"/>
    </sheetView>
  </sheetViews>
  <sheetFormatPr baseColWidth="10" defaultColWidth="11.42578125" defaultRowHeight="12.75"/>
  <cols>
    <col min="1" max="1" width="7.140625" customWidth="1"/>
    <col min="2" max="3" width="79.140625" bestFit="1" customWidth="1"/>
    <col min="4" max="4" width="3" customWidth="1"/>
    <col min="5" max="5" width="32.42578125" customWidth="1"/>
    <col min="6" max="6" width="13.28515625" customWidth="1"/>
    <col min="8" max="8" width="14" bestFit="1" customWidth="1"/>
  </cols>
  <sheetData>
    <row r="2" spans="2:9">
      <c r="B2" s="286" t="str">
        <f>VLOOKUP("CAUTION: For the system to work the table must be sorted on the column in French",tableauTraductions,LangueColonne)</f>
        <v>CAUTION: For the system to work the table must be sorted on the column in French</v>
      </c>
      <c r="C2" s="286"/>
    </row>
    <row r="3" spans="2:9">
      <c r="E3" s="285" t="s">
        <v>233</v>
      </c>
      <c r="F3" s="285"/>
      <c r="H3" s="308" t="s">
        <v>411</v>
      </c>
      <c r="I3" s="308"/>
    </row>
    <row r="4" spans="2:9">
      <c r="B4" s="330" t="s">
        <v>331</v>
      </c>
      <c r="C4" s="331" t="s">
        <v>336</v>
      </c>
      <c r="E4" s="308" t="s">
        <v>331</v>
      </c>
      <c r="F4" s="343" t="s">
        <v>336</v>
      </c>
      <c r="H4" s="330" t="s">
        <v>412</v>
      </c>
      <c r="I4" s="347" t="s">
        <v>329</v>
      </c>
    </row>
    <row r="5" spans="2:9">
      <c r="B5" s="332" t="s">
        <v>265</v>
      </c>
      <c r="C5" s="333" t="s">
        <v>265</v>
      </c>
      <c r="E5" s="344" t="s">
        <v>189</v>
      </c>
      <c r="F5" s="342" t="s">
        <v>218</v>
      </c>
      <c r="H5" s="332" t="s">
        <v>189</v>
      </c>
      <c r="I5" s="348" t="s">
        <v>219</v>
      </c>
    </row>
    <row r="6" spans="2:9">
      <c r="B6" s="341" t="s">
        <v>496</v>
      </c>
      <c r="C6" s="358" t="s">
        <v>497</v>
      </c>
      <c r="E6" s="341" t="s">
        <v>240</v>
      </c>
      <c r="F6" s="309" t="s">
        <v>182</v>
      </c>
      <c r="H6" s="334" t="s">
        <v>218</v>
      </c>
      <c r="I6" s="349" t="s">
        <v>219</v>
      </c>
    </row>
    <row r="7" spans="2:9">
      <c r="B7" s="332" t="s">
        <v>342</v>
      </c>
      <c r="C7" s="333" t="s">
        <v>338</v>
      </c>
      <c r="E7" s="344" t="s">
        <v>183</v>
      </c>
      <c r="F7" s="342" t="s">
        <v>240</v>
      </c>
      <c r="H7" s="332" t="s">
        <v>182</v>
      </c>
      <c r="I7" s="348" t="s">
        <v>238</v>
      </c>
    </row>
    <row r="8" spans="2:9">
      <c r="B8" s="344" t="s">
        <v>459</v>
      </c>
      <c r="C8" s="539" t="s">
        <v>461</v>
      </c>
      <c r="E8" s="341" t="s">
        <v>188</v>
      </c>
      <c r="F8" s="309" t="s">
        <v>89</v>
      </c>
      <c r="H8" s="334" t="s">
        <v>240</v>
      </c>
      <c r="I8" s="349" t="s">
        <v>307</v>
      </c>
    </row>
    <row r="9" spans="2:9" ht="13.5" thickBot="1">
      <c r="B9" s="334" t="s">
        <v>186</v>
      </c>
      <c r="C9" s="335" t="s">
        <v>218</v>
      </c>
      <c r="E9" s="345" t="s">
        <v>184</v>
      </c>
      <c r="F9" s="340" t="s">
        <v>314</v>
      </c>
      <c r="H9" s="332" t="s">
        <v>89</v>
      </c>
      <c r="I9" s="348" t="s">
        <v>90</v>
      </c>
    </row>
    <row r="10" spans="2:9">
      <c r="B10" s="332" t="s">
        <v>341</v>
      </c>
      <c r="C10" s="333" t="s">
        <v>337</v>
      </c>
      <c r="H10" s="334" t="s">
        <v>183</v>
      </c>
      <c r="I10" s="349" t="s">
        <v>90</v>
      </c>
    </row>
    <row r="11" spans="2:9">
      <c r="B11" s="341" t="s">
        <v>492</v>
      </c>
      <c r="C11" s="358" t="s">
        <v>493</v>
      </c>
      <c r="H11" s="332" t="s">
        <v>188</v>
      </c>
      <c r="I11" s="348" t="s">
        <v>315</v>
      </c>
    </row>
    <row r="12" spans="2:9">
      <c r="B12" s="332" t="s">
        <v>263</v>
      </c>
      <c r="C12" s="333" t="s">
        <v>264</v>
      </c>
      <c r="H12" s="334" t="s">
        <v>184</v>
      </c>
      <c r="I12" s="349" t="s">
        <v>238</v>
      </c>
    </row>
    <row r="13" spans="2:9">
      <c r="B13" s="334" t="s">
        <v>344</v>
      </c>
      <c r="C13" s="335" t="s">
        <v>152</v>
      </c>
      <c r="H13" s="329" t="s">
        <v>314</v>
      </c>
      <c r="I13" s="346" t="s">
        <v>315</v>
      </c>
    </row>
    <row r="14" spans="2:9">
      <c r="B14" s="332" t="s">
        <v>343</v>
      </c>
      <c r="C14" s="333" t="s">
        <v>231</v>
      </c>
    </row>
    <row r="15" spans="2:9">
      <c r="B15" s="334" t="s">
        <v>246</v>
      </c>
      <c r="C15" s="335" t="s">
        <v>247</v>
      </c>
      <c r="E15" s="579" t="s">
        <v>486</v>
      </c>
    </row>
    <row r="16" spans="2:9">
      <c r="B16" s="341" t="s">
        <v>490</v>
      </c>
      <c r="C16" s="358" t="s">
        <v>460</v>
      </c>
    </row>
    <row r="17" spans="2:3">
      <c r="B17" s="332" t="s">
        <v>240</v>
      </c>
      <c r="C17" s="328" t="s">
        <v>240</v>
      </c>
    </row>
    <row r="18" spans="2:3">
      <c r="B18" s="334" t="s">
        <v>413</v>
      </c>
      <c r="C18" s="335" t="s">
        <v>414</v>
      </c>
    </row>
    <row r="19" spans="2:3">
      <c r="B19" s="344" t="s">
        <v>491</v>
      </c>
      <c r="C19" s="539" t="s">
        <v>491</v>
      </c>
    </row>
    <row r="20" spans="2:3">
      <c r="B20" s="334" t="s">
        <v>319</v>
      </c>
      <c r="C20" s="335" t="s">
        <v>252</v>
      </c>
    </row>
    <row r="21" spans="2:3">
      <c r="B21" s="332" t="s">
        <v>155</v>
      </c>
      <c r="C21" s="333" t="s">
        <v>156</v>
      </c>
    </row>
    <row r="22" spans="2:3">
      <c r="B22" s="341" t="s">
        <v>494</v>
      </c>
      <c r="C22" s="358" t="s">
        <v>495</v>
      </c>
    </row>
    <row r="23" spans="2:3">
      <c r="B23" s="332" t="s">
        <v>183</v>
      </c>
      <c r="C23" s="328" t="s">
        <v>89</v>
      </c>
    </row>
    <row r="24" spans="2:3">
      <c r="B24" s="334" t="s">
        <v>340</v>
      </c>
      <c r="C24" s="335" t="s">
        <v>339</v>
      </c>
    </row>
    <row r="25" spans="2:3">
      <c r="B25" s="332" t="s">
        <v>320</v>
      </c>
      <c r="C25" s="333" t="s">
        <v>321</v>
      </c>
    </row>
    <row r="26" spans="2:3">
      <c r="B26" s="334" t="s">
        <v>153</v>
      </c>
      <c r="C26" s="335" t="s">
        <v>154</v>
      </c>
    </row>
    <row r="27" spans="2:3">
      <c r="B27" s="332" t="s">
        <v>188</v>
      </c>
      <c r="C27" s="328" t="s">
        <v>314</v>
      </c>
    </row>
    <row r="28" spans="2:3">
      <c r="B28" s="334" t="s">
        <v>261</v>
      </c>
      <c r="C28" s="335" t="s">
        <v>262</v>
      </c>
    </row>
    <row r="29" spans="2:3" ht="25.5">
      <c r="B29" s="336" t="s">
        <v>317</v>
      </c>
      <c r="C29" s="337" t="s">
        <v>258</v>
      </c>
    </row>
    <row r="30" spans="2:3">
      <c r="B30" s="341" t="s">
        <v>501</v>
      </c>
      <c r="C30" s="358" t="s">
        <v>502</v>
      </c>
    </row>
    <row r="31" spans="2:3">
      <c r="B31" s="332" t="s">
        <v>483</v>
      </c>
      <c r="C31" s="539" t="s">
        <v>484</v>
      </c>
    </row>
    <row r="32" spans="2:3" ht="25.5">
      <c r="B32" s="338" t="s">
        <v>179</v>
      </c>
      <c r="C32" s="339" t="s">
        <v>180</v>
      </c>
    </row>
    <row r="33" spans="2:3">
      <c r="B33" s="344" t="s">
        <v>498</v>
      </c>
      <c r="C33" s="333" t="s">
        <v>259</v>
      </c>
    </row>
    <row r="34" spans="2:3" ht="25.5">
      <c r="B34" s="338" t="s">
        <v>177</v>
      </c>
      <c r="C34" s="339" t="s">
        <v>178</v>
      </c>
    </row>
    <row r="35" spans="2:3" ht="17.25" customHeight="1">
      <c r="B35" s="537" t="s">
        <v>458</v>
      </c>
      <c r="C35" s="537" t="s">
        <v>457</v>
      </c>
    </row>
    <row r="36" spans="2:3" ht="25.5">
      <c r="B36" s="336" t="s">
        <v>322</v>
      </c>
      <c r="C36" s="337" t="s">
        <v>323</v>
      </c>
    </row>
    <row r="37" spans="2:3">
      <c r="B37" s="334" t="s">
        <v>184</v>
      </c>
      <c r="C37" s="339" t="s">
        <v>182</v>
      </c>
    </row>
    <row r="38" spans="2:3">
      <c r="B38" s="341" t="s">
        <v>106</v>
      </c>
      <c r="C38" s="540" t="s">
        <v>462</v>
      </c>
    </row>
    <row r="39" spans="2:3">
      <c r="B39" s="332" t="s">
        <v>159</v>
      </c>
      <c r="C39" s="337" t="s">
        <v>316</v>
      </c>
    </row>
    <row r="40" spans="2:3">
      <c r="B40" s="334" t="s">
        <v>157</v>
      </c>
      <c r="C40" s="339" t="s">
        <v>158</v>
      </c>
    </row>
    <row r="41" spans="2:3" ht="25.5">
      <c r="B41" s="336" t="s">
        <v>318</v>
      </c>
      <c r="C41" s="337" t="s">
        <v>257</v>
      </c>
    </row>
    <row r="42" spans="2:3" ht="16.5" customHeight="1"/>
  </sheetData>
  <phoneticPr fontId="0" type="noConversion"/>
  <pageMargins left="0.7" right="0.7" top="0.75" bottom="0.75" header="0.3" footer="0.3"/>
  <pageSetup paperSize="9" orientation="portrait" horizontalDpi="4294967293" verticalDpi="429496729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A1:BE64"/>
  <sheetViews>
    <sheetView tabSelected="1" topLeftCell="B1" zoomScale="90" zoomScaleNormal="90" workbookViewId="0">
      <selection activeCell="J13" sqref="J13"/>
    </sheetView>
  </sheetViews>
  <sheetFormatPr baseColWidth="10" defaultColWidth="8.42578125" defaultRowHeight="12.75" outlineLevelRow="1" outlineLevelCol="1"/>
  <cols>
    <col min="1" max="1" width="0" style="1" hidden="1" customWidth="1"/>
    <col min="2" max="2" width="0.140625" style="1" customWidth="1"/>
    <col min="3" max="3" width="7.85546875" style="1" customWidth="1"/>
    <col min="4" max="4" width="12.140625" style="1" customWidth="1"/>
    <col min="5" max="6" width="0" style="1" hidden="1" customWidth="1"/>
    <col min="7" max="7" width="14" style="1" customWidth="1"/>
    <col min="8" max="9" width="11.85546875" style="1" customWidth="1"/>
    <col min="10" max="11" width="15" style="1" customWidth="1"/>
    <col min="12" max="12" width="7.28515625" style="1" customWidth="1"/>
    <col min="13" max="13" width="11.140625" style="1" customWidth="1"/>
    <col min="14" max="16" width="11.28515625" style="1" customWidth="1"/>
    <col min="17" max="17" width="50.42578125" style="1" customWidth="1"/>
    <col min="18" max="20" width="12.28515625" style="1" customWidth="1" outlineLevel="1"/>
    <col min="21" max="21" width="18.85546875" style="1" customWidth="1" outlineLevel="1"/>
    <col min="22" max="22" width="15.140625" style="1" customWidth="1" outlineLevel="1"/>
    <col min="23" max="23" width="19" style="1" customWidth="1"/>
    <col min="24" max="24" width="8.42578125" style="1" customWidth="1"/>
    <col min="25" max="25" width="15.140625" style="1" customWidth="1" outlineLevel="1"/>
    <col min="26" max="26" width="19" style="1" customWidth="1"/>
    <col min="27" max="27" width="4.42578125" style="1" customWidth="1"/>
    <col min="28" max="28" width="16.42578125" style="1" customWidth="1"/>
    <col min="29" max="29" width="17.7109375" style="1" customWidth="1"/>
    <col min="30" max="30" width="25.85546875" style="1" customWidth="1"/>
    <col min="31" max="31" width="15.42578125" style="1" customWidth="1"/>
    <col min="32" max="32" width="23.28515625" style="1" customWidth="1"/>
    <col min="33" max="34" width="15" style="1" customWidth="1"/>
    <col min="35" max="35" width="26.28515625" style="1" customWidth="1"/>
    <col min="36" max="36" width="18.42578125" style="1" customWidth="1"/>
    <col min="37" max="37" width="19.28515625" style="1" customWidth="1"/>
    <col min="38" max="41" width="8.42578125" style="1"/>
    <col min="42" max="43" width="12.7109375" style="1" bestFit="1" customWidth="1"/>
    <col min="44" max="44" width="8.42578125" style="1"/>
    <col min="45" max="45" width="14.140625" style="1" customWidth="1"/>
    <col min="46" max="51" width="8.42578125" style="1"/>
    <col min="52" max="52" width="16.42578125" style="1" customWidth="1"/>
    <col min="53" max="54" width="26" style="1" customWidth="1"/>
    <col min="55" max="55" width="8.42578125" style="1" customWidth="1"/>
    <col min="56" max="57" width="47" style="1" customWidth="1"/>
    <col min="58" max="59" width="8.42578125" style="1" customWidth="1"/>
    <col min="60" max="16384" width="8.42578125" style="1"/>
  </cols>
  <sheetData>
    <row r="1" spans="1:57" ht="57" customHeight="1" thickBot="1">
      <c r="J1" s="2"/>
      <c r="L1" s="15"/>
      <c r="N1" s="3"/>
      <c r="O1" s="3"/>
      <c r="P1" s="3"/>
      <c r="R1" s="16"/>
      <c r="T1" s="2"/>
      <c r="U1" s="607" t="str">
        <f>cotationNumero</f>
        <v>DRC09-0004-C1R0</v>
      </c>
      <c r="V1" s="608"/>
      <c r="W1" s="608"/>
      <c r="X1" s="608"/>
      <c r="Y1" s="608"/>
      <c r="Z1" s="608"/>
      <c r="AB1" s="17"/>
    </row>
    <row r="2" spans="1:57" ht="17.100000000000001" customHeight="1" thickTop="1" thickBot="1">
      <c r="J2" s="2"/>
      <c r="L2" s="15"/>
      <c r="N2" s="3"/>
      <c r="O2" s="3"/>
      <c r="P2" s="3"/>
      <c r="R2" s="16"/>
      <c r="T2" s="2"/>
      <c r="U2" s="632"/>
      <c r="V2" s="633"/>
      <c r="W2" s="633"/>
      <c r="X2" s="633"/>
      <c r="Y2" s="633"/>
      <c r="Z2" s="633"/>
      <c r="AA2" s="17"/>
      <c r="AB2" s="221">
        <v>11.9999</v>
      </c>
      <c r="AC2" s="634" t="s">
        <v>455</v>
      </c>
      <c r="AD2" s="635"/>
      <c r="AE2" s="635"/>
      <c r="AF2" s="523" t="s">
        <v>77</v>
      </c>
      <c r="AG2" s="625"/>
      <c r="AH2" s="625"/>
      <c r="AI2" s="619" t="s">
        <v>78</v>
      </c>
      <c r="AJ2" s="619"/>
      <c r="AK2" s="619"/>
      <c r="AL2" s="619"/>
      <c r="AM2" s="619"/>
      <c r="AN2" s="619"/>
      <c r="AO2" s="619"/>
      <c r="AP2" s="619"/>
      <c r="AQ2" s="619"/>
      <c r="AR2" s="619"/>
      <c r="AS2" s="619"/>
      <c r="AT2" s="619"/>
      <c r="AU2" s="619"/>
      <c r="AV2" s="619"/>
      <c r="AW2" s="619"/>
      <c r="AX2" s="619"/>
      <c r="AY2" s="619"/>
      <c r="AZ2" s="619"/>
      <c r="BA2" s="524"/>
    </row>
    <row r="3" spans="1:57" ht="42" customHeight="1" thickTop="1" thickBot="1">
      <c r="E3" s="106"/>
      <c r="J3" s="2"/>
      <c r="L3" s="15"/>
      <c r="N3" s="616" t="str">
        <f>SUBSTITUTE(SUBSTITUTE(cotationNom,"_"," "),"&amp;amp;","&amp;")</f>
        <v>Projet Morrin Centre</v>
      </c>
      <c r="O3" s="616"/>
      <c r="P3" s="616"/>
      <c r="Q3" s="616"/>
      <c r="R3" s="16"/>
      <c r="T3" s="4"/>
      <c r="U3" s="609" t="str">
        <f>VLOOKUP("Price confirmation",tableauTraductions,LangueColonne)</f>
        <v>Price confirmation</v>
      </c>
      <c r="V3" s="610"/>
      <c r="W3" s="610"/>
      <c r="X3" s="610"/>
      <c r="Y3" s="611"/>
      <c r="Z3" s="611"/>
      <c r="AA3" s="17"/>
      <c r="AB3" s="222">
        <v>1000</v>
      </c>
      <c r="AC3" s="471">
        <v>400</v>
      </c>
      <c r="AD3" s="471">
        <v>400</v>
      </c>
      <c r="AE3" s="471">
        <v>300</v>
      </c>
      <c r="AF3" s="617"/>
      <c r="AG3" s="618"/>
      <c r="AH3" s="618"/>
      <c r="AI3" s="620"/>
      <c r="AJ3" s="620"/>
      <c r="AK3" s="620"/>
      <c r="AL3" s="620"/>
      <c r="AM3" s="620"/>
      <c r="AN3" s="620"/>
      <c r="AO3" s="620"/>
      <c r="AP3" s="620"/>
      <c r="AQ3" s="620"/>
      <c r="AR3" s="620"/>
      <c r="AS3" s="620"/>
      <c r="AT3" s="620"/>
      <c r="AU3" s="620"/>
      <c r="AV3" s="620"/>
      <c r="AW3" s="620"/>
      <c r="AX3" s="620"/>
      <c r="AY3" s="620"/>
      <c r="AZ3" s="620"/>
    </row>
    <row r="4" spans="1:57" ht="15.75" customHeight="1" thickTop="1" thickBot="1">
      <c r="G4" s="1">
        <f>delaiNbr</f>
        <v>0</v>
      </c>
      <c r="J4" s="2"/>
      <c r="L4" s="15"/>
      <c r="N4" s="3"/>
      <c r="O4" s="3"/>
      <c r="P4" s="3"/>
      <c r="R4" s="16"/>
      <c r="T4" s="2"/>
      <c r="U4" s="13"/>
      <c r="V4" s="5"/>
      <c r="W4" s="5"/>
      <c r="AB4" s="592" t="s">
        <v>499</v>
      </c>
      <c r="AC4" s="592" t="s">
        <v>500</v>
      </c>
    </row>
    <row r="5" spans="1:57" ht="20.25" customHeight="1" thickBot="1">
      <c r="J5" s="2"/>
      <c r="L5" s="15"/>
      <c r="N5" s="3"/>
      <c r="O5" s="3"/>
      <c r="P5" s="3"/>
      <c r="R5" s="16"/>
      <c r="T5" s="6"/>
      <c r="U5" s="612">
        <f>cotationEmission</f>
        <v>40544</v>
      </c>
      <c r="V5" s="613"/>
      <c r="W5" s="613"/>
      <c r="X5" s="614"/>
      <c r="Y5" s="614"/>
      <c r="Z5" s="615"/>
      <c r="AA5" s="17"/>
      <c r="AB5" s="593">
        <f ca="1">+AB7/AE8</f>
        <v>5.0682397959183678</v>
      </c>
      <c r="AC5" s="593">
        <f ca="1">+AB7/AE5</f>
        <v>6.5887117346938782</v>
      </c>
      <c r="AD5" s="591"/>
      <c r="AE5" s="590">
        <f>+AE8/1.3</f>
        <v>62.607079594622057</v>
      </c>
      <c r="AG5" s="196" t="s">
        <v>44</v>
      </c>
      <c r="AH5" s="554">
        <f>ROW(Total)-ROW(Ligne1)-1</f>
        <v>1</v>
      </c>
      <c r="BA5" s="602" t="s">
        <v>417</v>
      </c>
      <c r="BB5" s="603"/>
      <c r="BC5" s="503"/>
      <c r="BD5" s="602" t="s">
        <v>418</v>
      </c>
      <c r="BE5" s="603"/>
    </row>
    <row r="6" spans="1:57" ht="39" customHeight="1" thickBot="1">
      <c r="H6" s="56"/>
      <c r="I6" s="492" t="str">
        <f>VLOOKUP("Customer :",tableauTraductions,LangueColonne)</f>
        <v>Customer :</v>
      </c>
      <c r="J6" s="491" t="str">
        <f>clientNom</f>
        <v>A6</v>
      </c>
      <c r="M6" s="56"/>
      <c r="N6" s="56"/>
      <c r="O6" s="56"/>
      <c r="P6" s="56"/>
      <c r="Q6" s="56"/>
      <c r="R6" s="56"/>
      <c r="S6" s="56"/>
      <c r="T6" s="56"/>
      <c r="U6" s="56"/>
      <c r="V6" s="56"/>
      <c r="W6" s="56"/>
      <c r="X6" s="56"/>
      <c r="Y6" s="56"/>
      <c r="Z6" s="56"/>
      <c r="AA6" s="17"/>
      <c r="AB6" s="638" t="s">
        <v>467</v>
      </c>
      <c r="AC6" s="639"/>
      <c r="AD6" s="220" t="s">
        <v>199</v>
      </c>
      <c r="AE6" s="323">
        <v>1</v>
      </c>
      <c r="AF6" s="569" t="s">
        <v>481</v>
      </c>
      <c r="AG6" s="626" t="s">
        <v>479</v>
      </c>
      <c r="AH6" s="627"/>
      <c r="AI6" s="581" t="s">
        <v>480</v>
      </c>
      <c r="AK6" s="582" t="s">
        <v>488</v>
      </c>
      <c r="BA6" s="504" t="s">
        <v>419</v>
      </c>
      <c r="BB6" s="505" t="s">
        <v>420</v>
      </c>
      <c r="BC6" s="27"/>
      <c r="BD6" s="504" t="s">
        <v>419</v>
      </c>
      <c r="BE6" s="505" t="s">
        <v>420</v>
      </c>
    </row>
    <row r="7" spans="1:57" ht="27" thickTop="1" thickBot="1">
      <c r="H7" s="56"/>
      <c r="I7" s="80" t="str">
        <f>VLOOKUP("Adress :",tableauTraductions,LangueColonne)</f>
        <v>Adress :</v>
      </c>
      <c r="J7" s="215" t="str">
        <f>IF(clientAdresse1="","",clientAdresse1)</f>
        <v/>
      </c>
      <c r="M7" s="56"/>
      <c r="N7" s="56"/>
      <c r="O7" s="56"/>
      <c r="P7" s="56"/>
      <c r="Q7" s="56"/>
      <c r="R7" s="56"/>
      <c r="S7" s="56"/>
      <c r="T7" s="56"/>
      <c r="U7" s="56"/>
      <c r="V7" s="56"/>
      <c r="W7" s="56"/>
      <c r="X7" s="56"/>
      <c r="Y7" s="56"/>
      <c r="Z7" s="56"/>
      <c r="AA7" s="17"/>
      <c r="AB7" s="636">
        <f ca="1">INDIRECT(CONCATENATE("'",Couleur,"'!CI",ROW(M13)-6))</f>
        <v>412.5</v>
      </c>
      <c r="AC7" s="637"/>
      <c r="AD7" s="172" t="s">
        <v>310</v>
      </c>
      <c r="AE7" s="173">
        <f>+volumeTotal*1.4</f>
        <v>13.066666666666666</v>
      </c>
      <c r="AF7" s="578">
        <v>25</v>
      </c>
      <c r="AG7" s="628">
        <f>+(AE8*3)/(1-Escompte)</f>
        <v>257.01853728318531</v>
      </c>
      <c r="AH7" s="629"/>
      <c r="AI7" s="596">
        <f>+AG7/1.3</f>
        <v>197.70656714091177</v>
      </c>
      <c r="AK7" s="594">
        <f ca="1">INDIRECT(CONCATENATE("'",Couleur,"'!CH",ROW(U13)-6))</f>
        <v>3162.5</v>
      </c>
      <c r="BA7" s="506" t="s">
        <v>421</v>
      </c>
      <c r="BB7" s="507" t="s">
        <v>422</v>
      </c>
      <c r="BC7" s="508"/>
      <c r="BD7" s="509" t="s">
        <v>423</v>
      </c>
      <c r="BE7" s="510" t="s">
        <v>424</v>
      </c>
    </row>
    <row r="8" spans="1:57" ht="24.75" customHeight="1" thickBot="1">
      <c r="H8" s="56"/>
      <c r="I8" s="80"/>
      <c r="J8" s="215" t="str">
        <f>CONCATENATE(clientVille,", ",clientRegion,"   ",clientCP)</f>
        <v>, CA-QC   1041</v>
      </c>
      <c r="M8" s="56"/>
      <c r="N8" s="56"/>
      <c r="O8" s="56"/>
      <c r="P8" s="56"/>
      <c r="Q8" s="56"/>
      <c r="R8" s="56"/>
      <c r="S8" s="56"/>
      <c r="T8" s="56"/>
      <c r="U8" s="56"/>
      <c r="V8" s="56"/>
      <c r="W8" s="56"/>
      <c r="X8" s="56"/>
      <c r="Y8" s="56"/>
      <c r="Z8" s="56"/>
      <c r="AA8" s="17"/>
      <c r="AB8" s="631" t="s">
        <v>489</v>
      </c>
      <c r="AC8" s="631"/>
      <c r="AD8" s="580" t="s">
        <v>311</v>
      </c>
      <c r="AE8" s="571">
        <f>+cout_achat_pierre*(AE7/35.32)</f>
        <v>81.389203473008678</v>
      </c>
      <c r="AF8" s="595">
        <f>ROUNDUP(Z25/Z26,0)</f>
        <v>1</v>
      </c>
      <c r="AG8" s="658">
        <f ca="1">+(AB7-AE8)/volumeTotal</f>
        <v>35.476156770749064</v>
      </c>
      <c r="AH8" s="659"/>
      <c r="AI8" s="597">
        <f ca="1">+(AB7-AE5)/volumeTotal</f>
        <v>37.48852718629049</v>
      </c>
      <c r="AJ8" s="660" t="s">
        <v>503</v>
      </c>
      <c r="AK8" s="661"/>
      <c r="BA8" s="511" t="s">
        <v>425</v>
      </c>
      <c r="BB8" s="512" t="s">
        <v>426</v>
      </c>
      <c r="BC8" s="508"/>
      <c r="BD8" s="513" t="s">
        <v>423</v>
      </c>
      <c r="BE8" s="514" t="s">
        <v>424</v>
      </c>
    </row>
    <row r="9" spans="1:57" ht="24.75" customHeight="1">
      <c r="H9" s="56"/>
      <c r="I9" s="82" t="s">
        <v>303</v>
      </c>
      <c r="J9" s="85" t="str">
        <f>CONCATENATE(contactPrenom," ",contactNom,"   tél. : ",contactTel,"   cell. : ",contactCel,"   Fax. : ",contactFax)</f>
        <v>Henry Matisse   tél. : +1 (418)   cell. : +1 (418)   Fax. : +1 (418)</v>
      </c>
      <c r="M9" s="81"/>
      <c r="N9" s="56"/>
      <c r="O9" s="56"/>
      <c r="P9" s="56"/>
      <c r="Q9" s="56"/>
      <c r="R9" s="56"/>
      <c r="S9" s="56"/>
      <c r="T9" s="56"/>
      <c r="U9" s="56"/>
      <c r="V9" s="56"/>
      <c r="W9" s="56"/>
      <c r="X9" s="56"/>
      <c r="Y9" s="56"/>
      <c r="Z9" s="56"/>
      <c r="AB9" s="641">
        <f ca="1">+AB7*0.9</f>
        <v>371.25</v>
      </c>
      <c r="AC9" s="641"/>
      <c r="AD9" s="580" t="s">
        <v>211</v>
      </c>
      <c r="AE9" s="572">
        <f>'Modele couleur'!H2</f>
        <v>220</v>
      </c>
      <c r="AF9" s="575">
        <f>+AF8*AF7</f>
        <v>25</v>
      </c>
      <c r="AG9" s="621" t="s">
        <v>4</v>
      </c>
      <c r="AH9" s="622"/>
      <c r="BA9" s="515" t="s">
        <v>427</v>
      </c>
      <c r="BB9" s="516" t="s">
        <v>428</v>
      </c>
      <c r="BC9"/>
      <c r="BD9" s="513" t="s">
        <v>423</v>
      </c>
      <c r="BE9" s="514" t="s">
        <v>424</v>
      </c>
    </row>
    <row r="10" spans="1:57" ht="24" customHeight="1" thickBot="1">
      <c r="J10" s="2"/>
      <c r="L10" s="15"/>
      <c r="N10" s="3"/>
      <c r="O10" s="3"/>
      <c r="P10" s="3"/>
      <c r="R10" s="16"/>
      <c r="U10" s="78"/>
      <c r="V10" s="83"/>
      <c r="W10" s="83"/>
      <c r="X10" s="7"/>
      <c r="Y10" s="7"/>
      <c r="Z10" s="7"/>
      <c r="AD10" s="568" t="s">
        <v>92</v>
      </c>
      <c r="AE10" s="573">
        <f ca="1">+AE8/TotalInterne</f>
        <v>0.1860324650811627</v>
      </c>
      <c r="AF10" s="576">
        <f ca="1">IF(Incoterm="Ex Works",(Total-AB7),Total-AK7)</f>
        <v>25</v>
      </c>
      <c r="AG10" s="623"/>
      <c r="AH10" s="624"/>
      <c r="BA10" s="517" t="s">
        <v>429</v>
      </c>
      <c r="BB10" s="518" t="s">
        <v>429</v>
      </c>
      <c r="BC10"/>
      <c r="BD10" s="513" t="s">
        <v>430</v>
      </c>
      <c r="BE10" s="514" t="s">
        <v>431</v>
      </c>
    </row>
    <row r="11" spans="1:57" s="8" customFormat="1" ht="51" customHeight="1" thickBot="1">
      <c r="A11" s="128"/>
      <c r="B11" s="128" t="s">
        <v>129</v>
      </c>
      <c r="C11" s="128" t="s">
        <v>94</v>
      </c>
      <c r="D11" s="129" t="s">
        <v>223</v>
      </c>
      <c r="E11" s="128" t="s">
        <v>224</v>
      </c>
      <c r="F11" s="127" t="s">
        <v>30</v>
      </c>
      <c r="G11" s="130" t="s">
        <v>309</v>
      </c>
      <c r="H11" s="263" t="s">
        <v>31</v>
      </c>
      <c r="I11" s="264" t="s">
        <v>32</v>
      </c>
      <c r="J11" s="264" t="s">
        <v>33</v>
      </c>
      <c r="K11" s="264" t="s">
        <v>229</v>
      </c>
      <c r="L11" s="265" t="str">
        <f>VLOOKUP("QTY",tableauTraductions,LangueColonne)</f>
        <v>QTY</v>
      </c>
      <c r="M11" s="264" t="s">
        <v>8</v>
      </c>
      <c r="N11" s="266" t="str">
        <f>VLOOKUP("LENGTH",tableauTraductions,LangueColonne)</f>
        <v>LENGTH</v>
      </c>
      <c r="O11" s="266" t="str">
        <f>VLOOKUP("WIDTH
DEEP",tableauTraductions,LangueColonne)</f>
        <v>WIDTH
DEEP</v>
      </c>
      <c r="P11" s="266" t="str">
        <f>VLOOKUP("THICK
HEIGHT",tableauTraductions,LangueColonne)</f>
        <v>THICK
HEIGHT</v>
      </c>
      <c r="Q11" s="266" t="s">
        <v>5</v>
      </c>
      <c r="R11" s="267" t="str">
        <f>VLOOKUP("TOTAL LENGTH
NET",tableauTraductions,LangueColonne)</f>
        <v>TOTAL LENGTH
NET</v>
      </c>
      <c r="S11" s="266" t="str">
        <f>VLOOKUP("TOTAL AREA
NET",tableauTraductions,LangueColonne)</f>
        <v>TOTAL AREA
NET</v>
      </c>
      <c r="T11" s="266" t="str">
        <f>VLOOKUP("TOT. VOLUME
NET",tableauTraductions,LangueColonne)</f>
        <v>TOT. VOLUME
NET</v>
      </c>
      <c r="U11" s="268" t="str">
        <f>VLOOKUP("TOT. WEIGHT",tableauTraductions,LangueColonne)</f>
        <v>TOT. WEIGHT</v>
      </c>
      <c r="V11" s="269" t="str">
        <f>CONCATENATE(VLOOKUP("UNIT PRICE.",tableauTraductions,LangueColonne),"
",IF(UC="","CDN",UC),"$")</f>
        <v>UNIT PRICE.
CAD$</v>
      </c>
      <c r="W11" s="269" t="str">
        <f>CONCATENATE(VLOOKUP("UNIT PRICE.",tableauTraductions,LangueColonne),"
",codeDevise,"$")</f>
        <v>UNIT PRICE.
USD$</v>
      </c>
      <c r="X11" s="270" t="str">
        <f>VLOOKUP("UNIT",tableauTraductions,LangueColonne)</f>
        <v>UNIT</v>
      </c>
      <c r="Y11" s="266" t="s">
        <v>228</v>
      </c>
      <c r="Z11" s="271" t="str">
        <f>CONCATENATE("TOTAL
",codeDevise,"$")</f>
        <v>TOTAL
USD$</v>
      </c>
      <c r="AC11" s="499" t="s">
        <v>2</v>
      </c>
      <c r="AD11" s="567" t="s">
        <v>3</v>
      </c>
      <c r="AE11" s="494"/>
      <c r="AF11" s="577">
        <f ca="1">+AF10-AF9</f>
        <v>0</v>
      </c>
      <c r="AG11" s="574" t="s">
        <v>0</v>
      </c>
      <c r="AH11" s="501" t="s">
        <v>1</v>
      </c>
      <c r="AI11" s="630" t="s">
        <v>478</v>
      </c>
      <c r="AJ11" s="525" t="str">
        <f>'Modele couleur'!CL6</f>
        <v>Valeur de pierre</v>
      </c>
      <c r="AK11" s="526" t="str">
        <f>'Modele couleur'!CM6</f>
        <v>Sciage primaire</v>
      </c>
      <c r="AL11" s="527" t="str">
        <f>'Modele couleur'!CN6</f>
        <v>Sciage secondaire</v>
      </c>
      <c r="AM11" s="528" t="str">
        <f>'Modele couleur'!CO6</f>
        <v>Profilage</v>
      </c>
      <c r="AN11" s="529" t="str">
        <f>'Modele couleur'!CP6</f>
        <v>Finition</v>
      </c>
      <c r="AO11" s="530" t="str">
        <f>'Modele couleur'!CQ6</f>
        <v>Ancrages</v>
      </c>
      <c r="AP11" s="531" t="str">
        <f>'Modele couleur'!CR6</f>
        <v>TEMPS UNITAIRE</v>
      </c>
      <c r="AQ11" s="532" t="str">
        <f>'Modele couleur'!CS6</f>
        <v>TEMPS TOTAL</v>
      </c>
      <c r="AS11" s="565"/>
      <c r="BA11" s="517" t="s">
        <v>432</v>
      </c>
      <c r="BB11" s="518" t="s">
        <v>433</v>
      </c>
      <c r="BC11"/>
      <c r="BD11" s="513" t="s">
        <v>434</v>
      </c>
      <c r="BE11" s="514" t="s">
        <v>435</v>
      </c>
    </row>
    <row r="12" spans="1:57" s="7" customFormat="1" ht="20.25" customHeight="1" thickBot="1">
      <c r="A12" s="1"/>
      <c r="B12" s="2"/>
      <c r="C12" s="2"/>
      <c r="D12" s="6"/>
      <c r="E12" s="2"/>
      <c r="F12" s="2"/>
      <c r="G12" s="6"/>
      <c r="H12" s="261"/>
      <c r="I12" s="472"/>
      <c r="J12" s="472"/>
      <c r="K12" s="472"/>
      <c r="L12" s="229"/>
      <c r="M12" s="228"/>
      <c r="N12" s="230" t="s">
        <v>6</v>
      </c>
      <c r="O12" s="230" t="s">
        <v>7</v>
      </c>
      <c r="P12" s="230" t="s">
        <v>225</v>
      </c>
      <c r="Q12" s="228"/>
      <c r="R12" s="231" t="s">
        <v>6</v>
      </c>
      <c r="S12" s="230" t="s">
        <v>226</v>
      </c>
      <c r="T12" s="230" t="s">
        <v>227</v>
      </c>
      <c r="U12" s="232"/>
      <c r="V12" s="233"/>
      <c r="W12" s="233"/>
      <c r="X12" s="234"/>
      <c r="Y12" s="234"/>
      <c r="Z12" s="262"/>
      <c r="AB12" s="1"/>
      <c r="AC12" s="272" t="s">
        <v>25</v>
      </c>
      <c r="AD12" s="272" t="s">
        <v>50</v>
      </c>
      <c r="AE12" s="272" t="s">
        <v>51</v>
      </c>
      <c r="AF12" s="500" t="s">
        <v>482</v>
      </c>
      <c r="AG12" s="500" t="s">
        <v>52</v>
      </c>
      <c r="AH12" s="500" t="s">
        <v>53</v>
      </c>
      <c r="AI12" s="630"/>
      <c r="AJ12" s="533" t="str">
        <f>'Modele couleur'!CL7</f>
        <v>V</v>
      </c>
      <c r="AK12" s="533" t="str">
        <f>'Modele couleur'!CM7</f>
        <v>P</v>
      </c>
      <c r="AL12" s="533" t="str">
        <f>'Modele couleur'!CN7</f>
        <v>S</v>
      </c>
      <c r="AM12" s="533" t="str">
        <f>'Modele couleur'!CO7</f>
        <v>G</v>
      </c>
      <c r="AN12" s="533" t="str">
        <f>'Modele couleur'!CP7</f>
        <v>F</v>
      </c>
      <c r="AO12" s="533" t="str">
        <f>'Modele couleur'!CQ7</f>
        <v>A</v>
      </c>
      <c r="AP12" s="533" t="str">
        <f>'Modele couleur'!CR7</f>
        <v>TU</v>
      </c>
      <c r="AQ12" s="533" t="str">
        <f>'Modele couleur'!CS7</f>
        <v>TT</v>
      </c>
      <c r="AR12" s="1"/>
      <c r="AS12" s="1"/>
      <c r="AT12" s="1"/>
      <c r="AU12" s="1"/>
      <c r="AY12" s="1"/>
      <c r="BA12" s="517" t="s">
        <v>436</v>
      </c>
      <c r="BB12" s="518" t="s">
        <v>437</v>
      </c>
      <c r="BC12"/>
      <c r="BD12" s="513" t="s">
        <v>438</v>
      </c>
      <c r="BE12" s="514" t="s">
        <v>439</v>
      </c>
    </row>
    <row r="13" spans="1:57" s="9" customFormat="1" ht="45" customHeight="1" thickTop="1" thickBot="1">
      <c r="B13" s="10"/>
      <c r="C13" s="10"/>
      <c r="D13" s="10"/>
      <c r="E13" s="2" t="b">
        <f>OR(C13="Standard",C13="Semi-standard")</f>
        <v>0</v>
      </c>
      <c r="F13" s="2"/>
      <c r="G13" s="227">
        <f>TxSemi</f>
        <v>0</v>
      </c>
      <c r="H13" s="235" t="s">
        <v>232</v>
      </c>
      <c r="I13" s="473"/>
      <c r="J13" s="473" t="str">
        <f>CONCATENATE(TAG,"-",ROW(G13)-ROW(Ligne1)+1)</f>
        <v>004-1</v>
      </c>
      <c r="K13" s="474" t="s">
        <v>175</v>
      </c>
      <c r="L13" s="236">
        <v>1</v>
      </c>
      <c r="M13" s="237" t="s">
        <v>81</v>
      </c>
      <c r="N13" s="238">
        <v>96</v>
      </c>
      <c r="O13" s="238">
        <v>24</v>
      </c>
      <c r="P13" s="238">
        <v>7</v>
      </c>
      <c r="Q13" s="237" t="s">
        <v>243</v>
      </c>
      <c r="R13" s="239">
        <f>IF(Mesure="Impérial",N13/12*L13,N13/12*L13/25.4)</f>
        <v>8</v>
      </c>
      <c r="S13" s="240">
        <f>IF(Mesure="Impérial",N13*O13/144*L13,N13*O13/144*L13/25.4/25.4)</f>
        <v>16</v>
      </c>
      <c r="T13" s="241">
        <f>IF(Mesure="Impérial",N13*O13*P13/1728*L13,N13*O13*P13/1728*L13/25.4/25.4/25.4)</f>
        <v>9.3333333333333339</v>
      </c>
      <c r="U13" s="242">
        <f>IF(OR(I13="CALD-1",I13="CALD-2",I13="CALD-3",I13="CALD-4",I13="SAPD-1",I13="SAPD-2",I13="SAPD-3",I13="GVD-1",I13="GVD-2",I13="GVD-3",I13="GVD-4",I13="GVD-5"),A13,T13*IF(E13,D13,PoidsUnitaire))</f>
        <v>1680</v>
      </c>
      <c r="V13" s="243">
        <f ca="1">ROUND(IF(AND(Incoterm="Ex Works",LOADVille="RIVIÈRE-À-PIERRE"),IF(E13,IF(C13="Semi-standard",INDIRECT(CONCATENATE("'",Couleur,"'!bw",ROW(M13)-5))*(1+G13),INDIRECT(CONCATENATE("'",Couleur,"'!bw",ROW(M13)-5))),INDIRECT(CONCATENATE("'",IF(E13,Couleur,K13),"'!bw",ROW(M13)-5))),IF(E13,IF(C13="Semi-standard",INDIRECT(CONCATENATE("'",Couleur,"'!bw",ROW(M13)-5))*(1+G13),INDIRECT(CONCATENATE("'",Couleur,"'!bw",ROW(M13)-5))),INDIRECT(CONCATENATE("'",Couleur,"'!ca",ROW(M13)-5))))+AF13,1)</f>
        <v>437.5</v>
      </c>
      <c r="W13" s="244">
        <f ca="1">ROUND(IF(OR(codeDevise=UC,F13),V13,ROUND(V13/TauxChange,1)),1)</f>
        <v>437.5</v>
      </c>
      <c r="X13" s="245" t="s">
        <v>161</v>
      </c>
      <c r="Y13" s="246">
        <f ca="1">L13*V13</f>
        <v>437.5</v>
      </c>
      <c r="Z13" s="247">
        <f ca="1">W13*L13</f>
        <v>437.5</v>
      </c>
      <c r="AA13" s="22"/>
      <c r="AB13" s="1"/>
      <c r="AC13" s="495">
        <f>R13/L13</f>
        <v>8</v>
      </c>
      <c r="AD13" s="497">
        <f>S13/L13</f>
        <v>16</v>
      </c>
      <c r="AE13" s="273"/>
      <c r="AF13" s="570">
        <f>ROUNDUP(U13/3000,0)*$AF$7/L13</f>
        <v>25</v>
      </c>
      <c r="AG13" s="496">
        <f>AC13*AE13</f>
        <v>0</v>
      </c>
      <c r="AH13" s="498">
        <f>AD13*AE13</f>
        <v>0</v>
      </c>
      <c r="AI13" s="563">
        <f ca="1">+Z13/T13</f>
        <v>46.875</v>
      </c>
      <c r="AJ13" s="534">
        <f ca="1">INDIRECT(CONCATENATE("'",Couleur,"'!CL",ROW(M13)-5))</f>
        <v>58.168083097261579</v>
      </c>
      <c r="AK13" s="535">
        <f ca="1">INDIRECT(CONCATENATE("'",Couleur,"'!CM",ROW(M13)-5))</f>
        <v>78.115555555555545</v>
      </c>
      <c r="AL13" s="535">
        <f ca="1">INDIRECT(CONCATENATE("'",Couleur,"'!CN",ROW(M13)-5))</f>
        <v>43.75</v>
      </c>
      <c r="AM13" s="535">
        <f ca="1">INDIRECT(CONCATENATE("'",Couleur,"'!CO",ROW(M13)-5))</f>
        <v>0</v>
      </c>
      <c r="AN13" s="535">
        <f ca="1">INDIRECT(CONCATENATE("'",Couleur,"'!CP",ROW(M13)-5))</f>
        <v>0</v>
      </c>
      <c r="AO13" s="535">
        <f ca="1">INDIRECT(CONCATENATE("'",Couleur,"'!CQ",ROW(M13)-5))</f>
        <v>0</v>
      </c>
      <c r="AP13" s="536">
        <f ca="1">INDIRECT(CONCATENATE("'",Couleur,"'!CR",ROW(M13)-5))</f>
        <v>2.0310925925925924</v>
      </c>
      <c r="AQ13" s="536">
        <f ca="1">INDIRECT(CONCATENATE("'",Couleur,"'!CS",ROW(M13)-5))</f>
        <v>2.0310925925925924</v>
      </c>
      <c r="AR13" s="1"/>
      <c r="AS13" s="566"/>
      <c r="AT13" s="1"/>
      <c r="AU13" s="1"/>
      <c r="AV13" s="1"/>
      <c r="AW13" s="1"/>
      <c r="AX13" s="1"/>
      <c r="AY13" s="1"/>
      <c r="BA13" s="517" t="s">
        <v>440</v>
      </c>
      <c r="BB13" s="518" t="s">
        <v>441</v>
      </c>
      <c r="BC13"/>
      <c r="BD13" s="513" t="s">
        <v>442</v>
      </c>
      <c r="BE13" s="562" t="s">
        <v>477</v>
      </c>
    </row>
    <row r="14" spans="1:57" s="9" customFormat="1" ht="27.75" customHeight="1" thickTop="1" thickBot="1">
      <c r="B14" s="10"/>
      <c r="C14" s="10"/>
      <c r="D14" s="11"/>
      <c r="E14" s="2"/>
      <c r="F14" s="2"/>
      <c r="G14" s="62"/>
      <c r="H14" s="248"/>
      <c r="I14" s="475"/>
      <c r="J14" s="475"/>
      <c r="K14" s="475"/>
      <c r="L14" s="249"/>
      <c r="M14" s="250"/>
      <c r="N14" s="251"/>
      <c r="O14" s="251"/>
      <c r="P14" s="251"/>
      <c r="Q14" s="250"/>
      <c r="R14" s="252"/>
      <c r="S14" s="253"/>
      <c r="T14" s="254"/>
      <c r="U14" s="255"/>
      <c r="V14" s="256"/>
      <c r="W14" s="257"/>
      <c r="X14" s="258"/>
      <c r="Y14" s="259"/>
      <c r="Z14" s="260"/>
      <c r="AA14" s="22"/>
      <c r="AB14" s="1"/>
      <c r="AC14" s="1"/>
      <c r="AD14" s="1"/>
      <c r="AE14" s="1"/>
      <c r="AF14" s="1"/>
      <c r="AG14" s="1"/>
      <c r="AH14" s="1"/>
      <c r="AI14" s="1"/>
      <c r="AJ14" s="1"/>
      <c r="AK14" s="1"/>
      <c r="AL14" s="1"/>
      <c r="AM14" s="1"/>
      <c r="AN14" s="1"/>
      <c r="AO14" s="1"/>
      <c r="AP14" s="1"/>
      <c r="AQ14" s="1"/>
      <c r="AR14" s="1"/>
      <c r="AS14" s="1"/>
      <c r="AT14" s="1"/>
      <c r="AU14" s="1"/>
      <c r="AV14" s="1"/>
      <c r="AW14" s="1"/>
      <c r="AX14" s="1"/>
      <c r="AY14" s="1"/>
      <c r="BA14" s="517" t="s">
        <v>443</v>
      </c>
      <c r="BB14" s="518" t="s">
        <v>444</v>
      </c>
      <c r="BC14"/>
      <c r="BD14" s="513" t="s">
        <v>445</v>
      </c>
      <c r="BE14" s="562" t="s">
        <v>476</v>
      </c>
    </row>
    <row r="15" spans="1:57" s="9" customFormat="1" ht="25.5" customHeight="1" thickTop="1">
      <c r="B15" s="10"/>
      <c r="C15" s="10"/>
      <c r="D15" s="11"/>
      <c r="E15" s="2"/>
      <c r="F15" s="2"/>
      <c r="G15" s="62"/>
      <c r="H15" s="204" t="s">
        <v>222</v>
      </c>
      <c r="I15" s="205"/>
      <c r="J15" s="205"/>
      <c r="K15" s="18"/>
      <c r="L15" s="206">
        <f>SUBTOTAL(9,L13:L14)</f>
        <v>1</v>
      </c>
      <c r="M15" s="207"/>
      <c r="N15" s="208"/>
      <c r="O15" s="208"/>
      <c r="P15" s="208"/>
      <c r="Q15" s="207"/>
      <c r="R15" s="209">
        <f>SUBTOTAL(9,R13:R14)</f>
        <v>8</v>
      </c>
      <c r="S15" s="210">
        <f>SUBTOTAL(9,S13:S14)</f>
        <v>16</v>
      </c>
      <c r="T15" s="211">
        <f>SUBTOTAL(9,T13:T14)</f>
        <v>9.3333333333333339</v>
      </c>
      <c r="U15" s="24">
        <f>SUBTOTAL(9,U13:U14)</f>
        <v>1680</v>
      </c>
      <c r="V15" s="212"/>
      <c r="W15" s="213"/>
      <c r="X15" s="26"/>
      <c r="Y15" s="214">
        <f ca="1">SUBTOTAL(9,Y13:Y14)</f>
        <v>437.5</v>
      </c>
      <c r="Z15" s="214">
        <f ca="1">SUBTOTAL(9,Z13:Z14)</f>
        <v>437.5</v>
      </c>
      <c r="AA15" s="22"/>
      <c r="AB15" s="1"/>
      <c r="AC15" s="1"/>
      <c r="AD15" s="1"/>
      <c r="AE15" s="1"/>
      <c r="AF15" s="1"/>
      <c r="AG15" s="1"/>
      <c r="AH15" s="1" t="s">
        <v>391</v>
      </c>
      <c r="AI15" s="564">
        <f ca="1">AVERAGE(AI13:AI14)</f>
        <v>46.875</v>
      </c>
      <c r="AJ15" s="534">
        <f t="shared" ref="AJ15:AO15" ca="1" si="0">SUBTOTAL(9,AJ13:AJ14)</f>
        <v>58.168083097261579</v>
      </c>
      <c r="AK15" s="535">
        <f t="shared" ca="1" si="0"/>
        <v>78.115555555555545</v>
      </c>
      <c r="AL15" s="535">
        <f t="shared" ca="1" si="0"/>
        <v>43.75</v>
      </c>
      <c r="AM15" s="535">
        <f t="shared" ca="1" si="0"/>
        <v>0</v>
      </c>
      <c r="AN15" s="535">
        <f t="shared" ca="1" si="0"/>
        <v>0</v>
      </c>
      <c r="AO15" s="535">
        <f t="shared" ca="1" si="0"/>
        <v>0</v>
      </c>
      <c r="AP15" s="536">
        <f ca="1">AVERAGE(AP13:AP14)</f>
        <v>2.0310925925925924</v>
      </c>
      <c r="AQ15" s="536">
        <f ca="1">SUBTOTAL(9,AQ13:AQ14)</f>
        <v>2.0310925925925924</v>
      </c>
      <c r="AR15" s="1"/>
      <c r="AS15" s="1"/>
      <c r="AT15" s="1"/>
      <c r="AU15" s="1"/>
      <c r="AV15" s="1"/>
      <c r="AW15" s="1"/>
      <c r="AX15" s="1"/>
      <c r="AY15" s="1"/>
      <c r="BA15" s="517" t="s">
        <v>446</v>
      </c>
      <c r="BB15" s="518" t="s">
        <v>447</v>
      </c>
      <c r="BC15"/>
      <c r="BD15" s="513" t="s">
        <v>448</v>
      </c>
      <c r="BE15" s="514" t="s">
        <v>449</v>
      </c>
    </row>
    <row r="16" spans="1:57" s="9" customFormat="1" ht="25.5" hidden="1" customHeight="1" outlineLevel="1">
      <c r="B16" s="10"/>
      <c r="C16" s="10"/>
      <c r="D16" s="11"/>
      <c r="E16" s="2"/>
      <c r="F16" s="2"/>
      <c r="G16" s="62"/>
      <c r="H16" s="204"/>
      <c r="I16" s="205"/>
      <c r="J16" s="205"/>
      <c r="K16" s="18"/>
      <c r="L16" s="206"/>
      <c r="M16" s="207"/>
      <c r="N16" s="208"/>
      <c r="O16" s="208"/>
      <c r="P16" s="208"/>
      <c r="Q16" s="207"/>
      <c r="R16" s="209"/>
      <c r="S16" s="210"/>
      <c r="T16" s="211"/>
      <c r="U16" s="24"/>
      <c r="V16" s="212"/>
      <c r="W16" s="640" t="s">
        <v>468</v>
      </c>
      <c r="X16" s="640"/>
      <c r="Y16" s="214"/>
      <c r="Z16" s="214">
        <f ca="1">+Total*0.05</f>
        <v>21.875</v>
      </c>
      <c r="AA16" s="22"/>
      <c r="AB16" s="1"/>
      <c r="AC16" s="1"/>
      <c r="AD16" s="1"/>
      <c r="AE16" s="1"/>
      <c r="AF16" s="1"/>
      <c r="AG16" s="1"/>
      <c r="AH16" s="1"/>
      <c r="AI16" s="1"/>
      <c r="AJ16" s="534"/>
      <c r="AK16" s="535"/>
      <c r="AL16" s="535"/>
      <c r="AM16" s="535"/>
      <c r="AN16" s="535"/>
      <c r="AO16" s="535"/>
      <c r="AP16" s="536"/>
      <c r="AQ16" s="536"/>
      <c r="AR16" s="1"/>
      <c r="AS16" s="1"/>
      <c r="AT16" s="1"/>
      <c r="AU16" s="1"/>
      <c r="AV16" s="1"/>
      <c r="AW16" s="1"/>
      <c r="AX16" s="1"/>
      <c r="AY16" s="1"/>
      <c r="BA16" s="550"/>
      <c r="BB16" s="551"/>
      <c r="BC16"/>
      <c r="BD16" s="552"/>
      <c r="BE16" s="553"/>
    </row>
    <row r="17" spans="2:57" s="9" customFormat="1" ht="25.5" hidden="1" customHeight="1" outlineLevel="1">
      <c r="B17" s="10"/>
      <c r="C17" s="10"/>
      <c r="D17" s="11"/>
      <c r="E17" s="2"/>
      <c r="F17" s="2"/>
      <c r="G17" s="62"/>
      <c r="H17" s="204"/>
      <c r="I17" s="205"/>
      <c r="J17" s="205"/>
      <c r="K17" s="18"/>
      <c r="L17" s="206"/>
      <c r="M17" s="207"/>
      <c r="N17" s="208"/>
      <c r="O17" s="208"/>
      <c r="P17" s="208"/>
      <c r="Q17" s="207"/>
      <c r="R17" s="209"/>
      <c r="S17" s="210"/>
      <c r="T17" s="211"/>
      <c r="U17" s="24"/>
      <c r="V17" s="212"/>
      <c r="W17" s="640" t="s">
        <v>469</v>
      </c>
      <c r="X17" s="640"/>
      <c r="Y17" s="214"/>
      <c r="Z17" s="214">
        <f ca="1">+Total+Z16</f>
        <v>459.375</v>
      </c>
      <c r="AA17" s="22"/>
      <c r="AB17" s="1"/>
      <c r="AC17" s="1"/>
      <c r="AD17" s="1"/>
      <c r="AE17" s="1"/>
      <c r="AF17" s="1"/>
      <c r="AG17" s="1"/>
      <c r="AH17" s="1"/>
      <c r="AI17" s="1"/>
      <c r="AJ17" s="534"/>
      <c r="AK17" s="535"/>
      <c r="AL17" s="535"/>
      <c r="AM17" s="535"/>
      <c r="AN17" s="535"/>
      <c r="AO17" s="535"/>
      <c r="AP17" s="536"/>
      <c r="AQ17" s="536"/>
      <c r="AR17" s="1"/>
      <c r="AS17" s="1"/>
      <c r="AT17" s="1"/>
      <c r="AU17" s="1"/>
      <c r="AV17" s="1"/>
      <c r="AW17" s="1"/>
      <c r="AX17" s="1"/>
      <c r="AY17" s="1"/>
      <c r="BA17" s="550"/>
      <c r="BB17" s="551"/>
      <c r="BC17"/>
      <c r="BD17" s="552"/>
      <c r="BE17" s="553"/>
    </row>
    <row r="18" spans="2:57" s="9" customFormat="1" ht="21" customHeight="1" collapsed="1" thickBot="1">
      <c r="B18" s="10"/>
      <c r="C18" s="10"/>
      <c r="D18" s="11"/>
      <c r="E18" s="10"/>
      <c r="F18" s="10"/>
      <c r="G18" s="14"/>
      <c r="H18" s="10"/>
      <c r="I18" s="37"/>
      <c r="J18" s="20"/>
      <c r="K18" s="18"/>
      <c r="L18" s="21"/>
      <c r="M18" s="19"/>
      <c r="N18" s="23"/>
      <c r="O18" s="23"/>
      <c r="P18" s="23"/>
      <c r="Q18" s="19"/>
      <c r="R18" s="38"/>
      <c r="S18" s="39"/>
      <c r="T18" s="40"/>
      <c r="U18" s="24"/>
      <c r="V18" s="25"/>
      <c r="W18" s="25"/>
      <c r="X18" s="26"/>
      <c r="Y18" s="41"/>
      <c r="Z18" s="42"/>
      <c r="AA18" s="36"/>
      <c r="AB18" s="1"/>
      <c r="AC18" s="1"/>
      <c r="AD18" s="1"/>
      <c r="AE18" s="1"/>
      <c r="AF18" s="1"/>
      <c r="AG18" s="1"/>
      <c r="AH18" s="1"/>
      <c r="AI18" s="1"/>
      <c r="AJ18" s="1"/>
      <c r="AK18" s="1"/>
      <c r="AL18" s="1"/>
      <c r="AM18" s="1"/>
      <c r="AN18" s="1"/>
      <c r="AO18" s="1"/>
      <c r="AP18" s="1"/>
      <c r="AQ18" s="1"/>
      <c r="AR18" s="1"/>
      <c r="AS18" s="1"/>
      <c r="AT18" s="1"/>
      <c r="AU18" s="1"/>
      <c r="AV18" s="1"/>
      <c r="AW18" s="1"/>
      <c r="AX18" s="1"/>
      <c r="AY18" s="1"/>
      <c r="BA18" s="519" t="s">
        <v>450</v>
      </c>
      <c r="BB18" s="520" t="s">
        <v>451</v>
      </c>
      <c r="BC18"/>
      <c r="BD18" s="521" t="s">
        <v>452</v>
      </c>
      <c r="BE18" s="522" t="s">
        <v>453</v>
      </c>
    </row>
    <row r="19" spans="2:57" s="9" customFormat="1" ht="48" customHeight="1">
      <c r="B19" s="10"/>
      <c r="C19" s="10"/>
      <c r="D19" s="11"/>
      <c r="E19" s="10"/>
      <c r="F19" s="10"/>
      <c r="G19" s="14"/>
      <c r="H19" s="604" t="str">
        <f>VLOOKUP("Comment(s) : Shop tickets and installation plan are to be provided by customer; All finished edge is considered with a minimum chamfer 1/8'' unless if another size is requested; excepted for rockface finish",tableauTraductions,LangueColonne)</f>
        <v>Comment(s) : Shop tickets and installation plan are to be provided by customer; All finished edge is considered with a minimum chamfer 1/8'' unless if another size is requested; excepted for rockface finish</v>
      </c>
      <c r="I19" s="605"/>
      <c r="J19" s="605"/>
      <c r="K19" s="605"/>
      <c r="L19" s="605"/>
      <c r="M19" s="605"/>
      <c r="N19" s="605"/>
      <c r="O19" s="605"/>
      <c r="P19" s="605"/>
      <c r="Q19" s="605"/>
      <c r="R19" s="605"/>
      <c r="S19" s="605"/>
      <c r="T19" s="605"/>
      <c r="U19" s="605"/>
      <c r="V19" s="605"/>
      <c r="W19" s="605"/>
      <c r="X19" s="605"/>
      <c r="Y19" s="605"/>
      <c r="Z19" s="606"/>
      <c r="AB19" s="1"/>
      <c r="AC19" s="1"/>
      <c r="AD19" s="1"/>
      <c r="AE19" s="1"/>
      <c r="AF19" s="1"/>
      <c r="AG19" s="1"/>
      <c r="AH19" s="1"/>
      <c r="AI19" s="1"/>
      <c r="AJ19" s="1"/>
      <c r="AK19" s="1"/>
      <c r="AL19" s="1"/>
      <c r="AM19" s="1"/>
      <c r="AN19" s="1"/>
      <c r="AO19" s="1"/>
      <c r="AP19" s="1"/>
      <c r="AQ19" s="1"/>
      <c r="AR19" s="1"/>
      <c r="AS19" s="1"/>
      <c r="AT19" s="1"/>
      <c r="AU19" s="1"/>
      <c r="AV19" s="1"/>
      <c r="AW19" s="1"/>
      <c r="AX19" s="1"/>
      <c r="AY19" s="1"/>
    </row>
    <row r="20" spans="2:57" s="9" customFormat="1" ht="30" customHeight="1">
      <c r="B20" s="10"/>
      <c r="C20" s="10"/>
      <c r="D20" s="11"/>
      <c r="E20" s="10"/>
      <c r="F20" s="10"/>
      <c r="G20" s="14"/>
      <c r="H20" s="10"/>
      <c r="I20" s="37"/>
      <c r="J20" s="20"/>
      <c r="K20" s="18"/>
      <c r="L20" s="21"/>
      <c r="M20" s="19"/>
      <c r="N20" s="23"/>
      <c r="O20" s="23"/>
      <c r="P20" s="23"/>
      <c r="Q20" s="19"/>
      <c r="R20" s="38"/>
      <c r="S20" s="39"/>
      <c r="T20" s="40"/>
      <c r="U20" s="24"/>
      <c r="V20" s="25"/>
      <c r="W20" s="25"/>
      <c r="X20" s="26"/>
      <c r="Y20" s="41"/>
      <c r="Z20" s="42"/>
      <c r="AB20" s="1"/>
      <c r="AC20" s="1"/>
      <c r="AD20" s="1"/>
      <c r="AE20" s="1"/>
      <c r="AF20" s="1"/>
      <c r="AG20" s="1"/>
      <c r="AH20" s="1"/>
      <c r="AI20" s="1"/>
      <c r="AJ20" s="1"/>
      <c r="AK20" s="1"/>
      <c r="AL20" s="1"/>
      <c r="AM20" s="1"/>
      <c r="AN20" s="1"/>
      <c r="AO20" s="1"/>
      <c r="AP20" s="1"/>
      <c r="AQ20" s="1"/>
      <c r="AR20" s="1"/>
      <c r="AS20" s="1"/>
      <c r="AT20" s="1"/>
      <c r="AU20" s="1"/>
      <c r="AV20" s="1"/>
      <c r="AW20" s="1"/>
      <c r="AX20" s="1"/>
      <c r="AY20" s="1"/>
    </row>
    <row r="21" spans="2:57" ht="30" customHeight="1">
      <c r="H21" s="651" t="str">
        <f>VLOOKUP("Currency :",tableauTraductions,LangueColonne)</f>
        <v>Currency :</v>
      </c>
      <c r="I21" s="651"/>
      <c r="J21" s="651"/>
      <c r="K21" s="202" t="str">
        <f>devideERPLibelle</f>
        <v>U.S. Dollar</v>
      </c>
      <c r="L21" s="199"/>
      <c r="M21" s="199"/>
      <c r="N21" s="199"/>
      <c r="O21" s="199"/>
      <c r="P21" s="199"/>
      <c r="Q21" s="199"/>
      <c r="R21" s="199"/>
      <c r="S21" s="199"/>
      <c r="T21" s="199"/>
      <c r="U21" s="199"/>
      <c r="V21" s="9"/>
      <c r="AA21" s="111"/>
    </row>
    <row r="22" spans="2:57" ht="46.5" customHeight="1">
      <c r="H22" s="644" t="str">
        <f>VLOOKUP("Estimated starting delivery date:",tableauTraductions,LangueColonne)</f>
        <v>Estimated start of delivery:</v>
      </c>
      <c r="I22" s="644"/>
      <c r="J22" s="644"/>
      <c r="K22" s="656" t="str">
        <f>IF(delaiNbr=0,VLOOKUP("In Stock",tableauTraductions,LangueColonne),CONCATENATE(delaiNbr," - ",delaiNbr+1,VLOOKUP(" week(s) after reception of approved shop tickets, purchase order according to latest quotation, payment of deposit if applicable and approved samples",tableauTraductions,LangueColonne)))</f>
        <v>In Stock</v>
      </c>
      <c r="L22" s="656"/>
      <c r="M22" s="656"/>
      <c r="N22" s="656"/>
      <c r="O22" s="656"/>
      <c r="P22" s="656"/>
      <c r="Q22" s="656"/>
      <c r="R22" s="656"/>
      <c r="S22" s="656"/>
      <c r="T22" s="656"/>
      <c r="U22" s="656"/>
      <c r="V22" s="656"/>
      <c r="W22" s="656"/>
      <c r="AA22" s="111"/>
    </row>
    <row r="23" spans="2:57" ht="30" customHeight="1">
      <c r="H23" s="651" t="str">
        <f>VLOOKUP("Payment :",tableauTraductions,LangueColonne)</f>
        <v>Payment :</v>
      </c>
      <c r="I23" s="651"/>
      <c r="J23" s="651"/>
      <c r="K23" s="655">
        <f>IF(ConditionPaiementInd=7,ConditionPaiementSaisie,VLOOKUP(ConditionPaiementInd,lstConditionPaiement,LangueColonne+1,FALSE))</f>
        <v>0</v>
      </c>
      <c r="L23" s="655"/>
      <c r="M23" s="655"/>
      <c r="N23" s="655"/>
      <c r="O23" s="655"/>
      <c r="P23" s="655"/>
      <c r="Q23" s="655"/>
      <c r="R23" s="655"/>
      <c r="S23" s="655"/>
      <c r="T23" s="655"/>
      <c r="U23" s="655"/>
      <c r="V23" s="655"/>
      <c r="W23" s="655"/>
      <c r="AA23" s="111"/>
    </row>
    <row r="24" spans="2:57" ht="30" customHeight="1">
      <c r="H24" s="651" t="str">
        <f>VLOOKUP("Validity :",tableauTraductions,LangueColonne)</f>
        <v>Validity :</v>
      </c>
      <c r="I24" s="651"/>
      <c r="J24" s="651"/>
      <c r="K24" s="657" t="str">
        <f>CONCATENATE(DureValidite," ",VLOOKUP("days",tableauTraductions,LangueColonne))</f>
        <v>30 days</v>
      </c>
      <c r="L24" s="657"/>
      <c r="M24" s="657"/>
      <c r="N24" s="657"/>
      <c r="O24" s="657"/>
      <c r="P24" s="657"/>
      <c r="Q24" s="657"/>
      <c r="R24" s="657"/>
      <c r="S24" s="657"/>
      <c r="T24" s="657"/>
      <c r="U24" s="657"/>
      <c r="V24" s="657"/>
      <c r="W24" s="657"/>
      <c r="AA24" s="111"/>
    </row>
    <row r="25" spans="2:57" ht="30" customHeight="1">
      <c r="H25" s="651" t="str">
        <f>VLOOKUP("Incoterm :",tableauTraductions,LangueColonne)</f>
        <v>Incoterm :</v>
      </c>
      <c r="I25" s="651"/>
      <c r="J25" s="651"/>
      <c r="K25" s="200" t="str">
        <f>IF(IncotermInd&lt;&gt;3,CONCATENATE(Incoterm," : ",LOADVille," - ",LOADRegiondsp),IncotermS)</f>
        <v>Ex Works : RIVIÈRE-À-PIERRE - Québec</v>
      </c>
      <c r="L25" s="201"/>
      <c r="M25" s="201"/>
      <c r="N25" s="203"/>
      <c r="O25" s="203"/>
      <c r="P25" s="203"/>
      <c r="Q25" s="662" t="str">
        <f>VLOOKUP("Total estimated weight of project: ",tableauTraductions,LangueColonne)</f>
        <v xml:space="preserve">Total estimated weight of project: </v>
      </c>
      <c r="R25" s="662"/>
      <c r="S25" s="662"/>
      <c r="T25" s="662"/>
      <c r="U25" s="662"/>
      <c r="V25" s="662"/>
      <c r="W25" s="662"/>
      <c r="X25" s="662"/>
      <c r="Z25" s="589">
        <f>PoidTotal</f>
        <v>1680</v>
      </c>
    </row>
    <row r="26" spans="2:57" ht="29.25" customHeight="1">
      <c r="H26" s="538"/>
      <c r="I26" s="56"/>
      <c r="J26" s="56"/>
      <c r="L26" s="15"/>
      <c r="M26" s="57"/>
      <c r="N26" s="58"/>
      <c r="O26" s="59"/>
      <c r="Q26" s="642" t="str">
        <f>VLOOKUP("Average weight per crate is: ",tableauTraductions,LangueColonne)</f>
        <v xml:space="preserve">Average weight per crate is: </v>
      </c>
      <c r="R26" s="642"/>
      <c r="S26" s="642"/>
      <c r="T26" s="642"/>
      <c r="U26" s="642"/>
      <c r="V26" s="642"/>
      <c r="W26" s="642"/>
      <c r="X26" s="642"/>
      <c r="Y26" s="60"/>
      <c r="Z26" s="589">
        <v>3000</v>
      </c>
    </row>
    <row r="27" spans="2:57" ht="18" customHeight="1">
      <c r="H27" s="28" t="str">
        <f>CONCATENATE(VLOOKUP("Sales representative : ",tableauTraductions,LangueColonne),representantPrenom," ",representantNom,VLOOKUP("  cell. : ",tableauTraductions,LangueColonne),representantCel)</f>
        <v>Sales representative : Inconnu Inconnu  cell. : Inconnu</v>
      </c>
      <c r="J27" s="2"/>
      <c r="K27"/>
      <c r="L27"/>
      <c r="M27"/>
      <c r="N27"/>
      <c r="O27"/>
      <c r="P27"/>
      <c r="R27"/>
      <c r="S27"/>
      <c r="T27"/>
      <c r="V27" s="12"/>
    </row>
    <row r="28" spans="2:57" ht="18.75" customHeight="1">
      <c r="H28" s="28"/>
      <c r="J28" s="2"/>
      <c r="K28"/>
      <c r="L28"/>
      <c r="M28"/>
      <c r="N28"/>
      <c r="O28"/>
      <c r="P28"/>
      <c r="Q28" s="541"/>
      <c r="R28"/>
      <c r="S28"/>
      <c r="T28"/>
      <c r="V28" s="12"/>
      <c r="W28" s="542"/>
    </row>
    <row r="29" spans="2:57" ht="39" customHeight="1">
      <c r="H29" s="645" t="str">
        <f>VLOOKUP("This quote is valid if the order includes all the details mentioned above and if the stone is available at the date of purchase. ALL PRODUCTION DONE WILL BE IMMEDIATELY INVOICED.",tableauTraductions,LangueColonne)</f>
        <v>This quote is valid if the order includes all the details mentioned above and if the stone is available at the date of purchase. ALL PRODUCTION DONE WILL BE IMMEDIATELY INVOICED.</v>
      </c>
      <c r="I29" s="646"/>
      <c r="J29" s="646"/>
      <c r="K29" s="646"/>
      <c r="L29" s="646"/>
      <c r="M29" s="646"/>
      <c r="N29" s="646"/>
      <c r="O29" s="646"/>
      <c r="P29" s="646"/>
      <c r="Q29" s="646"/>
      <c r="R29" s="646"/>
      <c r="S29" s="646"/>
      <c r="T29" s="646"/>
      <c r="U29" s="646"/>
      <c r="V29" s="646"/>
      <c r="W29" s="646"/>
      <c r="X29" s="646"/>
      <c r="Y29" s="646"/>
      <c r="Z29" s="647"/>
    </row>
    <row r="30" spans="2:57" s="27" customFormat="1" ht="35.1" customHeight="1">
      <c r="H30" s="648" t="str">
        <f>VLOOKUP("Please verify the data and dimensions; it is the customer's responsibility to confirm that the descriptions mentioned in this quote all match the project requirements",tableauTraductions,LangueColonne)</f>
        <v>Please verify the data and dimensions; it is the customer's responsibility to confirm that the descriptions mentioned in this quote all match the project requirements</v>
      </c>
      <c r="I30" s="649"/>
      <c r="J30" s="649"/>
      <c r="K30" s="649"/>
      <c r="L30" s="649"/>
      <c r="M30" s="649"/>
      <c r="N30" s="649"/>
      <c r="O30" s="649"/>
      <c r="P30" s="649"/>
      <c r="Q30" s="649"/>
      <c r="R30" s="649"/>
      <c r="S30" s="649"/>
      <c r="T30" s="649"/>
      <c r="U30" s="649"/>
      <c r="V30" s="649"/>
      <c r="W30" s="649"/>
      <c r="X30" s="649"/>
      <c r="Y30" s="649"/>
      <c r="Z30" s="650"/>
      <c r="AB30" s="1"/>
      <c r="AC30" s="1"/>
      <c r="AD30" s="1"/>
      <c r="AE30" s="1"/>
      <c r="AF30" s="1"/>
      <c r="AG30" s="1"/>
      <c r="AH30" s="1"/>
      <c r="AI30" s="1"/>
      <c r="AJ30" s="1"/>
      <c r="AK30" s="1"/>
      <c r="AL30" s="1"/>
      <c r="AM30" s="1"/>
      <c r="AN30" s="1"/>
      <c r="AO30" s="1"/>
      <c r="AP30" s="1"/>
      <c r="AQ30" s="1"/>
      <c r="AR30" s="1"/>
      <c r="AS30" s="1"/>
      <c r="AT30" s="1"/>
      <c r="AU30" s="1"/>
      <c r="AV30" s="1"/>
      <c r="AW30" s="1"/>
      <c r="AX30" s="1"/>
      <c r="AY30" s="1"/>
    </row>
    <row r="31" spans="2:57" s="27" customFormat="1" ht="24" customHeight="1">
      <c r="H31" s="588" t="str">
        <f>VLOOKUP("To order: sign below &amp; fax or email us ",tableauTraductions,LangueColonne)</f>
        <v xml:space="preserve">To order: sign below &amp; fax or email us </v>
      </c>
      <c r="I31" s="1"/>
      <c r="J31" s="2"/>
      <c r="K31" s="583"/>
      <c r="L31" s="584"/>
      <c r="M31" s="584"/>
      <c r="N31" s="584"/>
      <c r="O31" s="584"/>
      <c r="P31" s="584"/>
      <c r="Q31" s="584"/>
      <c r="R31" s="584"/>
      <c r="S31" s="584"/>
      <c r="T31" s="584"/>
      <c r="U31" s="584"/>
      <c r="V31" s="584"/>
      <c r="W31" s="585"/>
      <c r="X31" s="1"/>
      <c r="Y31" s="1"/>
      <c r="Z31" s="63"/>
      <c r="AB31" s="1"/>
      <c r="AC31" s="1"/>
      <c r="AD31" s="1"/>
      <c r="AE31" s="1"/>
      <c r="AF31" s="1"/>
      <c r="AG31" s="1"/>
      <c r="AH31" s="1"/>
      <c r="AI31" s="1"/>
      <c r="AJ31" s="1"/>
      <c r="AK31" s="1"/>
      <c r="AL31" s="1"/>
      <c r="AM31" s="1"/>
      <c r="AN31" s="1"/>
      <c r="AO31" s="1"/>
      <c r="AP31" s="1"/>
      <c r="AQ31" s="1"/>
      <c r="AR31" s="1"/>
      <c r="AS31" s="1"/>
      <c r="AT31" s="1"/>
      <c r="AU31" s="1"/>
      <c r="AV31" s="1"/>
      <c r="AW31" s="1"/>
      <c r="AX31" s="1"/>
      <c r="AY31" s="1"/>
    </row>
    <row r="32" spans="2:57" s="27" customFormat="1" ht="38.1" customHeight="1">
      <c r="H32" s="586" t="s">
        <v>312</v>
      </c>
      <c r="I32" s="66"/>
      <c r="J32" s="67"/>
      <c r="K32" s="652"/>
      <c r="L32" s="652"/>
      <c r="M32" s="652"/>
      <c r="N32" s="652"/>
      <c r="O32" s="652"/>
      <c r="P32" s="652"/>
      <c r="Q32" s="587" t="str">
        <f>VLOOKUP("Confirmed by :",tableauTraductions,LangueColonne)</f>
        <v>Confirmed by :</v>
      </c>
      <c r="R32" s="68"/>
      <c r="S32" s="68"/>
      <c r="T32" s="68"/>
      <c r="U32" s="68"/>
      <c r="V32" s="69"/>
      <c r="W32" s="653"/>
      <c r="X32" s="653"/>
      <c r="Y32" s="653"/>
      <c r="Z32" s="654"/>
      <c r="AA32" s="70"/>
      <c r="AB32" s="1"/>
      <c r="AC32" s="1"/>
      <c r="AD32" s="1"/>
      <c r="AE32" s="1"/>
      <c r="AF32" s="1"/>
      <c r="AG32" s="1"/>
      <c r="AH32" s="1"/>
      <c r="AI32" s="1"/>
      <c r="AJ32" s="1"/>
      <c r="AK32" s="1"/>
      <c r="AL32" s="1"/>
      <c r="AM32" s="1"/>
      <c r="AN32" s="1"/>
      <c r="AO32" s="1"/>
      <c r="AP32" s="1"/>
      <c r="AQ32" s="1"/>
      <c r="AR32" s="1"/>
      <c r="AS32" s="1"/>
      <c r="AT32" s="1"/>
      <c r="AU32" s="1"/>
      <c r="AV32" s="1"/>
      <c r="AW32" s="1"/>
      <c r="AX32" s="1"/>
      <c r="AY32" s="1"/>
    </row>
    <row r="33" spans="8:26" ht="68.099999999999994" customHeight="1">
      <c r="H33" s="643" t="str">
        <f>IF(LangueColonne=1,CONCATENATE("Fax : +1 (418) 323-2123     Tél : +1 (418) 323-2455     Email :  order@granitedrc.com
100$ will be charged for preparation of shipping documents and customs clearance of each delivery","
50% of initial price per piece will be added in case of replacement on same project"),CONCATENATE("Fax: +1 (418) 323-2123          Tél: +1 (418) 323-2455          Courriel:  commande@granitedrc.com","
Les prix indiqués sont hors taxes; 50% seront ajouté au prix initial de chaque pièce dans l'éventualité d'un remplacement"))</f>
        <v>Fax : +1 (418) 323-2123     Tél : +1 (418) 323-2455     Email :  order@granitedrc.com
100$ will be charged for preparation of shipping documents and customs clearance of each delivery
50% of initial price per piece will be added in case of replacement on same project</v>
      </c>
      <c r="I33" s="643"/>
      <c r="J33" s="643"/>
      <c r="K33" s="643"/>
      <c r="L33" s="643"/>
      <c r="M33" s="643"/>
      <c r="N33" s="643"/>
      <c r="O33" s="643"/>
      <c r="P33" s="643"/>
      <c r="Q33" s="643"/>
      <c r="R33" s="643"/>
      <c r="S33" s="643"/>
      <c r="T33" s="643"/>
      <c r="U33" s="643"/>
      <c r="V33" s="71"/>
      <c r="W33" s="71"/>
    </row>
    <row r="34" spans="8:26" ht="18.75" customHeight="1">
      <c r="H34" s="72" t="str">
        <f>CONCATENATE("Par / By:","    ",cotationEmetteur)</f>
        <v>Par / By:    CN=Stanislas Tardy/O=SOPRA</v>
      </c>
      <c r="I34" s="73"/>
      <c r="J34" s="73"/>
      <c r="K34" s="72"/>
      <c r="L34" s="73"/>
      <c r="M34" s="73"/>
      <c r="N34" s="74"/>
      <c r="O34" s="107"/>
      <c r="P34" s="74"/>
      <c r="Q34" s="88">
        <f>cotationValideur</f>
        <v>0</v>
      </c>
      <c r="R34" s="75"/>
      <c r="S34" s="73"/>
      <c r="T34" s="73"/>
      <c r="U34" s="76"/>
      <c r="V34" s="77"/>
      <c r="W34" s="77"/>
      <c r="X34" s="73"/>
      <c r="Y34" s="73"/>
      <c r="Z34" s="73"/>
    </row>
    <row r="35" spans="8:26" ht="21.75" customHeight="1">
      <c r="H35" s="29"/>
      <c r="I35" s="7"/>
      <c r="J35" s="7"/>
      <c r="K35" s="30"/>
      <c r="L35" s="31"/>
      <c r="M35" s="7"/>
      <c r="N35" s="32"/>
      <c r="O35" s="32"/>
      <c r="P35" s="32"/>
      <c r="Q35" s="7"/>
      <c r="R35" s="33"/>
      <c r="S35" s="7"/>
      <c r="T35" s="7"/>
      <c r="U35" s="34"/>
      <c r="V35" s="35"/>
      <c r="W35" s="35"/>
      <c r="X35" s="7"/>
      <c r="Y35" s="7"/>
      <c r="Z35" s="7"/>
    </row>
    <row r="36" spans="8:26">
      <c r="J36" s="2"/>
      <c r="L36" s="15"/>
      <c r="N36" s="3"/>
      <c r="O36" s="3"/>
      <c r="P36" s="3"/>
      <c r="R36" s="16"/>
      <c r="U36" s="78"/>
      <c r="V36" s="79"/>
      <c r="W36" s="79"/>
    </row>
    <row r="53" spans="13:14">
      <c r="M53"/>
    </row>
    <row r="59" spans="13:14">
      <c r="N59"/>
    </row>
    <row r="60" spans="13:14">
      <c r="M60"/>
      <c r="N60"/>
    </row>
    <row r="61" spans="13:14">
      <c r="M61"/>
      <c r="N61"/>
    </row>
    <row r="62" spans="13:14">
      <c r="N62"/>
    </row>
    <row r="63" spans="13:14">
      <c r="N63"/>
    </row>
    <row r="64" spans="13:14">
      <c r="N64"/>
    </row>
  </sheetData>
  <mergeCells count="40">
    <mergeCell ref="AG8:AH8"/>
    <mergeCell ref="AJ8:AK8"/>
    <mergeCell ref="H25:J25"/>
    <mergeCell ref="H21:J21"/>
    <mergeCell ref="Q25:X25"/>
    <mergeCell ref="W17:X17"/>
    <mergeCell ref="Q26:X26"/>
    <mergeCell ref="H33:U33"/>
    <mergeCell ref="H22:J22"/>
    <mergeCell ref="H29:Z29"/>
    <mergeCell ref="H30:Z30"/>
    <mergeCell ref="H23:J23"/>
    <mergeCell ref="H24:J24"/>
    <mergeCell ref="K32:P32"/>
    <mergeCell ref="W32:Z32"/>
    <mergeCell ref="K23:W23"/>
    <mergeCell ref="K22:W22"/>
    <mergeCell ref="K24:W24"/>
    <mergeCell ref="U2:Z2"/>
    <mergeCell ref="AC2:AE2"/>
    <mergeCell ref="AB7:AC7"/>
    <mergeCell ref="AB6:AC6"/>
    <mergeCell ref="W16:X16"/>
    <mergeCell ref="AB9:AC9"/>
    <mergeCell ref="BA5:BB5"/>
    <mergeCell ref="BD5:BE5"/>
    <mergeCell ref="H19:Z19"/>
    <mergeCell ref="U1:Z1"/>
    <mergeCell ref="U3:Z3"/>
    <mergeCell ref="U5:Z5"/>
    <mergeCell ref="N3:Q3"/>
    <mergeCell ref="AF3:AH3"/>
    <mergeCell ref="AI2:AZ2"/>
    <mergeCell ref="AI3:AZ3"/>
    <mergeCell ref="AG9:AH10"/>
    <mergeCell ref="AG2:AH2"/>
    <mergeCell ref="AG6:AH6"/>
    <mergeCell ref="AG7:AH7"/>
    <mergeCell ref="AI11:AI12"/>
    <mergeCell ref="AB8:AC8"/>
  </mergeCells>
  <phoneticPr fontId="2" type="noConversion"/>
  <conditionalFormatting sqref="AB2:AB3 N15:P17">
    <cfRule type="cellIs" dxfId="38" priority="31" stopIfTrue="1" operator="equal">
      <formula>1</formula>
    </cfRule>
  </conditionalFormatting>
  <conditionalFormatting sqref="AJ13 AJ15:AJ17">
    <cfRule type="cellIs" dxfId="37" priority="14" stopIfTrue="1" operator="greaterThan">
      <formula>0</formula>
    </cfRule>
  </conditionalFormatting>
  <conditionalFormatting sqref="AK13 AK15:AK17">
    <cfRule type="cellIs" dxfId="36" priority="16" stopIfTrue="1" operator="greaterThan">
      <formula>0</formula>
    </cfRule>
  </conditionalFormatting>
  <conditionalFormatting sqref="AL13 AL15:AL17">
    <cfRule type="cellIs" dxfId="35" priority="15" stopIfTrue="1" operator="greaterThan">
      <formula>0</formula>
    </cfRule>
  </conditionalFormatting>
  <conditionalFormatting sqref="AM13 AM15:AM17">
    <cfRule type="cellIs" dxfId="34" priority="13" stopIfTrue="1" operator="greaterThan">
      <formula>0</formula>
    </cfRule>
  </conditionalFormatting>
  <conditionalFormatting sqref="AN13 AN15:AN17">
    <cfRule type="cellIs" dxfId="33" priority="12" stopIfTrue="1" operator="greaterThan">
      <formula>0</formula>
    </cfRule>
  </conditionalFormatting>
  <conditionalFormatting sqref="AO13 AO15:AO17">
    <cfRule type="cellIs" dxfId="32" priority="11" stopIfTrue="1" operator="greaterThan">
      <formula>0</formula>
    </cfRule>
  </conditionalFormatting>
  <conditionalFormatting sqref="AP13 AP15:AP17">
    <cfRule type="cellIs" dxfId="31" priority="9" stopIfTrue="1" operator="greaterThan">
      <formula>0</formula>
    </cfRule>
  </conditionalFormatting>
  <conditionalFormatting sqref="AQ13 AQ15:AQ17">
    <cfRule type="cellIs" dxfId="30" priority="10" stopIfTrue="1" operator="greaterThan">
      <formula>0</formula>
    </cfRule>
  </conditionalFormatting>
  <dataValidations disablePrompts="1" xWindow="1955" yWindow="436" count="2">
    <dataValidation type="list" allowBlank="1" showInputMessage="1" showErrorMessage="1" sqref="K21" xr:uid="{00000000-0002-0000-0200-000000000000}">
      <formula1>IF(LangueColonne=2,Devise.Libelle.fr,Devise.Libelle.en)</formula1>
    </dataValidation>
    <dataValidation type="list" allowBlank="1" showInputMessage="1" showErrorMessage="1" sqref="X13" xr:uid="{00000000-0002-0000-0200-000001000000}">
      <formula1>IF(LangueColonne=2,ListeUnite.fr,ListeUnite.en)</formula1>
    </dataValidation>
  </dataValidations>
  <printOptions horizontalCentered="1"/>
  <pageMargins left="0.16141732283464566" right="0.16141732283464566" top="0.24015748031496062" bottom="0.31102362204724415" header="0.11811023622047245" footer="0.16141732283464566"/>
  <pageSetup paperSize="122" scale="48" orientation="portrait" r:id="rId1"/>
  <headerFooter alignWithMargins="0">
    <oddHeader>&amp;R&amp;G</oddHeader>
    <oddFooter>&amp;L&amp;8&amp;F&amp;C&amp;D&amp;Rpage &amp;P de &amp;N</oddFooter>
  </headerFooter>
  <ignoredErrors>
    <ignoredError sqref="J7" unlockedFormula="1"/>
    <ignoredError sqref="AP15" formula="1"/>
  </ignoredErrors>
  <drawing r:id="rId2"/>
  <legacyDrawing r:id="rId3"/>
  <legacyDrawingHF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dimension ref="A1:DJ24"/>
  <sheetViews>
    <sheetView zoomScale="80" zoomScaleNormal="80" workbookViewId="0">
      <selection activeCell="J8" sqref="J8"/>
    </sheetView>
  </sheetViews>
  <sheetFormatPr baseColWidth="10" defaultColWidth="11.42578125" defaultRowHeight="12.75" outlineLevelCol="1"/>
  <cols>
    <col min="1" max="1" width="8.28515625" style="43" customWidth="1"/>
    <col min="2" max="2" width="10.28515625" style="43" customWidth="1"/>
    <col min="3" max="3" width="11.85546875" style="43" customWidth="1"/>
    <col min="4" max="4" width="22.42578125" style="43" customWidth="1"/>
    <col min="5" max="7" width="14" style="43" customWidth="1"/>
    <col min="8" max="9" width="10.140625" style="43" customWidth="1"/>
    <col min="10" max="10" width="11.28515625" style="43" customWidth="1"/>
    <col min="11" max="11" width="14.42578125" style="43" customWidth="1"/>
    <col min="12" max="13" width="11.7109375" style="43" customWidth="1"/>
    <col min="14" max="14" width="10.42578125" style="43" customWidth="1"/>
    <col min="15" max="15" width="10.7109375" style="43" customWidth="1"/>
    <col min="16" max="21" width="9.140625" style="43" customWidth="1"/>
    <col min="22" max="22" width="12.7109375" style="43" customWidth="1"/>
    <col min="23" max="23" width="10.42578125" style="43" customWidth="1"/>
    <col min="24" max="24" width="9.140625" style="43" customWidth="1"/>
    <col min="25" max="25" width="10.42578125" style="43" customWidth="1"/>
    <col min="26" max="27" width="12.28515625" style="43" hidden="1" customWidth="1" outlineLevel="1"/>
    <col min="28" max="28" width="9.140625" style="43" hidden="1" customWidth="1" outlineLevel="1"/>
    <col min="29" max="29" width="10.85546875" style="43" hidden="1" customWidth="1" outlineLevel="1"/>
    <col min="30" max="30" width="9.140625" style="43" hidden="1" customWidth="1" outlineLevel="1"/>
    <col min="31" max="37" width="9.42578125" style="43" hidden="1" customWidth="1" outlineLevel="1"/>
    <col min="38" max="38" width="9.85546875" style="43" bestFit="1" customWidth="1" collapsed="1"/>
    <col min="39" max="39" width="10.42578125" style="43" customWidth="1"/>
    <col min="40" max="40" width="12.42578125" style="43" customWidth="1"/>
    <col min="41" max="41" width="13.42578125" style="43" customWidth="1"/>
    <col min="42" max="43" width="11.42578125" style="43"/>
    <col min="44" max="44" width="13.140625" style="43" customWidth="1"/>
    <col min="45" max="46" width="14.140625" style="43" customWidth="1"/>
    <col min="47" max="47" width="12.7109375" style="43" customWidth="1"/>
    <col min="48" max="49" width="11.7109375" style="43" customWidth="1"/>
    <col min="50" max="50" width="13" style="43" customWidth="1"/>
    <col min="51" max="52" width="10.42578125" style="43" customWidth="1"/>
    <col min="53" max="53" width="9.140625" style="43" customWidth="1"/>
    <col min="54" max="54" width="11.7109375" style="43" bestFit="1" customWidth="1"/>
    <col min="55" max="56" width="11.42578125" style="43"/>
    <col min="57" max="59" width="11.28515625" style="43" hidden="1" customWidth="1" outlineLevel="1"/>
    <col min="60" max="60" width="13" style="43" hidden="1" customWidth="1" outlineLevel="1"/>
    <col min="61" max="61" width="11.28515625" style="43" hidden="1" customWidth="1" outlineLevel="1"/>
    <col min="62" max="62" width="10.42578125" style="43" hidden="1" customWidth="1" outlineLevel="1"/>
    <col min="63" max="63" width="12.140625" style="43" hidden="1" customWidth="1" outlineLevel="1"/>
    <col min="64" max="64" width="10.42578125" style="43" hidden="1" customWidth="1" outlineLevel="1"/>
    <col min="65" max="65" width="13.85546875" style="43" hidden="1" customWidth="1" outlineLevel="1"/>
    <col min="66" max="66" width="14.42578125" style="43" hidden="1" customWidth="1" outlineLevel="1"/>
    <col min="67" max="67" width="16.140625" style="43" customWidth="1" collapsed="1"/>
    <col min="68" max="68" width="14.42578125" style="43" bestFit="1" customWidth="1"/>
    <col min="69" max="74" width="11.42578125" style="43"/>
    <col min="75" max="75" width="25.85546875" style="43" customWidth="1"/>
    <col min="76" max="76" width="13.140625" style="43" customWidth="1"/>
    <col min="77" max="77" width="17" style="43" customWidth="1"/>
    <col min="78" max="78" width="24.42578125" style="43" customWidth="1"/>
    <col min="79" max="79" width="19.140625" style="43" customWidth="1"/>
    <col min="80" max="80" width="14.85546875" style="43" customWidth="1"/>
    <col min="81" max="81" width="12.7109375" style="43" customWidth="1"/>
    <col min="82" max="82" width="18.42578125" style="43" customWidth="1"/>
    <col min="83" max="85" width="14" style="43" customWidth="1"/>
    <col min="86" max="86" width="22.28515625" style="43" customWidth="1"/>
    <col min="87" max="87" width="22.28515625" style="94" customWidth="1"/>
    <col min="88" max="88" width="21.28515625" style="94" customWidth="1"/>
    <col min="89" max="89" width="11.42578125" style="43"/>
    <col min="90" max="97" width="16.7109375" style="43" customWidth="1"/>
    <col min="98" max="98" width="11.42578125" style="43"/>
    <col min="99" max="101" width="13.42578125" style="43" hidden="1" customWidth="1" outlineLevel="1"/>
    <col min="102" max="102" width="0" style="43" hidden="1" customWidth="1" outlineLevel="1"/>
    <col min="103" max="104" width="12.7109375" style="43" hidden="1" customWidth="1" outlineLevel="1"/>
    <col min="105" max="105" width="13" style="43" hidden="1" customWidth="1" outlineLevel="1"/>
    <col min="106" max="106" width="0" style="43" hidden="1" customWidth="1" outlineLevel="1"/>
    <col min="107" max="108" width="12.7109375" style="43" hidden="1" customWidth="1" outlineLevel="1"/>
    <col min="109" max="109" width="13" style="43" hidden="1" customWidth="1" outlineLevel="1"/>
    <col min="110" max="113" width="0" style="43" hidden="1" customWidth="1" outlineLevel="1"/>
    <col min="114" max="114" width="11.42578125" style="43" collapsed="1"/>
    <col min="115" max="16384" width="11.42578125" style="43"/>
  </cols>
  <sheetData>
    <row r="1" spans="1:113" ht="14.25">
      <c r="G1" s="43" t="s">
        <v>120</v>
      </c>
      <c r="H1" s="43" t="s">
        <v>121</v>
      </c>
      <c r="I1" s="43" t="s">
        <v>122</v>
      </c>
      <c r="J1" s="43" t="s">
        <v>60</v>
      </c>
      <c r="K1" s="43" t="s">
        <v>123</v>
      </c>
      <c r="O1" s="43" t="s">
        <v>117</v>
      </c>
      <c r="BS1" s="126" t="s">
        <v>174</v>
      </c>
      <c r="BT1" s="126"/>
      <c r="BX1" s="89"/>
      <c r="BY1" s="90" t="str">
        <f>Incoterm</f>
        <v>Ex Works</v>
      </c>
      <c r="BZ1" s="91">
        <v>2500</v>
      </c>
      <c r="CB1" s="112" t="s">
        <v>105</v>
      </c>
      <c r="CC1" s="113"/>
      <c r="CD1" s="125">
        <v>45000</v>
      </c>
    </row>
    <row r="2" spans="1:113" ht="26.25" customHeight="1">
      <c r="E2" s="44"/>
      <c r="G2" s="43" t="s">
        <v>175</v>
      </c>
      <c r="H2" s="44">
        <v>220</v>
      </c>
      <c r="J2" s="64"/>
      <c r="K2" s="65">
        <f>H2*(1+J2)/IF(I2="pi3",1,35.3)</f>
        <v>6.2322946175637401</v>
      </c>
      <c r="L2" s="84"/>
      <c r="M2" s="84"/>
      <c r="Q2" s="45"/>
      <c r="R2" s="45"/>
      <c r="S2" s="45"/>
      <c r="T2" s="45"/>
      <c r="U2" s="45"/>
      <c r="V2" s="45"/>
      <c r="W2" s="45"/>
      <c r="X2" s="45"/>
      <c r="Y2" s="45"/>
      <c r="Z2" s="45"/>
      <c r="AA2" s="45"/>
      <c r="AB2" s="45"/>
      <c r="AC2" s="45"/>
      <c r="AD2" s="45"/>
      <c r="AE2" s="46"/>
      <c r="AF2" s="46"/>
      <c r="AG2" s="46"/>
      <c r="AH2" s="46"/>
      <c r="AI2" s="46"/>
      <c r="AJ2" s="46"/>
      <c r="AK2" s="46"/>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8"/>
      <c r="BP2" s="49"/>
      <c r="BQ2" s="49"/>
      <c r="BX2" s="92"/>
      <c r="BY2" s="93" t="s">
        <v>137</v>
      </c>
      <c r="BZ2" s="121">
        <f>+CD2/CD4</f>
        <v>1680</v>
      </c>
      <c r="CA2" s="94"/>
      <c r="CB2" s="114" t="s">
        <v>166</v>
      </c>
      <c r="CD2" s="115">
        <f>PoidTotal</f>
        <v>1680</v>
      </c>
    </row>
    <row r="3" spans="1:113" ht="20.25" customHeight="1">
      <c r="E3" s="44"/>
      <c r="G3" s="43" t="str">
        <f>CONCATENATE(G2," (",H2,"/",I2," ) +",TEXT(J2,"00%")," perte")</f>
        <v>Modele couleur (220/ ) +00% perte</v>
      </c>
      <c r="H3" s="50" t="str">
        <f>CONCATENATE(Couleur," (",Prix,"/",Unite," ) +",TEXT(perte,"00%")," perte")</f>
        <v>Modele couleur (220/ ) +00% perte</v>
      </c>
      <c r="J3" s="51"/>
      <c r="K3" s="51"/>
      <c r="L3" s="51"/>
      <c r="M3" s="51"/>
      <c r="N3" s="51"/>
      <c r="O3" s="51"/>
      <c r="P3" s="51"/>
      <c r="Q3" s="51"/>
      <c r="R3" s="51"/>
      <c r="S3" s="51"/>
      <c r="T3" s="51"/>
      <c r="U3" s="51"/>
      <c r="V3" s="51"/>
      <c r="W3" s="51"/>
      <c r="X3" s="51"/>
      <c r="Y3" s="51"/>
      <c r="Z3" s="51"/>
      <c r="AA3" s="51"/>
      <c r="AB3" s="51"/>
      <c r="AC3" s="51"/>
      <c r="AD3" s="51"/>
      <c r="AE3" s="46"/>
      <c r="AF3" s="46"/>
      <c r="AG3" s="46"/>
      <c r="AH3" s="46"/>
      <c r="AI3" s="46"/>
      <c r="AJ3" s="46"/>
      <c r="AK3" s="46"/>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8"/>
      <c r="BP3" s="49"/>
      <c r="BQ3" s="49"/>
      <c r="BX3" s="92"/>
      <c r="BY3" s="93" t="s">
        <v>138</v>
      </c>
      <c r="BZ3" s="122">
        <v>180</v>
      </c>
      <c r="CA3" s="95"/>
      <c r="CB3" s="116" t="s">
        <v>79</v>
      </c>
      <c r="CD3" s="117">
        <f>+CD2/CD1</f>
        <v>3.7333333333333336E-2</v>
      </c>
    </row>
    <row r="4" spans="1:113" ht="20.25" customHeight="1" thickBot="1">
      <c r="E4" s="44"/>
      <c r="H4" s="50"/>
      <c r="J4" s="51"/>
      <c r="K4" s="51"/>
      <c r="L4" s="51"/>
      <c r="M4" s="51"/>
      <c r="N4" s="51"/>
      <c r="O4" s="51"/>
      <c r="P4" s="51"/>
      <c r="Q4" s="51"/>
      <c r="R4" s="51"/>
      <c r="S4" s="51"/>
      <c r="T4" s="51"/>
      <c r="U4" s="51"/>
      <c r="V4" s="51"/>
      <c r="W4" s="51"/>
      <c r="X4" s="51"/>
      <c r="Y4" s="51"/>
      <c r="Z4" s="51"/>
      <c r="AA4" s="51"/>
      <c r="AB4" s="51"/>
      <c r="AC4" s="51"/>
      <c r="AD4" s="51"/>
      <c r="AE4" s="46"/>
      <c r="AF4" s="46"/>
      <c r="AG4" s="46"/>
      <c r="AH4" s="46"/>
      <c r="AI4" s="46"/>
      <c r="AJ4" s="46"/>
      <c r="AK4" s="46"/>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8"/>
      <c r="BP4" s="49"/>
      <c r="BQ4" s="49"/>
      <c r="BX4" s="92"/>
      <c r="BY4" s="96" t="s">
        <v>304</v>
      </c>
      <c r="BZ4" s="123">
        <f>BZ2/BZ3</f>
        <v>9.3333333333333339</v>
      </c>
      <c r="CA4" s="97"/>
      <c r="CB4" s="118" t="s">
        <v>74</v>
      </c>
      <c r="CC4" s="119"/>
      <c r="CD4" s="120">
        <f>INT(CD3+1)</f>
        <v>1</v>
      </c>
      <c r="CM4" s="482"/>
      <c r="CN4" s="482"/>
      <c r="CO4" s="482"/>
      <c r="CP4" s="482"/>
      <c r="CQ4" s="482"/>
    </row>
    <row r="5" spans="1:113" ht="24.75" customHeight="1" thickBot="1">
      <c r="I5" s="52" t="s">
        <v>34</v>
      </c>
      <c r="AN5" s="61"/>
      <c r="AO5" s="61"/>
      <c r="AP5" s="61"/>
      <c r="AQ5" s="61"/>
      <c r="AR5" s="61"/>
      <c r="AS5" s="53"/>
      <c r="AT5" s="53"/>
      <c r="AU5" s="53"/>
      <c r="AV5" s="53"/>
      <c r="AW5" s="53"/>
      <c r="AX5" s="53"/>
      <c r="AY5" s="53"/>
      <c r="AZ5" s="53"/>
      <c r="BA5" s="53"/>
      <c r="BB5" s="53"/>
      <c r="BC5" s="53"/>
      <c r="BD5" s="53"/>
      <c r="BE5" s="53"/>
      <c r="BF5" s="53"/>
      <c r="BG5" s="53"/>
      <c r="BH5" s="53"/>
      <c r="BI5" s="53"/>
      <c r="BW5" s="561" t="s">
        <v>475</v>
      </c>
      <c r="BX5" s="98"/>
      <c r="BY5" s="99" t="s">
        <v>214</v>
      </c>
      <c r="BZ5" s="124">
        <f>BZ1/BZ4*1.1</f>
        <v>294.64285714285717</v>
      </c>
      <c r="CC5" s="416" t="s">
        <v>391</v>
      </c>
      <c r="CD5" s="416" t="s">
        <v>391</v>
      </c>
      <c r="CE5" s="544" t="s">
        <v>391</v>
      </c>
      <c r="CF5" s="663" t="s">
        <v>466</v>
      </c>
      <c r="CG5" s="664"/>
      <c r="CH5" s="546"/>
      <c r="CI5" s="546"/>
      <c r="CM5" s="480"/>
      <c r="CN5" s="480"/>
    </row>
    <row r="6" spans="1:113" ht="39.75" customHeight="1" thickBot="1">
      <c r="E6" s="54"/>
      <c r="F6" s="54"/>
      <c r="G6" s="54"/>
      <c r="H6" s="445" t="s">
        <v>10</v>
      </c>
      <c r="I6" s="446" t="s">
        <v>250</v>
      </c>
      <c r="J6" s="448" t="s">
        <v>142</v>
      </c>
      <c r="K6" s="441" t="s">
        <v>352</v>
      </c>
      <c r="L6" s="442" t="s">
        <v>355</v>
      </c>
      <c r="M6" s="449" t="s">
        <v>356</v>
      </c>
      <c r="N6" s="434" t="s">
        <v>485</v>
      </c>
      <c r="O6" s="450" t="s">
        <v>357</v>
      </c>
      <c r="P6" s="424" t="s">
        <v>405</v>
      </c>
      <c r="Q6" s="421" t="s">
        <v>406</v>
      </c>
      <c r="R6" s="450" t="s">
        <v>353</v>
      </c>
      <c r="S6" s="450" t="s">
        <v>354</v>
      </c>
      <c r="T6" s="427" t="s">
        <v>48</v>
      </c>
      <c r="U6" s="430" t="s">
        <v>135</v>
      </c>
      <c r="V6" s="451" t="s">
        <v>301</v>
      </c>
      <c r="W6" s="449" t="s">
        <v>350</v>
      </c>
      <c r="X6" s="430" t="s">
        <v>39</v>
      </c>
      <c r="Y6" s="452" t="s">
        <v>349</v>
      </c>
      <c r="Z6" s="443" t="s">
        <v>348</v>
      </c>
      <c r="AA6" s="436" t="s">
        <v>347</v>
      </c>
      <c r="AB6" s="424" t="s">
        <v>370</v>
      </c>
      <c r="AC6" s="424" t="s">
        <v>369</v>
      </c>
      <c r="AD6" s="432" t="s">
        <v>295</v>
      </c>
      <c r="AE6" s="432" t="s">
        <v>18</v>
      </c>
      <c r="AF6" s="424" t="s">
        <v>385</v>
      </c>
      <c r="AG6" s="442" t="s">
        <v>380</v>
      </c>
      <c r="AH6" s="442" t="s">
        <v>386</v>
      </c>
      <c r="AI6" s="436" t="s">
        <v>387</v>
      </c>
      <c r="AJ6" s="360" t="s">
        <v>407</v>
      </c>
      <c r="AK6" s="422" t="s">
        <v>389</v>
      </c>
      <c r="AL6" s="444" t="s">
        <v>11</v>
      </c>
      <c r="AM6" s="417" t="s">
        <v>250</v>
      </c>
      <c r="AN6" s="447" t="s">
        <v>142</v>
      </c>
      <c r="AO6" s="433" t="str">
        <f>+K6</f>
        <v>sciage secondaire supplémentaire</v>
      </c>
      <c r="AP6" s="434" t="str">
        <f>+L6</f>
        <v>Usinage au Pi2</v>
      </c>
      <c r="AQ6" s="430" t="str">
        <f t="shared" ref="AQ6:AV6" si="0">+M6</f>
        <v>Usinage au Pi2 #2</v>
      </c>
      <c r="AR6" s="434" t="str">
        <f t="shared" si="0"/>
        <v>Calcul temps machine</v>
      </c>
      <c r="AS6" s="430" t="str">
        <f t="shared" si="0"/>
        <v>Calcul temps #2</v>
      </c>
      <c r="AT6" s="421" t="str">
        <f t="shared" si="0"/>
        <v>Trou 1</v>
      </c>
      <c r="AU6" s="421" t="str">
        <f t="shared" si="0"/>
        <v>Trou 2</v>
      </c>
      <c r="AV6" s="430" t="str">
        <f t="shared" si="0"/>
        <v>Rockface</v>
      </c>
      <c r="AW6" s="428" t="str">
        <f t="shared" ref="AW6:BC6" si="1">+S6</f>
        <v>Split</v>
      </c>
      <c r="AX6" s="427" t="str">
        <f t="shared" si="1"/>
        <v>Finition Dessus Auto</v>
      </c>
      <c r="AY6" s="428" t="str">
        <f t="shared" si="1"/>
        <v>Finition Dessus Manu</v>
      </c>
      <c r="AZ6" s="428" t="str">
        <f t="shared" si="1"/>
        <v>Finition Coté Manu 1</v>
      </c>
      <c r="BA6" s="428" t="str">
        <f t="shared" si="1"/>
        <v>ou ? fintion Manu 1</v>
      </c>
      <c r="BB6" s="428" t="str">
        <f t="shared" si="1"/>
        <v>Finition Coté Manu 2</v>
      </c>
      <c r="BC6" s="429" t="str">
        <f t="shared" si="1"/>
        <v>ou ? fintion Manu 2</v>
      </c>
      <c r="BD6" s="557" t="s">
        <v>473</v>
      </c>
      <c r="BE6" s="556" t="str">
        <f>+Z6</f>
        <v>Chanfrein</v>
      </c>
      <c r="BF6" s="435" t="str">
        <f>+AA6</f>
        <v>ou ? Chanfrein</v>
      </c>
      <c r="BG6" s="423" t="s">
        <v>373</v>
      </c>
      <c r="BH6" s="432" t="str">
        <f>+AC6</f>
        <v>Longueur slot</v>
      </c>
      <c r="BI6" s="424" t="s">
        <v>351</v>
      </c>
      <c r="BJ6" s="424" t="s">
        <v>378</v>
      </c>
      <c r="BK6" s="436" t="str">
        <f>AG6</f>
        <v>Encoche</v>
      </c>
      <c r="BL6" s="436" t="str">
        <f>AH6</f>
        <v>Largeur encoche</v>
      </c>
      <c r="BM6" s="359" t="str">
        <f>AJ6</f>
        <v>Libre 1</v>
      </c>
      <c r="BN6" s="422" t="str">
        <f>AK6</f>
        <v>Libre 2</v>
      </c>
      <c r="BO6" s="409" t="s">
        <v>112</v>
      </c>
      <c r="BP6" s="425" t="s">
        <v>59</v>
      </c>
      <c r="BQ6" s="401" t="s">
        <v>330</v>
      </c>
      <c r="BR6" s="218" t="s">
        <v>308</v>
      </c>
      <c r="BS6" s="218" t="s">
        <v>26</v>
      </c>
      <c r="BW6" s="560">
        <f ca="1">Total</f>
        <v>437.5</v>
      </c>
      <c r="BX6" s="94"/>
      <c r="BZ6" s="100" t="s">
        <v>145</v>
      </c>
      <c r="CA6" s="177" t="s">
        <v>99</v>
      </c>
      <c r="CB6" s="217">
        <f>+CD4*BZ1</f>
        <v>2500</v>
      </c>
      <c r="CC6" s="178">
        <f>SUM(CC8:CC300)</f>
        <v>412.48</v>
      </c>
      <c r="CD6" s="179">
        <f>SUM(CD8:CD300)</f>
        <v>3162.5</v>
      </c>
      <c r="CE6" s="545">
        <f>SUM(CE8:CE300)</f>
        <v>2750.02</v>
      </c>
      <c r="CF6" s="672">
        <f>+CE6-CB6</f>
        <v>250.01999999999998</v>
      </c>
      <c r="CG6" s="673"/>
      <c r="CH6" s="548" t="s">
        <v>487</v>
      </c>
      <c r="CI6" s="548" t="s">
        <v>464</v>
      </c>
      <c r="CL6" s="431" t="s">
        <v>399</v>
      </c>
      <c r="CM6" s="418" t="s">
        <v>362</v>
      </c>
      <c r="CN6" s="477" t="s">
        <v>400</v>
      </c>
      <c r="CO6" s="437" t="s">
        <v>403</v>
      </c>
      <c r="CP6" s="478" t="s">
        <v>402</v>
      </c>
      <c r="CQ6" s="476" t="s">
        <v>401</v>
      </c>
      <c r="CR6" s="479" t="s">
        <v>61</v>
      </c>
      <c r="CS6" s="481" t="s">
        <v>398</v>
      </c>
      <c r="CU6" s="483" t="s">
        <v>395</v>
      </c>
      <c r="CV6" s="484" t="s">
        <v>396</v>
      </c>
      <c r="CW6" s="485" t="s">
        <v>397</v>
      </c>
      <c r="CY6" s="665" t="s">
        <v>395</v>
      </c>
      <c r="CZ6" s="666"/>
      <c r="DA6" s="666"/>
      <c r="DC6" s="667" t="s">
        <v>396</v>
      </c>
      <c r="DD6" s="668"/>
      <c r="DE6" s="668"/>
      <c r="DG6" s="669" t="s">
        <v>397</v>
      </c>
      <c r="DH6" s="670"/>
      <c r="DI6" s="670"/>
    </row>
    <row r="7" spans="1:113" s="101" customFormat="1" ht="36" customHeight="1" thickBot="1">
      <c r="A7" s="101" t="s">
        <v>242</v>
      </c>
      <c r="B7" s="101" t="s">
        <v>95</v>
      </c>
      <c r="C7" s="101" t="s">
        <v>96</v>
      </c>
      <c r="D7" s="101" t="s">
        <v>97</v>
      </c>
      <c r="E7" s="155" t="s">
        <v>107</v>
      </c>
      <c r="F7" s="155" t="s">
        <v>111</v>
      </c>
      <c r="G7" s="155" t="s">
        <v>108</v>
      </c>
      <c r="H7" s="155" t="s">
        <v>109</v>
      </c>
      <c r="I7" s="155" t="s">
        <v>110</v>
      </c>
      <c r="J7" s="156" t="s">
        <v>110</v>
      </c>
      <c r="K7" s="157" t="s">
        <v>110</v>
      </c>
      <c r="L7" s="155" t="s">
        <v>110</v>
      </c>
      <c r="M7" s="155" t="s">
        <v>110</v>
      </c>
      <c r="N7" s="156" t="s">
        <v>29</v>
      </c>
      <c r="O7" s="156" t="s">
        <v>29</v>
      </c>
      <c r="P7" s="156" t="s">
        <v>35</v>
      </c>
      <c r="Q7" s="155" t="s">
        <v>35</v>
      </c>
      <c r="R7" s="184" t="s">
        <v>245</v>
      </c>
      <c r="S7" s="156" t="s">
        <v>245</v>
      </c>
      <c r="T7" s="411" t="s">
        <v>201</v>
      </c>
      <c r="U7" s="155" t="s">
        <v>201</v>
      </c>
      <c r="V7" s="184" t="s">
        <v>201</v>
      </c>
      <c r="W7" s="155" t="s">
        <v>201</v>
      </c>
      <c r="X7" s="155" t="s">
        <v>201</v>
      </c>
      <c r="Y7" s="402" t="s">
        <v>201</v>
      </c>
      <c r="Z7" s="184" t="s">
        <v>173</v>
      </c>
      <c r="AA7" s="155" t="s">
        <v>201</v>
      </c>
      <c r="AB7" s="368" t="s">
        <v>368</v>
      </c>
      <c r="AC7" s="156" t="s">
        <v>17</v>
      </c>
      <c r="AD7" s="156" t="s">
        <v>296</v>
      </c>
      <c r="AE7" s="156" t="s">
        <v>17</v>
      </c>
      <c r="AF7" s="156" t="s">
        <v>17</v>
      </c>
      <c r="AG7" s="155" t="s">
        <v>201</v>
      </c>
      <c r="AH7" s="156" t="s">
        <v>17</v>
      </c>
      <c r="AI7" s="156" t="s">
        <v>17</v>
      </c>
      <c r="AJ7" s="438" t="s">
        <v>371</v>
      </c>
      <c r="AK7" s="439" t="s">
        <v>371</v>
      </c>
      <c r="AL7" s="400"/>
      <c r="AM7" s="159">
        <v>3.25</v>
      </c>
      <c r="AN7" s="160">
        <f>'BASE CALCULS '!F18</f>
        <v>3.75</v>
      </c>
      <c r="AO7" s="404">
        <v>10</v>
      </c>
      <c r="AP7" s="160">
        <v>20</v>
      </c>
      <c r="AQ7" s="160">
        <v>8</v>
      </c>
      <c r="AR7" s="161">
        <v>100</v>
      </c>
      <c r="AS7" s="161">
        <v>70</v>
      </c>
      <c r="AT7" s="162">
        <v>7.5</v>
      </c>
      <c r="AU7" s="185">
        <v>15</v>
      </c>
      <c r="AV7" s="163">
        <v>7</v>
      </c>
      <c r="AW7" s="163">
        <v>4</v>
      </c>
      <c r="AX7" s="413" t="s">
        <v>150</v>
      </c>
      <c r="AY7" s="161" t="s">
        <v>136</v>
      </c>
      <c r="AZ7" s="159" t="s">
        <v>302</v>
      </c>
      <c r="BA7" s="159" t="s">
        <v>167</v>
      </c>
      <c r="BB7" s="159" t="s">
        <v>302</v>
      </c>
      <c r="BC7" s="407" t="s">
        <v>167</v>
      </c>
      <c r="BD7" s="558" t="s">
        <v>474</v>
      </c>
      <c r="BE7" s="406" t="s">
        <v>190</v>
      </c>
      <c r="BF7" s="159" t="s">
        <v>167</v>
      </c>
      <c r="BG7" s="369" t="s">
        <v>368</v>
      </c>
      <c r="BH7" s="370" t="s">
        <v>371</v>
      </c>
      <c r="BI7" s="163" t="s">
        <v>19</v>
      </c>
      <c r="BJ7" s="370" t="s">
        <v>379</v>
      </c>
      <c r="BK7" s="369" t="s">
        <v>381</v>
      </c>
      <c r="BL7" s="370" t="s">
        <v>382</v>
      </c>
      <c r="BM7" s="440">
        <v>10</v>
      </c>
      <c r="BN7" s="440">
        <v>20</v>
      </c>
      <c r="BO7" s="158"/>
      <c r="BP7" s="183">
        <v>0.7</v>
      </c>
      <c r="BQ7" s="426"/>
      <c r="BR7" s="101">
        <v>0.95</v>
      </c>
      <c r="BS7" s="142">
        <v>0.95</v>
      </c>
      <c r="BT7" s="164" t="s">
        <v>13</v>
      </c>
      <c r="BU7" s="164" t="s">
        <v>14</v>
      </c>
      <c r="BV7" s="164" t="s">
        <v>130</v>
      </c>
      <c r="BW7" s="543" t="s">
        <v>465</v>
      </c>
      <c r="BX7" s="165"/>
      <c r="BY7" s="101" t="s">
        <v>237</v>
      </c>
      <c r="BZ7" s="166">
        <f>BZ5</f>
        <v>294.64285714285717</v>
      </c>
      <c r="CA7" s="502" t="s">
        <v>463</v>
      </c>
      <c r="CC7" s="155" t="s">
        <v>324</v>
      </c>
      <c r="CD7" s="155" t="s">
        <v>325</v>
      </c>
      <c r="CE7" s="180" t="s">
        <v>326</v>
      </c>
      <c r="CF7" s="547" t="s">
        <v>415</v>
      </c>
      <c r="CG7" s="547" t="s">
        <v>416</v>
      </c>
      <c r="CH7" s="549">
        <f>SUM(CH8:CH300)</f>
        <v>3162.5</v>
      </c>
      <c r="CI7" s="549">
        <f>SUM(CI8:CI300)</f>
        <v>412.5</v>
      </c>
      <c r="CL7" s="419" t="s">
        <v>392</v>
      </c>
      <c r="CM7" s="420" t="s">
        <v>393</v>
      </c>
      <c r="CN7" s="420" t="s">
        <v>394</v>
      </c>
      <c r="CO7" s="420" t="s">
        <v>395</v>
      </c>
      <c r="CP7" s="420" t="s">
        <v>396</v>
      </c>
      <c r="CQ7" s="420" t="s">
        <v>397</v>
      </c>
      <c r="CR7" s="468" t="s">
        <v>62</v>
      </c>
      <c r="CS7" s="468" t="s">
        <v>63</v>
      </c>
      <c r="CU7" s="671" t="s">
        <v>67</v>
      </c>
      <c r="CV7" s="671"/>
      <c r="CW7" s="671"/>
      <c r="CY7" s="486" t="s">
        <v>408</v>
      </c>
      <c r="CZ7" s="486" t="s">
        <v>409</v>
      </c>
      <c r="DA7" s="486" t="s">
        <v>410</v>
      </c>
      <c r="DC7" s="486" t="s">
        <v>408</v>
      </c>
      <c r="DD7" s="486" t="s">
        <v>409</v>
      </c>
      <c r="DE7" s="438" t="s">
        <v>410</v>
      </c>
      <c r="DG7" s="486" t="s">
        <v>408</v>
      </c>
      <c r="DH7" s="486" t="s">
        <v>409</v>
      </c>
      <c r="DI7" s="486" t="s">
        <v>410</v>
      </c>
    </row>
    <row r="8" spans="1:113" s="148" customFormat="1" ht="64.5" customHeight="1" thickTop="1">
      <c r="A8" s="142" t="str">
        <f>+Cotation!H13</f>
        <v>L1</v>
      </c>
      <c r="B8" s="142" t="str">
        <f>+Cotation!J13</f>
        <v>004-1</v>
      </c>
      <c r="C8" s="142">
        <f>Cotation!L13</f>
        <v>1</v>
      </c>
      <c r="D8" s="142" t="str">
        <f>Cotation!Q13</f>
        <v>A renseigner</v>
      </c>
      <c r="E8" s="143">
        <f>IF(Mesure="Impérial",+Cotation!N13,+Cotation!N13/25.4)</f>
        <v>96</v>
      </c>
      <c r="F8" s="143">
        <f>IF(Mesure="Impérial",+Cotation!O13,+Cotation!O13/25.4)</f>
        <v>24</v>
      </c>
      <c r="G8" s="143">
        <f>IF(Mesure="Impérial",+Cotation!P13,+Cotation!P13/25.4)</f>
        <v>7</v>
      </c>
      <c r="H8" s="144">
        <f>E8*F8*G8/1728</f>
        <v>9.3333333333333339</v>
      </c>
      <c r="I8" s="145">
        <f>E8*F8/144*VLOOKUP(G8,tableepaisseur,2)*1.3</f>
        <v>24.035555555555554</v>
      </c>
      <c r="J8" s="181" t="s">
        <v>54</v>
      </c>
      <c r="K8" s="154">
        <v>0</v>
      </c>
      <c r="L8" s="146">
        <v>0</v>
      </c>
      <c r="M8" s="146">
        <v>0</v>
      </c>
      <c r="N8" s="147">
        <v>0</v>
      </c>
      <c r="O8" s="147">
        <v>0</v>
      </c>
      <c r="P8" s="148">
        <v>0</v>
      </c>
      <c r="Q8" s="148">
        <v>0</v>
      </c>
      <c r="R8" s="186">
        <v>0</v>
      </c>
      <c r="S8" s="410">
        <v>0</v>
      </c>
      <c r="T8" s="412" t="s">
        <v>98</v>
      </c>
      <c r="U8" s="375" t="s">
        <v>98</v>
      </c>
      <c r="V8" s="187" t="s">
        <v>98</v>
      </c>
      <c r="W8" s="187" t="s">
        <v>54</v>
      </c>
      <c r="X8" s="189" t="s">
        <v>98</v>
      </c>
      <c r="Y8" s="403" t="s">
        <v>374</v>
      </c>
      <c r="Z8" s="192" t="s">
        <v>162</v>
      </c>
      <c r="AA8" s="193" t="s">
        <v>66</v>
      </c>
      <c r="AB8" s="373" t="s">
        <v>98</v>
      </c>
      <c r="AC8" s="374">
        <v>1</v>
      </c>
      <c r="AD8" s="392" t="s">
        <v>162</v>
      </c>
      <c r="AE8" s="393">
        <v>0.125</v>
      </c>
      <c r="AF8" s="393">
        <v>0.5</v>
      </c>
      <c r="AG8" s="396" t="s">
        <v>98</v>
      </c>
      <c r="AH8" s="397">
        <v>0.25</v>
      </c>
      <c r="AI8" s="398">
        <v>0.25</v>
      </c>
      <c r="AJ8" s="148">
        <v>0</v>
      </c>
      <c r="AK8" s="148">
        <v>0</v>
      </c>
      <c r="AL8" s="149">
        <f>H8*$K$2</f>
        <v>58.168083097261579</v>
      </c>
      <c r="AM8" s="150">
        <f>I8*$AM$7</f>
        <v>78.115555555555545</v>
      </c>
      <c r="AN8" s="405">
        <f>IF(J8="aucun",0,IF(J8="2l1c",(((E8*2)+F8)/12),IF(J8="1l1c",(E8+F8)/12,IF(J8="1l",(E8/12),IF(J8="1l2c",(E8+(F8*2))/12,IF(J8="2l",E8*2/12,IF(J8="2l2c",(E8*2+F8*2)/12,IF(J8="2c",F8*2/12,F8/12)))))))*VLOOKUP(F8,table_secondaire,3)*G8/12)</f>
        <v>43.75</v>
      </c>
      <c r="AO8" s="150">
        <f>K8*$AO$7</f>
        <v>0</v>
      </c>
      <c r="AP8" s="150">
        <f>L8*$AP$7</f>
        <v>0</v>
      </c>
      <c r="AQ8" s="150">
        <f>M8*$AQ$7</f>
        <v>0</v>
      </c>
      <c r="AR8" s="150">
        <f>N8*$AR$7</f>
        <v>0</v>
      </c>
      <c r="AS8" s="275">
        <f>O8*$AS$7</f>
        <v>0</v>
      </c>
      <c r="AT8" s="150">
        <f>P8*$AT$7</f>
        <v>0</v>
      </c>
      <c r="AU8" s="274">
        <f>Q8*$AU$7</f>
        <v>0</v>
      </c>
      <c r="AV8" s="274">
        <f>+$AV$7*R8</f>
        <v>0</v>
      </c>
      <c r="AW8" s="274">
        <f>+$AW$7*S8</f>
        <v>0</v>
      </c>
      <c r="AX8" s="414">
        <f>IF(T8="aucune",0,INDEX(table_fd_auto,MATCH(F8,'BASE CALCULS '!$H$21:$H$120,1),MATCH(T8,'BASE CALCULS '!$J$20:$R$20,0))*E8/12)</f>
        <v>0</v>
      </c>
      <c r="AY8" s="376">
        <f>IF(U8="aucune",0,INDEX(table_fd_manu,MATCH(F8,'BASE CALCULS '!$T$21:$T$120,1),MATCH(U8,'BASE CALCULS '!$V$20:$AD$20,0))*E8/12)</f>
        <v>0</v>
      </c>
      <c r="AZ8" s="188">
        <f>IF(V8="aucune",0,INDEX(table_cot_manu,MATCH(G8,'BASE CALCULS '!$AF$21:$AF$120,1),MATCH(V8,'BASE CALCULS '!$AH$20:$AR$20,0)))*BA8</f>
        <v>0</v>
      </c>
      <c r="BA8" s="191">
        <f>IF(W8="1l",E8/12,IF(W8="1l1c",(E8+F8)/12,IF(W8="1l2c",(E8+F8*2)/12,IF(W8="2l",E8*2/12,IF(W8="2l1c",(E8*2+F8)/12,IF(W8="2l2c",(E8*2+F8*2)/12,IF(W8="2c",F8*2/12,IF(W8="1c",F8/12,0))))))))</f>
        <v>20</v>
      </c>
      <c r="BB8" s="190">
        <f>IF(X8="aucune",0,INDEX(table_cot_manu,MATCH(G8,'BASE CALCULS '!$AF$21:$AF$120,1),MATCH(X8,'BASE CALCULS '!$AH$20:$AR$20,0)))*BC8</f>
        <v>0</v>
      </c>
      <c r="BC8" s="408">
        <f>IF(Y8="1l",E8/12,IF(Y8="1l1c",(E8+F8)/12,IF(Y8="1l2c",(E8+F8*2)/12,IF(Y8="2l",E8*2/12,IF(Y8="2l1c",(E8*2+F8)/12,IF(Y8="2l2c",(E8*2+F8*2)/12,IF(Y8="2c",F8*2/12,IF(Y8="1c",F8/12,0))))))))</f>
        <v>8</v>
      </c>
      <c r="BD8" s="559">
        <f>IF(H8="",0,VLOOKUP(H8,volumepetitetaille,2))</f>
        <v>0</v>
      </c>
      <c r="BE8" s="195">
        <f>IF(Z8="aucun",0,VLOOKUP(Z8,table_chan,2)*BF8)</f>
        <v>0</v>
      </c>
      <c r="BF8" s="194">
        <f>IF(AA8="1l",E8/12,IF(AA8="1l1c",(E8+F8)/12,IF(AA8="1l2c",(E8+F8*2)/12,IF(AA8="2l",E8*2/12,IF(AA8="2l1c",(E8*2+F8)/12,IF(AA8="2l2c",(E8*2+F8*2)/12,IF(AA8="2c",F8*2/12,IF(AA8="1c",F8/12,0))))))))</f>
        <v>16</v>
      </c>
      <c r="BG8" s="372">
        <f>IF(AB8="aucune",0,VLOOKUP(AC8,table_slot,2)*BH8)</f>
        <v>0</v>
      </c>
      <c r="BH8" s="378" t="str">
        <f>AB8</f>
        <v>aucune</v>
      </c>
      <c r="BI8" s="394">
        <f>IF(AD8="aucun",0,AD8*(INDEX(table_trou,MATCH(AF8,'BASE CALCULS '!$BL$21:$BL$36,1),MATCH(AE8,'BASE CALCULS '!$BM$20:$CB$20,1))))</f>
        <v>0</v>
      </c>
      <c r="BJ8" s="395" t="str">
        <f>AD8</f>
        <v>aucun</v>
      </c>
      <c r="BK8" s="376">
        <f>IF(AG8="aucune",0,(INDEX(table_enc,MATCH(AH8,'BASE CALCULS '!$CD$21:$CD$38,1),MATCH(AI8,'BASE CALCULS '!$CF$20:$CU$20,1))))*BL8</f>
        <v>0</v>
      </c>
      <c r="BL8" s="399">
        <f>IF(AG8="1l",E8/12,IF(AG8="1l1c",(E8+F8)/12,IF(AG8="1l2c",(E8+F8*2)/12,IF(AG8="2l",E8*2/12,IF(AG8="2l1c",(E8*2+F8)/12,IF(AG8="2l2c",(E8*2+F8*2)/12,IF(AG8="2c",F8*2/12,IF(AG8="1c",F8/12,0))))))))</f>
        <v>0</v>
      </c>
      <c r="BM8" s="152">
        <f>+AJ8*$BM$7</f>
        <v>0</v>
      </c>
      <c r="BN8" s="152">
        <f>+AK8*$BN$7</f>
        <v>0</v>
      </c>
      <c r="BO8" s="151">
        <f>SUM(AM8:AZ8)+BB8+BD8+BE8+BG8+BI8+BK8+BM8+BN8</f>
        <v>121.86555555555555</v>
      </c>
      <c r="BP8" s="182">
        <f>+$BP$7</f>
        <v>0.7</v>
      </c>
      <c r="BQ8" s="152">
        <f>+BO8/BP8+AL8+(H8*15)</f>
        <v>372.26173389091241</v>
      </c>
      <c r="BR8" s="224">
        <f>BQ8/$BR$7</f>
        <v>391.85445672727622</v>
      </c>
      <c r="BS8" s="224">
        <f>BR8/$BS$7</f>
        <v>412.47837550239603</v>
      </c>
      <c r="BT8" s="167">
        <f>+BS8/(E8*F8*G8/1728)</f>
        <v>44.194111660971004</v>
      </c>
      <c r="BU8" s="169">
        <f>+BS8/(E8*F8/144)</f>
        <v>25.779898468899752</v>
      </c>
      <c r="BV8" s="168">
        <f>+BS8/(E8/12)</f>
        <v>51.559796937799504</v>
      </c>
      <c r="BW8" s="225">
        <f>IF(OR(BX8="/ ea",BX8="/ piece"),ROUND(BS8,2),IF(OR(BX8="/ LF",BX8="/ plin"),ROUND(BV8,2),IF(OR(BX8="/ SF",BX8="/ pi2"),ROUND(BU8,2),IF(OR(BX8="/ CF",BX8="/ pi3"),ROUND(BT8,2),IF(OR(BX8="/ linM",BX8="/ Mlin"),ROUND(BV8/0.3048,2),IF(BX8="/ m2",ROUND(BU8*10.74,2),IF(BX8="/ m3",ROUND(BT8*35.32,2),35)))))))</f>
        <v>412.48</v>
      </c>
      <c r="BX8" s="170" t="str">
        <f>+Cotation!X13</f>
        <v>/ ea</v>
      </c>
      <c r="BY8" s="174">
        <f>+E8*F8*G8/1728</f>
        <v>9.3333333333333339</v>
      </c>
      <c r="BZ8" s="223">
        <f>IF(BX8="/ ea",$BZ$7*BY8,IF(BX8="/ piece",$BZ$7*BY8,IF(BX8="/ LF",BY8/(E8/12)*$BZ$7,IF(BX8="/ SF",BY8/(E8*F8/144)*$BZ$7,IF(BX8="/ CF",BY8/(E8*F8*G8/1728)*$BZ$7,IF(BX8="/ LinM",BY8/(E8/12)*3.2808*$BZ$7,IF(BX8="/ m2",BY8/(E8*F8/144)*10.76*$BZ$7,IF(BX8="/ m3",BY8/(E8*F8*G8/1728)*35.36*$BZ$7,1))))))))</f>
        <v>2750.0000000000005</v>
      </c>
      <c r="CA8" s="226">
        <f>ROUND(BW8+BZ8,1)</f>
        <v>3162.5</v>
      </c>
      <c r="CB8" s="171" t="str">
        <f>+BX8</f>
        <v>/ ea</v>
      </c>
      <c r="CC8" s="175">
        <f>IF($BX8="/ ea",$BW8*$C8,IF($BX8="/ piece",$BW8*$C8,IF($BX8="/ LF",$C8*$BW8,IF($BX8="/ SF",$C8*$BW8,IF($BX8="/ CF",$C8*BW8,IF($BX8="/ LinM",$C8*BW8,IF($BX8="/ m2",$C8*$BW8,IF($BX$8="/ m3",$C8*$BW8,1))))))))</f>
        <v>412.48</v>
      </c>
      <c r="CD8" s="175">
        <f>+CA8*C8</f>
        <v>3162.5</v>
      </c>
      <c r="CE8" s="176">
        <f>+CD8-CC8</f>
        <v>2750.02</v>
      </c>
      <c r="CF8" s="502">
        <f>+E8/12</f>
        <v>8</v>
      </c>
      <c r="CG8" s="502">
        <f>+E8*F8/144</f>
        <v>16</v>
      </c>
      <c r="CH8" s="493">
        <f>ROUND(CA8*C8,1)</f>
        <v>3162.5</v>
      </c>
      <c r="CI8" s="493">
        <f>ROUND(+BW8*C8,1)</f>
        <v>412.5</v>
      </c>
      <c r="CJ8" s="153"/>
      <c r="CL8" s="465">
        <f>AL8</f>
        <v>58.168083097261579</v>
      </c>
      <c r="CM8" s="466">
        <f>AM8</f>
        <v>78.115555555555545</v>
      </c>
      <c r="CN8" s="466">
        <f>AN8</f>
        <v>43.75</v>
      </c>
      <c r="CO8" s="464">
        <f>IF(OR(BX8="/ ea",BX8="/ piece"),ROUND(CU8,1),IF(OR(BX8="/ LF",BX8="/ plin"),ROUND(DA8,1),IF(OR(BX8="/ SF",BX8="/ pi2"),ROUND(CZ8,1),IF(OR(BX8="/ CF",BX8="/ pi3"),ROUND(CY8,1),IF(OR(BX8="/ linM",BX8="/ mlin"),ROUND(DA8/0.3048,1),IF(BX8="/ m2",ROUND(CZ8*10.74,1),IF(BX8="/ m3",ROUND(CY8*35.32,1),35)))))))</f>
        <v>0</v>
      </c>
      <c r="CP8" s="466">
        <f>IF(OR(BX8="/ ea",BX8="/ piece"),ROUND(CV8,1),IF(OR(BX8="/ LF",BX8="/ plin"),ROUND(DE8,1),IF(OR(BX8="/ SF",BX8="/ pi2"),ROUND(DD8,1),IF(OR(BX8="/ CF",BX8="/ pi3"),ROUND(DC8,1),IF(OR(BX8="/ linM",BX8="/ mlin"),ROUND(DE8/0.3048,1),IF(BX8="/ m2",ROUND(DD8*10.74,1),IF(BX8="/ m3",ROUND(DC8*35.32,1),35)))))))</f>
        <v>0</v>
      </c>
      <c r="CQ8" s="466">
        <f>IF(OR(BX8="/ ea",BX8="/ piece"),ROUND(CW8,1),IF(OR(BX8="/ LF",BX8="/ plin"),ROUND(DI8,1),IF(OR(BX8="/ SF",BX8="/ pi2"),ROUND(DH8,1),IF(OR(BX8="/ CF",BX8="/ pi3"),ROUND(DG8,1),IF(OR(BX8="/ linM",BX8="/ mlin"),ROUND(DI8/0.3048,1),IF(BX8="/ m2",ROUND(DH8*10.74,1),IF(BX8="/ m3",ROUND(DG8*35.32,1),35)))))))</f>
        <v>0</v>
      </c>
      <c r="CR8" s="467">
        <f>SUM(CM8:CQ8)/60</f>
        <v>2.0310925925925924</v>
      </c>
      <c r="CS8" s="467">
        <f>+CR8*C8</f>
        <v>2.0310925925925924</v>
      </c>
      <c r="CU8" s="488">
        <f>+(AO8/2)+(AP8/2)+(N8*60)+(BE8/2)+(BK8/1.67)</f>
        <v>0</v>
      </c>
      <c r="CV8" s="489">
        <f>+(AQ8/2)+(O8*60)+AV8+(AW8/2)+AX8+(AY8/1.5)+(AZ8/2)+(BB8/2)</f>
        <v>0</v>
      </c>
      <c r="CW8" s="490">
        <f>AT8+AU8+BG8+BI8</f>
        <v>0</v>
      </c>
      <c r="CY8" s="456">
        <f>+CU8/(E8*F8*G8/1728)</f>
        <v>0</v>
      </c>
      <c r="CZ8" s="457">
        <f>CU8/(E8*F8/144)</f>
        <v>0</v>
      </c>
      <c r="DA8" s="458">
        <f>CU8/(E8/12)</f>
        <v>0</v>
      </c>
      <c r="DC8" s="459">
        <f>+CV8/(E8*F8*G8/1728)</f>
        <v>0</v>
      </c>
      <c r="DD8" s="460">
        <f>CV8/(E8*F8/144)</f>
        <v>0</v>
      </c>
      <c r="DE8" s="487">
        <f>CV8/(E8/12)</f>
        <v>0</v>
      </c>
      <c r="DG8" s="461">
        <f>+CW8/(E8*F8*G8/1728)</f>
        <v>0</v>
      </c>
      <c r="DH8" s="462">
        <f>CW8/(E8*F8/144)</f>
        <v>0</v>
      </c>
      <c r="DI8" s="463">
        <f>CW8/(E8/12)</f>
        <v>0</v>
      </c>
    </row>
    <row r="9" spans="1:113" ht="14.25">
      <c r="M9" s="55"/>
      <c r="BX9" s="102"/>
      <c r="BY9" s="103"/>
      <c r="BZ9" s="104"/>
      <c r="CA9" s="105"/>
    </row>
    <row r="10" spans="1:113" ht="14.25">
      <c r="BX10" s="102"/>
      <c r="BY10" s="103"/>
      <c r="BZ10" s="104"/>
      <c r="CA10" s="105"/>
    </row>
    <row r="11" spans="1:113" ht="12.75" customHeight="1">
      <c r="AO11" s="453"/>
      <c r="AP11" s="453"/>
      <c r="AQ11" s="453"/>
      <c r="AR11" s="453"/>
      <c r="AS11" s="455"/>
      <c r="AT11" s="455"/>
      <c r="AU11" s="455"/>
      <c r="AV11" s="455"/>
      <c r="AW11" s="455"/>
      <c r="AX11" s="455"/>
      <c r="AY11" s="455"/>
      <c r="AZ11" s="455"/>
      <c r="BB11" s="455"/>
      <c r="BK11" s="454"/>
      <c r="BL11" s="454"/>
    </row>
    <row r="12" spans="1:113" ht="12.75" customHeight="1">
      <c r="AO12" s="453"/>
      <c r="AP12" s="453"/>
      <c r="AQ12" s="453"/>
      <c r="AR12" s="453"/>
      <c r="AS12" s="453"/>
      <c r="AT12" s="455"/>
      <c r="AU12" s="455"/>
      <c r="AV12" s="455"/>
      <c r="AW12" s="455"/>
      <c r="AX12" s="455"/>
      <c r="AY12" s="455"/>
      <c r="AZ12" s="455"/>
      <c r="BB12" s="455"/>
      <c r="BE12" s="453"/>
      <c r="BF12" s="453"/>
      <c r="BG12" s="455"/>
      <c r="BH12" s="455"/>
      <c r="BI12" s="455"/>
      <c r="BJ12" s="455"/>
      <c r="BK12" s="454"/>
      <c r="BL12" s="454"/>
    </row>
    <row r="13" spans="1:113">
      <c r="M13" s="44"/>
      <c r="V13" s="470"/>
      <c r="AO13" s="453"/>
      <c r="AP13" s="453"/>
      <c r="AQ13" s="453"/>
      <c r="AR13" s="453"/>
      <c r="AS13" s="453"/>
      <c r="AT13" s="455"/>
      <c r="AU13" s="455"/>
      <c r="AV13" s="455"/>
      <c r="AW13" s="455"/>
      <c r="AX13" s="455"/>
      <c r="AY13" s="455"/>
      <c r="AZ13" s="455"/>
      <c r="BB13" s="455"/>
      <c r="BE13" s="453"/>
      <c r="BF13" s="453"/>
      <c r="BG13" s="455"/>
      <c r="BH13" s="455"/>
      <c r="BI13" s="455"/>
      <c r="BJ13" s="455"/>
      <c r="BK13" s="454"/>
      <c r="BL13" s="454"/>
    </row>
    <row r="14" spans="1:113">
      <c r="M14" s="44"/>
      <c r="AO14" s="453"/>
      <c r="AP14" s="453"/>
      <c r="AQ14" s="453"/>
      <c r="AR14" s="453"/>
      <c r="AS14" s="453"/>
      <c r="AT14" s="455"/>
      <c r="AU14" s="455"/>
      <c r="AV14" s="455"/>
      <c r="AW14" s="455"/>
      <c r="AX14" s="455"/>
      <c r="AY14" s="455"/>
      <c r="AZ14" s="455"/>
      <c r="BB14" s="455"/>
      <c r="BE14" s="453"/>
      <c r="BF14" s="453"/>
      <c r="BG14" s="455"/>
      <c r="BH14" s="455"/>
      <c r="BI14" s="455"/>
      <c r="BJ14" s="455"/>
      <c r="BK14" s="454"/>
      <c r="BL14" s="454"/>
    </row>
    <row r="15" spans="1:113">
      <c r="F15" s="44"/>
      <c r="G15" s="64"/>
      <c r="AY15" s="391"/>
      <c r="BE15" s="453"/>
      <c r="BF15" s="453"/>
      <c r="BG15" s="455"/>
      <c r="BH15" s="455"/>
      <c r="BI15" s="455"/>
      <c r="BJ15" s="455"/>
    </row>
    <row r="17" spans="8:69">
      <c r="M17" s="44"/>
    </row>
    <row r="18" spans="8:69">
      <c r="M18" s="44"/>
    </row>
    <row r="19" spans="8:69">
      <c r="M19" s="44"/>
    </row>
    <row r="20" spans="8:69">
      <c r="M20" s="44"/>
    </row>
    <row r="22" spans="8:69">
      <c r="H22" s="44"/>
      <c r="K22" s="44"/>
    </row>
    <row r="24" spans="8:69">
      <c r="BK24" s="379"/>
      <c r="BL24"/>
      <c r="BM24"/>
      <c r="BN24" s="385"/>
      <c r="BO24" s="386"/>
      <c r="BP24" s="387"/>
      <c r="BQ24" s="383"/>
    </row>
  </sheetData>
  <mergeCells count="6">
    <mergeCell ref="CF5:CG5"/>
    <mergeCell ref="CY6:DA6"/>
    <mergeCell ref="DC6:DE6"/>
    <mergeCell ref="DG6:DI6"/>
    <mergeCell ref="CU7:CW7"/>
    <mergeCell ref="CF6:CG6"/>
  </mergeCells>
  <phoneticPr fontId="1" type="noConversion"/>
  <conditionalFormatting sqref="K8">
    <cfRule type="cellIs" dxfId="29" priority="79" stopIfTrue="1" operator="greaterThan">
      <formula>0</formula>
    </cfRule>
    <cfRule type="cellIs" dxfId="28" priority="80" stopIfTrue="1" operator="greaterThan">
      <formula>"0,00 pi2"</formula>
    </cfRule>
  </conditionalFormatting>
  <conditionalFormatting sqref="L8">
    <cfRule type="cellIs" dxfId="27" priority="76" stopIfTrue="1" operator="greaterThan">
      <formula>0</formula>
    </cfRule>
    <cfRule type="cellIs" dxfId="26" priority="77" stopIfTrue="1" operator="greaterThan">
      <formula>0</formula>
    </cfRule>
  </conditionalFormatting>
  <conditionalFormatting sqref="M8 AQ8">
    <cfRule type="cellIs" dxfId="25" priority="75" stopIfTrue="1" operator="greaterThan">
      <formula>0</formula>
    </cfRule>
  </conditionalFormatting>
  <conditionalFormatting sqref="N8 AR8 AU23">
    <cfRule type="cellIs" dxfId="24" priority="71" stopIfTrue="1" operator="greaterThan">
      <formula>0</formula>
    </cfRule>
  </conditionalFormatting>
  <conditionalFormatting sqref="O8 AS8">
    <cfRule type="cellIs" dxfId="23" priority="59" stopIfTrue="1" operator="greaterThan">
      <formula>0</formula>
    </cfRule>
  </conditionalFormatting>
  <conditionalFormatting sqref="O8">
    <cfRule type="cellIs" dxfId="22" priority="69" stopIfTrue="1" operator="greaterThan">
      <formula>0</formula>
    </cfRule>
  </conditionalFormatting>
  <conditionalFormatting sqref="P8 AT8">
    <cfRule type="cellIs" dxfId="21" priority="67" stopIfTrue="1" operator="greaterThan">
      <formula>0</formula>
    </cfRule>
  </conditionalFormatting>
  <conditionalFormatting sqref="Q8 AU8">
    <cfRule type="cellIs" dxfId="20" priority="65" stopIfTrue="1" operator="greaterThan">
      <formula>0</formula>
    </cfRule>
  </conditionalFormatting>
  <conditionalFormatting sqref="R8 AV8">
    <cfRule type="cellIs" dxfId="19" priority="63" stopIfTrue="1" operator="greaterThan">
      <formula>0</formula>
    </cfRule>
  </conditionalFormatting>
  <conditionalFormatting sqref="S8 AW8">
    <cfRule type="cellIs" dxfId="18" priority="61" stopIfTrue="1" operator="greaterThan">
      <formula>0</formula>
    </cfRule>
  </conditionalFormatting>
  <conditionalFormatting sqref="T8:V8">
    <cfRule type="expression" dxfId="17" priority="81" stopIfTrue="1">
      <formula>T8="aucune"</formula>
    </cfRule>
  </conditionalFormatting>
  <conditionalFormatting sqref="W8 AZ8:BA8">
    <cfRule type="expression" dxfId="16" priority="82" stopIfTrue="1">
      <formula>$V8="aucune"</formula>
    </cfRule>
  </conditionalFormatting>
  <conditionalFormatting sqref="X8:Y8">
    <cfRule type="expression" dxfId="15" priority="8" stopIfTrue="1">
      <formula>$X8="aucune"</formula>
    </cfRule>
  </conditionalFormatting>
  <conditionalFormatting sqref="Z8:AA8">
    <cfRule type="expression" dxfId="14" priority="7" stopIfTrue="1">
      <formula>$Z8="aucun"</formula>
    </cfRule>
  </conditionalFormatting>
  <conditionalFormatting sqref="AB8:AC8">
    <cfRule type="expression" dxfId="13" priority="5" stopIfTrue="1">
      <formula>$AB8="aucune"</formula>
    </cfRule>
  </conditionalFormatting>
  <conditionalFormatting sqref="AD8:AF8">
    <cfRule type="expression" dxfId="12" priority="2" stopIfTrue="1">
      <formula>$AD8="aucun"</formula>
    </cfRule>
  </conditionalFormatting>
  <conditionalFormatting sqref="AG8:AI8 BK8:BL8">
    <cfRule type="expression" dxfId="11" priority="1" stopIfTrue="1">
      <formula>$AG8="aucune"</formula>
    </cfRule>
  </conditionalFormatting>
  <conditionalFormatting sqref="AJ8 BM8">
    <cfRule type="cellIs" dxfId="10" priority="19" stopIfTrue="1" operator="greaterThan">
      <formula>0</formula>
    </cfRule>
  </conditionalFormatting>
  <conditionalFormatting sqref="AK8 BN8">
    <cfRule type="cellIs" dxfId="9" priority="18" stopIfTrue="1" operator="greaterThan">
      <formula>0</formula>
    </cfRule>
  </conditionalFormatting>
  <conditionalFormatting sqref="AO8">
    <cfRule type="cellIs" dxfId="8" priority="74" stopIfTrue="1" operator="greaterThan">
      <formula>0</formula>
    </cfRule>
  </conditionalFormatting>
  <conditionalFormatting sqref="AP8 J19">
    <cfRule type="cellIs" dxfId="7" priority="78" stopIfTrue="1" operator="greaterThan">
      <formula>0</formula>
    </cfRule>
  </conditionalFormatting>
  <conditionalFormatting sqref="AS8">
    <cfRule type="cellIs" dxfId="6" priority="68" stopIfTrue="1" operator="greaterThan">
      <formula>0</formula>
    </cfRule>
  </conditionalFormatting>
  <conditionalFormatting sqref="AX8">
    <cfRule type="expression" dxfId="5" priority="83" stopIfTrue="1">
      <formula>$T8="aucune"</formula>
    </cfRule>
  </conditionalFormatting>
  <conditionalFormatting sqref="AY8">
    <cfRule type="expression" dxfId="4" priority="84" stopIfTrue="1">
      <formula>$U8="aucune"</formula>
    </cfRule>
  </conditionalFormatting>
  <conditionalFormatting sqref="BB8:BC8">
    <cfRule type="expression" dxfId="3" priority="85" stopIfTrue="1">
      <formula>$X8="aucune"</formula>
    </cfRule>
  </conditionalFormatting>
  <conditionalFormatting sqref="BE8:BF8">
    <cfRule type="expression" dxfId="2" priority="9" stopIfTrue="1">
      <formula>$Z8="aucun"</formula>
    </cfRule>
  </conditionalFormatting>
  <conditionalFormatting sqref="BG8:BH8">
    <cfRule type="expression" dxfId="1" priority="6" stopIfTrue="1">
      <formula>$AB8="aucune"</formula>
    </cfRule>
  </conditionalFormatting>
  <conditionalFormatting sqref="BI8:BJ8">
    <cfRule type="expression" dxfId="0" priority="4" stopIfTrue="1">
      <formula>$AD8="aucun"</formula>
    </cfRule>
  </conditionalFormatting>
  <dataValidations count="14">
    <dataValidation type="list" allowBlank="1" showInputMessage="1" showErrorMessage="1" sqref="BX8" xr:uid="{00000000-0002-0000-0300-000000000000}">
      <formula1>ListeUnite</formula1>
    </dataValidation>
    <dataValidation type="list" allowBlank="1" showInputMessage="1" showErrorMessage="1" sqref="J8 AA8 Y8 W8" xr:uid="{00000000-0002-0000-0300-000001000000}">
      <formula1>ou_cote</formula1>
    </dataValidation>
    <dataValidation type="list" allowBlank="1" showInputMessage="1" showErrorMessage="1" sqref="T8" xr:uid="{00000000-0002-0000-0300-000002000000}">
      <formula1>fin_des_auto</formula1>
    </dataValidation>
    <dataValidation type="list" allowBlank="1" showInputMessage="1" showErrorMessage="1" sqref="U8" xr:uid="{00000000-0002-0000-0300-000003000000}">
      <formula1>fin_des_man</formula1>
    </dataValidation>
    <dataValidation type="list" allowBlank="1" showInputMessage="1" showErrorMessage="1" sqref="V8 X8" xr:uid="{00000000-0002-0000-0300-000004000000}">
      <formula1>fin_cote_man</formula1>
    </dataValidation>
    <dataValidation type="list" allowBlank="1" showInputMessage="1" showErrorMessage="1" sqref="Z8" xr:uid="{00000000-0002-0000-0300-000005000000}">
      <formula1>dim_chan</formula1>
    </dataValidation>
    <dataValidation type="list" allowBlank="1" showInputMessage="1" showErrorMessage="1" sqref="AD8" xr:uid="{00000000-0002-0000-0300-000006000000}">
      <formula1>nb_trou</formula1>
    </dataValidation>
    <dataValidation type="list" allowBlank="1" showInputMessage="1" showErrorMessage="1" sqref="AE8" xr:uid="{00000000-0002-0000-0300-000007000000}">
      <formula1>diam_trou</formula1>
    </dataValidation>
    <dataValidation type="list" allowBlank="1" showInputMessage="1" showErrorMessage="1" sqref="AF8" xr:uid="{00000000-0002-0000-0300-000008000000}">
      <formula1>prof_trou</formula1>
    </dataValidation>
    <dataValidation type="list" allowBlank="1" showInputMessage="1" showErrorMessage="1" sqref="AB8" xr:uid="{00000000-0002-0000-0300-000009000000}">
      <formula1>nb_slot</formula1>
    </dataValidation>
    <dataValidation type="list" allowBlank="1" showInputMessage="1" showErrorMessage="1" sqref="AC8" xr:uid="{00000000-0002-0000-0300-00000A000000}">
      <formula1>long_slot</formula1>
    </dataValidation>
    <dataValidation type="list" allowBlank="1" showInputMessage="1" showErrorMessage="1" sqref="AG8" xr:uid="{00000000-0002-0000-0300-00000B000000}">
      <formula1>encoche_</formula1>
    </dataValidation>
    <dataValidation type="list" allowBlank="1" showInputMessage="1" showErrorMessage="1" sqref="AH8" xr:uid="{00000000-0002-0000-0300-00000C000000}">
      <formula1>encoche_largeur</formula1>
    </dataValidation>
    <dataValidation type="list" allowBlank="1" showInputMessage="1" showErrorMessage="1" sqref="AI8" xr:uid="{00000000-0002-0000-0300-00000D000000}">
      <formula1>prof_encoche_</formula1>
    </dataValidation>
  </dataValidations>
  <pageMargins left="0.78740157499999996" right="0.78740157499999996" top="0.984251969" bottom="0.984251969" header="0.4921259845" footer="0.4921259845"/>
  <pageSetup orientation="portrait"/>
  <headerFooter alignWithMargins="0"/>
  <ignoredErrors>
    <ignoredError sqref="BI8"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8"/>
  <dimension ref="A1:CU120"/>
  <sheetViews>
    <sheetView zoomScaleNormal="100" workbookViewId="0">
      <selection activeCell="F18" sqref="F18:F19"/>
    </sheetView>
  </sheetViews>
  <sheetFormatPr baseColWidth="10" defaultColWidth="11.42578125" defaultRowHeight="12.75"/>
  <cols>
    <col min="1" max="1" width="14.140625" customWidth="1"/>
    <col min="8" max="8" width="17.140625" customWidth="1"/>
    <col min="9" max="9" width="16.42578125" customWidth="1"/>
    <col min="10" max="10" width="13.7109375" customWidth="1"/>
    <col min="20" max="20" width="13.85546875" customWidth="1"/>
    <col min="26" max="26" width="12.42578125" customWidth="1"/>
    <col min="27" max="27" width="13" customWidth="1"/>
    <col min="28" max="28" width="13.140625" customWidth="1"/>
    <col min="32" max="32" width="18.140625" customWidth="1"/>
    <col min="36" max="36" width="12.42578125" customWidth="1"/>
    <col min="37" max="37" width="13" customWidth="1"/>
    <col min="38" max="38" width="14" customWidth="1"/>
    <col min="39" max="39" width="12.140625" customWidth="1"/>
    <col min="40" max="40" width="14.7109375" customWidth="1"/>
    <col min="46" max="46" width="16" customWidth="1"/>
    <col min="53" max="53" width="13.42578125" customWidth="1"/>
    <col min="54" max="54" width="14.140625" customWidth="1"/>
    <col min="55" max="55" width="15.140625" customWidth="1"/>
    <col min="56" max="56" width="15.42578125" customWidth="1"/>
    <col min="84" max="84" width="13.7109375" customWidth="1"/>
    <col min="85" max="86" width="16" customWidth="1"/>
    <col min="87" max="99" width="13.7109375" customWidth="1"/>
  </cols>
  <sheetData>
    <row r="1" spans="1:93">
      <c r="A1" t="s">
        <v>210</v>
      </c>
    </row>
    <row r="2" spans="1:93">
      <c r="A2" t="s">
        <v>207</v>
      </c>
      <c r="B2" s="131">
        <v>70</v>
      </c>
      <c r="E2" s="674" t="s">
        <v>470</v>
      </c>
      <c r="F2" s="675"/>
      <c r="I2" s="132" t="s">
        <v>293</v>
      </c>
      <c r="J2" s="132" t="s">
        <v>162</v>
      </c>
      <c r="K2" s="132" t="s">
        <v>294</v>
      </c>
      <c r="L2" s="132" t="s">
        <v>168</v>
      </c>
      <c r="M2" s="132" t="s">
        <v>169</v>
      </c>
      <c r="N2" s="132" t="s">
        <v>170</v>
      </c>
      <c r="O2" s="132" t="s">
        <v>171</v>
      </c>
      <c r="P2" s="132" t="s">
        <v>172</v>
      </c>
      <c r="Q2" s="132" t="s">
        <v>84</v>
      </c>
      <c r="R2" s="132" t="s">
        <v>345</v>
      </c>
    </row>
    <row r="3" spans="1:93">
      <c r="A3" t="s">
        <v>230</v>
      </c>
      <c r="B3" s="131">
        <v>70</v>
      </c>
      <c r="E3" s="675"/>
      <c r="F3" s="675"/>
      <c r="I3" s="132" t="s">
        <v>197</v>
      </c>
      <c r="J3" s="133" t="s">
        <v>12</v>
      </c>
      <c r="K3" s="133">
        <v>0.25</v>
      </c>
      <c r="L3" s="133">
        <v>0.375</v>
      </c>
      <c r="M3" s="133">
        <v>0.5</v>
      </c>
      <c r="N3" s="134">
        <v>0.625</v>
      </c>
      <c r="O3" s="135">
        <v>0.75</v>
      </c>
      <c r="P3" s="135">
        <v>1</v>
      </c>
      <c r="Q3" s="135">
        <v>1.25</v>
      </c>
      <c r="R3" s="133">
        <v>1.5</v>
      </c>
      <c r="S3" s="133">
        <f t="shared" ref="S3:AB3" si="0">+R3+0.25</f>
        <v>1.75</v>
      </c>
      <c r="T3" s="133">
        <f t="shared" si="0"/>
        <v>2</v>
      </c>
      <c r="U3" s="133">
        <f t="shared" si="0"/>
        <v>2.25</v>
      </c>
      <c r="V3" s="133">
        <f t="shared" si="0"/>
        <v>2.5</v>
      </c>
      <c r="W3" s="133">
        <f t="shared" si="0"/>
        <v>2.75</v>
      </c>
      <c r="X3" s="133">
        <f t="shared" si="0"/>
        <v>3</v>
      </c>
      <c r="Y3" s="133">
        <f t="shared" si="0"/>
        <v>3.25</v>
      </c>
      <c r="Z3" s="133">
        <f t="shared" si="0"/>
        <v>3.5</v>
      </c>
      <c r="AA3" s="133">
        <f t="shared" si="0"/>
        <v>3.75</v>
      </c>
      <c r="AB3" s="133">
        <f t="shared" si="0"/>
        <v>4</v>
      </c>
    </row>
    <row r="4" spans="1:93">
      <c r="A4" t="s">
        <v>236</v>
      </c>
      <c r="B4" s="131">
        <v>70</v>
      </c>
      <c r="E4" s="555" t="s">
        <v>471</v>
      </c>
      <c r="F4" s="555" t="s">
        <v>472</v>
      </c>
      <c r="I4" s="132" t="s">
        <v>15</v>
      </c>
      <c r="J4" s="132" t="s">
        <v>16</v>
      </c>
      <c r="K4" s="132" t="s">
        <v>198</v>
      </c>
    </row>
    <row r="5" spans="1:93">
      <c r="A5" t="s">
        <v>200</v>
      </c>
      <c r="B5" s="131">
        <v>80</v>
      </c>
      <c r="E5" s="109">
        <v>9.9999999999999995E-7</v>
      </c>
      <c r="F5" s="109">
        <v>35</v>
      </c>
      <c r="I5" s="132" t="s">
        <v>151</v>
      </c>
      <c r="J5" s="132" t="s">
        <v>20</v>
      </c>
      <c r="K5" s="132" t="s">
        <v>116</v>
      </c>
      <c r="L5" s="132" t="s">
        <v>126</v>
      </c>
      <c r="M5" s="132" t="s">
        <v>22</v>
      </c>
      <c r="N5" s="132" t="s">
        <v>300</v>
      </c>
      <c r="O5" s="132" t="s">
        <v>208</v>
      </c>
      <c r="P5" s="132" t="s">
        <v>209</v>
      </c>
      <c r="Q5" s="132" t="s">
        <v>163</v>
      </c>
      <c r="R5" s="132" t="s">
        <v>346</v>
      </c>
      <c r="S5" s="132" t="s">
        <v>359</v>
      </c>
    </row>
    <row r="6" spans="1:93">
      <c r="A6" t="s">
        <v>248</v>
      </c>
      <c r="B6" s="131">
        <v>70</v>
      </c>
      <c r="E6" s="109">
        <v>0.5</v>
      </c>
      <c r="F6" s="109">
        <v>32</v>
      </c>
      <c r="I6" s="132" t="s">
        <v>21</v>
      </c>
      <c r="J6" s="132" t="s">
        <v>133</v>
      </c>
      <c r="K6" s="132" t="s">
        <v>134</v>
      </c>
      <c r="L6" s="132" t="s">
        <v>306</v>
      </c>
      <c r="M6" s="132" t="s">
        <v>234</v>
      </c>
      <c r="N6" s="132" t="s">
        <v>235</v>
      </c>
      <c r="O6" s="132" t="s">
        <v>204</v>
      </c>
      <c r="P6" s="132" t="s">
        <v>205</v>
      </c>
      <c r="Q6" s="132" t="s">
        <v>206</v>
      </c>
      <c r="R6" s="132" t="s">
        <v>346</v>
      </c>
      <c r="S6" s="132" t="s">
        <v>359</v>
      </c>
    </row>
    <row r="7" spans="1:93">
      <c r="A7" t="s">
        <v>285</v>
      </c>
      <c r="B7" s="131">
        <v>100</v>
      </c>
      <c r="E7" s="109">
        <v>1</v>
      </c>
      <c r="F7" s="109">
        <v>29</v>
      </c>
      <c r="I7" s="196" t="s">
        <v>165</v>
      </c>
      <c r="J7" s="196" t="s">
        <v>133</v>
      </c>
      <c r="K7" s="196" t="s">
        <v>134</v>
      </c>
      <c r="L7" s="196" t="s">
        <v>306</v>
      </c>
      <c r="M7" s="196" t="s">
        <v>234</v>
      </c>
      <c r="N7" s="196" t="s">
        <v>235</v>
      </c>
      <c r="O7" s="196" t="s">
        <v>204</v>
      </c>
      <c r="P7" s="196" t="s">
        <v>205</v>
      </c>
      <c r="Q7" s="196" t="s">
        <v>206</v>
      </c>
      <c r="R7" s="196" t="s">
        <v>69</v>
      </c>
      <c r="S7" s="196" t="s">
        <v>70</v>
      </c>
      <c r="T7" s="132" t="s">
        <v>346</v>
      </c>
      <c r="U7" s="132" t="s">
        <v>359</v>
      </c>
    </row>
    <row r="8" spans="1:93">
      <c r="A8" t="s">
        <v>286</v>
      </c>
      <c r="B8" s="131">
        <v>70</v>
      </c>
      <c r="E8" s="109">
        <v>1.5</v>
      </c>
      <c r="F8" s="109">
        <v>25</v>
      </c>
      <c r="I8" s="132" t="s">
        <v>297</v>
      </c>
      <c r="J8" s="132" t="s">
        <v>12</v>
      </c>
      <c r="K8" s="132">
        <v>1</v>
      </c>
      <c r="L8" s="132">
        <v>2</v>
      </c>
      <c r="M8" s="132">
        <v>3</v>
      </c>
      <c r="N8" s="132">
        <v>4</v>
      </c>
      <c r="O8" s="132">
        <v>5</v>
      </c>
      <c r="P8" s="132">
        <v>6</v>
      </c>
      <c r="Q8" s="132">
        <v>7</v>
      </c>
      <c r="R8" s="132">
        <v>8</v>
      </c>
      <c r="S8" s="132">
        <v>9</v>
      </c>
      <c r="T8" s="132">
        <v>10</v>
      </c>
      <c r="U8" s="132">
        <v>11</v>
      </c>
      <c r="V8" s="132">
        <v>12</v>
      </c>
      <c r="W8" s="132">
        <v>13</v>
      </c>
      <c r="X8" s="132">
        <v>14</v>
      </c>
      <c r="Y8" s="132">
        <v>15</v>
      </c>
      <c r="Z8" s="132">
        <v>16</v>
      </c>
    </row>
    <row r="9" spans="1:93">
      <c r="A9" t="s">
        <v>100</v>
      </c>
      <c r="B9" s="131">
        <v>80</v>
      </c>
      <c r="E9" s="109">
        <v>2</v>
      </c>
      <c r="F9" s="109">
        <v>20</v>
      </c>
      <c r="I9" s="132" t="s">
        <v>298</v>
      </c>
      <c r="J9" s="133">
        <v>0.125</v>
      </c>
      <c r="K9" s="133">
        <f t="shared" ref="K9:Y9" si="1">+J9+0.125</f>
        <v>0.25</v>
      </c>
      <c r="L9" s="133">
        <f t="shared" si="1"/>
        <v>0.375</v>
      </c>
      <c r="M9" s="133">
        <f t="shared" si="1"/>
        <v>0.5</v>
      </c>
      <c r="N9" s="133">
        <f t="shared" si="1"/>
        <v>0.625</v>
      </c>
      <c r="O9" s="133">
        <f t="shared" si="1"/>
        <v>0.75</v>
      </c>
      <c r="P9" s="133">
        <f t="shared" si="1"/>
        <v>0.875</v>
      </c>
      <c r="Q9" s="133">
        <f t="shared" si="1"/>
        <v>1</v>
      </c>
      <c r="R9" s="133">
        <f t="shared" si="1"/>
        <v>1.125</v>
      </c>
      <c r="S9" s="133">
        <f t="shared" si="1"/>
        <v>1.25</v>
      </c>
      <c r="T9" s="133">
        <f t="shared" si="1"/>
        <v>1.375</v>
      </c>
      <c r="U9" s="133">
        <f t="shared" si="1"/>
        <v>1.5</v>
      </c>
      <c r="V9" s="133">
        <f t="shared" si="1"/>
        <v>1.625</v>
      </c>
      <c r="W9" s="133">
        <f t="shared" si="1"/>
        <v>1.75</v>
      </c>
      <c r="X9" s="133">
        <f t="shared" si="1"/>
        <v>1.875</v>
      </c>
      <c r="Y9" s="133">
        <f t="shared" si="1"/>
        <v>2</v>
      </c>
    </row>
    <row r="10" spans="1:93">
      <c r="A10" t="s">
        <v>101</v>
      </c>
      <c r="B10" s="131">
        <v>100</v>
      </c>
      <c r="E10" s="109">
        <v>2.5</v>
      </c>
      <c r="F10" s="109">
        <v>15</v>
      </c>
      <c r="I10" s="132" t="s">
        <v>299</v>
      </c>
      <c r="J10" s="133">
        <v>0.5</v>
      </c>
      <c r="K10" s="197">
        <f t="shared" ref="K10:Y10" si="2">+J10+0.5</f>
        <v>1</v>
      </c>
      <c r="L10" s="197">
        <f t="shared" si="2"/>
        <v>1.5</v>
      </c>
      <c r="M10" s="197">
        <f t="shared" si="2"/>
        <v>2</v>
      </c>
      <c r="N10" s="197">
        <f t="shared" si="2"/>
        <v>2.5</v>
      </c>
      <c r="O10" s="197">
        <f t="shared" si="2"/>
        <v>3</v>
      </c>
      <c r="P10" s="197">
        <f t="shared" si="2"/>
        <v>3.5</v>
      </c>
      <c r="Q10" s="197">
        <f t="shared" si="2"/>
        <v>4</v>
      </c>
      <c r="R10" s="197">
        <f t="shared" si="2"/>
        <v>4.5</v>
      </c>
      <c r="S10" s="197">
        <f t="shared" si="2"/>
        <v>5</v>
      </c>
      <c r="T10" s="197">
        <f t="shared" si="2"/>
        <v>5.5</v>
      </c>
      <c r="U10" s="197">
        <f t="shared" si="2"/>
        <v>6</v>
      </c>
      <c r="V10" s="197">
        <f t="shared" si="2"/>
        <v>6.5</v>
      </c>
      <c r="W10" s="197">
        <f t="shared" si="2"/>
        <v>7</v>
      </c>
      <c r="X10" s="197">
        <f t="shared" si="2"/>
        <v>7.5</v>
      </c>
      <c r="Y10" s="197">
        <f t="shared" si="2"/>
        <v>8</v>
      </c>
    </row>
    <row r="11" spans="1:93">
      <c r="A11" t="s">
        <v>102</v>
      </c>
      <c r="B11" s="131">
        <v>50</v>
      </c>
      <c r="E11" s="109">
        <v>3</v>
      </c>
      <c r="F11" s="109">
        <v>12</v>
      </c>
      <c r="I11" s="366" t="s">
        <v>368</v>
      </c>
      <c r="J11" s="367" t="s">
        <v>98</v>
      </c>
      <c r="K11" s="132">
        <v>1</v>
      </c>
      <c r="L11" s="132">
        <v>2</v>
      </c>
      <c r="M11" s="132">
        <v>3</v>
      </c>
      <c r="N11" s="132">
        <v>4</v>
      </c>
      <c r="O11" s="132">
        <v>5</v>
      </c>
      <c r="P11" s="132">
        <v>6</v>
      </c>
      <c r="Q11" s="132">
        <v>7</v>
      </c>
      <c r="R11" s="132">
        <v>8</v>
      </c>
      <c r="S11" s="132">
        <v>9</v>
      </c>
      <c r="T11" s="132">
        <v>10</v>
      </c>
      <c r="AT11" s="364"/>
    </row>
    <row r="12" spans="1:93">
      <c r="A12" t="s">
        <v>113</v>
      </c>
      <c r="B12" s="131">
        <v>50</v>
      </c>
      <c r="E12" s="109">
        <v>3.5</v>
      </c>
      <c r="F12" s="109">
        <v>9</v>
      </c>
      <c r="I12" s="366" t="s">
        <v>372</v>
      </c>
      <c r="J12" s="389">
        <v>1</v>
      </c>
      <c r="K12" s="389">
        <v>2</v>
      </c>
      <c r="L12" s="389">
        <v>3</v>
      </c>
      <c r="M12" s="389">
        <v>4</v>
      </c>
      <c r="N12" s="389">
        <v>5</v>
      </c>
      <c r="O12" s="389">
        <v>6</v>
      </c>
      <c r="P12" s="389">
        <v>7</v>
      </c>
      <c r="Q12" s="389">
        <v>8</v>
      </c>
      <c r="R12" s="389">
        <v>9</v>
      </c>
      <c r="S12" s="389">
        <v>10</v>
      </c>
    </row>
    <row r="13" spans="1:93">
      <c r="A13" t="s">
        <v>114</v>
      </c>
      <c r="B13" s="131">
        <v>50</v>
      </c>
      <c r="E13" s="109">
        <v>4</v>
      </c>
      <c r="F13" s="109">
        <v>7</v>
      </c>
      <c r="I13" s="366" t="s">
        <v>384</v>
      </c>
      <c r="J13" s="390">
        <v>0.25</v>
      </c>
      <c r="K13" s="390">
        <v>0.5</v>
      </c>
      <c r="L13" s="390">
        <v>0.75</v>
      </c>
      <c r="M13" s="390">
        <v>1</v>
      </c>
      <c r="N13" s="390">
        <v>1.25</v>
      </c>
      <c r="O13" s="390">
        <v>1.5</v>
      </c>
      <c r="P13" s="390">
        <v>1.75</v>
      </c>
      <c r="Q13" s="390">
        <v>2</v>
      </c>
      <c r="R13" s="390">
        <v>2.25</v>
      </c>
      <c r="S13" s="390">
        <v>2.5</v>
      </c>
      <c r="T13" s="390">
        <v>2.75</v>
      </c>
      <c r="U13" s="390">
        <v>3</v>
      </c>
      <c r="V13" s="390">
        <v>3.25</v>
      </c>
      <c r="W13" s="390">
        <v>3.5</v>
      </c>
      <c r="X13" s="390">
        <v>3.75</v>
      </c>
      <c r="Y13" s="390">
        <v>4</v>
      </c>
    </row>
    <row r="14" spans="1:93">
      <c r="A14" t="s">
        <v>215</v>
      </c>
      <c r="B14" s="131">
        <v>70</v>
      </c>
      <c r="E14" s="109">
        <v>4.5</v>
      </c>
      <c r="F14" s="109">
        <v>5</v>
      </c>
      <c r="I14" s="366" t="s">
        <v>383</v>
      </c>
      <c r="J14" s="367">
        <v>0.25</v>
      </c>
      <c r="K14" s="197">
        <v>0.375</v>
      </c>
      <c r="L14" s="197">
        <v>0.5</v>
      </c>
      <c r="M14" s="197">
        <v>0.625</v>
      </c>
      <c r="N14" s="197">
        <v>0.75</v>
      </c>
      <c r="O14" s="197">
        <v>0.875</v>
      </c>
      <c r="P14" s="197">
        <v>1</v>
      </c>
      <c r="Q14" s="197">
        <v>1.25</v>
      </c>
      <c r="R14" s="197">
        <v>1.5</v>
      </c>
      <c r="S14" s="197">
        <v>1.75</v>
      </c>
      <c r="T14" s="197">
        <v>2</v>
      </c>
      <c r="U14" s="197">
        <v>2.25</v>
      </c>
      <c r="V14" s="197">
        <v>2.5</v>
      </c>
      <c r="W14" s="197">
        <v>2.75</v>
      </c>
      <c r="X14" s="197">
        <v>3</v>
      </c>
      <c r="Y14" s="197">
        <v>3.25</v>
      </c>
      <c r="Z14" s="197">
        <v>3.5</v>
      </c>
      <c r="AA14" s="197">
        <v>3.75</v>
      </c>
      <c r="AB14" s="197">
        <v>4</v>
      </c>
      <c r="AT14" s="365"/>
    </row>
    <row r="15" spans="1:93">
      <c r="E15" s="109">
        <v>5</v>
      </c>
      <c r="F15" s="109">
        <v>0</v>
      </c>
      <c r="I15" s="366" t="s">
        <v>388</v>
      </c>
      <c r="J15" s="132" t="s">
        <v>20</v>
      </c>
      <c r="K15" s="132" t="s">
        <v>294</v>
      </c>
      <c r="L15" s="132" t="s">
        <v>168</v>
      </c>
      <c r="M15" s="132" t="s">
        <v>169</v>
      </c>
      <c r="N15" s="132" t="s">
        <v>170</v>
      </c>
      <c r="O15" s="132" t="s">
        <v>171</v>
      </c>
      <c r="P15" s="132" t="s">
        <v>172</v>
      </c>
      <c r="Q15" s="132" t="s">
        <v>84</v>
      </c>
      <c r="R15" s="132" t="s">
        <v>345</v>
      </c>
      <c r="CJ15" s="379"/>
    </row>
    <row r="16" spans="1:93">
      <c r="CD16" s="379" t="s">
        <v>377</v>
      </c>
      <c r="CG16" s="385">
        <f>30/4</f>
        <v>7.5</v>
      </c>
      <c r="CH16" s="386">
        <f>60/CG16</f>
        <v>8</v>
      </c>
      <c r="CI16" s="387">
        <f>+CH16*60</f>
        <v>480</v>
      </c>
      <c r="CJ16" s="383">
        <f>100/CI16</f>
        <v>0.20833333333333334</v>
      </c>
      <c r="CO16" s="379" t="s">
        <v>404</v>
      </c>
    </row>
    <row r="17" spans="1:99">
      <c r="CO17">
        <v>1.05</v>
      </c>
      <c r="CP17">
        <v>1.1000000000000001</v>
      </c>
      <c r="CQ17">
        <v>1.1200000000000001</v>
      </c>
      <c r="CR17">
        <v>1.1399999999999999</v>
      </c>
      <c r="CS17">
        <v>1.1599999999999999</v>
      </c>
      <c r="CT17">
        <v>1.17</v>
      </c>
      <c r="CU17">
        <v>1.18</v>
      </c>
    </row>
    <row r="18" spans="1:99">
      <c r="A18" s="676" t="s">
        <v>362</v>
      </c>
      <c r="B18" s="676"/>
      <c r="D18" s="675" t="s">
        <v>147</v>
      </c>
      <c r="E18" s="675"/>
      <c r="F18" s="679">
        <v>3.75</v>
      </c>
      <c r="H18" s="676" t="s">
        <v>148</v>
      </c>
      <c r="I18" s="676"/>
      <c r="J18" s="677">
        <v>4.5</v>
      </c>
      <c r="K18" s="677">
        <v>2</v>
      </c>
      <c r="L18" s="677">
        <v>4.5</v>
      </c>
      <c r="M18" s="677">
        <v>4</v>
      </c>
      <c r="N18" s="677">
        <v>5</v>
      </c>
      <c r="O18" s="677">
        <v>5.5</v>
      </c>
      <c r="P18" s="677">
        <v>3.75</v>
      </c>
      <c r="Q18" s="677">
        <v>4.25</v>
      </c>
      <c r="R18" s="679">
        <v>6</v>
      </c>
      <c r="S18" s="136"/>
      <c r="T18" s="676" t="s">
        <v>160</v>
      </c>
      <c r="U18" s="676"/>
      <c r="V18" s="679">
        <f>J18*1.25</f>
        <v>5.625</v>
      </c>
      <c r="W18" s="679">
        <f>+K18*1.5</f>
        <v>3</v>
      </c>
      <c r="X18" s="679">
        <f>+L18*1.5</f>
        <v>6.75</v>
      </c>
      <c r="Y18" s="679">
        <f t="shared" ref="Y18:AC18" si="3">+M18*1.5</f>
        <v>6</v>
      </c>
      <c r="Z18" s="679">
        <f>+N18*3</f>
        <v>15</v>
      </c>
      <c r="AA18" s="679">
        <f>+O18*3.5</f>
        <v>19.25</v>
      </c>
      <c r="AB18" s="679">
        <f t="shared" si="3"/>
        <v>5.625</v>
      </c>
      <c r="AC18" s="679">
        <f t="shared" si="3"/>
        <v>6.375</v>
      </c>
      <c r="AD18" s="679">
        <f>+R18*3</f>
        <v>18</v>
      </c>
      <c r="AE18" s="136"/>
      <c r="AF18" s="676" t="s">
        <v>68</v>
      </c>
      <c r="AG18" s="676"/>
      <c r="AH18" s="679">
        <f>V18*1.25</f>
        <v>7.03125</v>
      </c>
      <c r="AI18" s="679">
        <f>W18*1.25</f>
        <v>3.75</v>
      </c>
      <c r="AJ18" s="679">
        <f t="shared" ref="AJ18:AN18" si="4">X18</f>
        <v>6.75</v>
      </c>
      <c r="AK18" s="679">
        <f t="shared" si="4"/>
        <v>6</v>
      </c>
      <c r="AL18" s="679">
        <f>Z18*1.5</f>
        <v>22.5</v>
      </c>
      <c r="AM18" s="679">
        <f>AA18*1.5</f>
        <v>28.875</v>
      </c>
      <c r="AN18" s="679">
        <f t="shared" si="4"/>
        <v>5.625</v>
      </c>
      <c r="AO18" s="682">
        <v>2</v>
      </c>
      <c r="AP18" s="682">
        <v>5</v>
      </c>
      <c r="AQ18" s="682">
        <f>AC18*1.5</f>
        <v>9.5625</v>
      </c>
      <c r="AR18" s="682">
        <f>AD18*1.5</f>
        <v>27</v>
      </c>
      <c r="AT18" s="689" t="s">
        <v>348</v>
      </c>
      <c r="AU18" s="684">
        <v>0.15</v>
      </c>
      <c r="AW18" s="691" t="s">
        <v>366</v>
      </c>
      <c r="AX18" s="692"/>
      <c r="AY18" s="679">
        <v>2</v>
      </c>
      <c r="AZ18" s="679">
        <v>3</v>
      </c>
      <c r="BA18" s="679">
        <v>5</v>
      </c>
      <c r="BB18" s="679">
        <v>6</v>
      </c>
      <c r="BC18" s="679">
        <v>30</v>
      </c>
      <c r="BD18" s="679">
        <v>40</v>
      </c>
      <c r="BE18" s="679">
        <v>20</v>
      </c>
      <c r="BF18" s="679">
        <v>7</v>
      </c>
      <c r="BG18" s="679">
        <v>10</v>
      </c>
      <c r="BI18" s="380" t="s">
        <v>367</v>
      </c>
      <c r="BJ18" s="684">
        <v>0.2</v>
      </c>
      <c r="BL18" s="675" t="s">
        <v>358</v>
      </c>
      <c r="BM18" s="680">
        <v>5</v>
      </c>
      <c r="BN18" s="680">
        <f>+BM18+0.5</f>
        <v>5.5</v>
      </c>
      <c r="BO18" s="680">
        <f t="shared" ref="BO18:BV18" si="5">+BN18+0.5</f>
        <v>6</v>
      </c>
      <c r="BP18" s="680">
        <f t="shared" si="5"/>
        <v>6.5</v>
      </c>
      <c r="BQ18" s="680">
        <f t="shared" si="5"/>
        <v>7</v>
      </c>
      <c r="BR18" s="680">
        <f t="shared" si="5"/>
        <v>7.5</v>
      </c>
      <c r="BS18" s="680">
        <f t="shared" si="5"/>
        <v>8</v>
      </c>
      <c r="BT18" s="680">
        <f t="shared" si="5"/>
        <v>8.5</v>
      </c>
      <c r="BU18" s="680">
        <f t="shared" si="5"/>
        <v>9</v>
      </c>
      <c r="BV18" s="680">
        <f t="shared" si="5"/>
        <v>9.5</v>
      </c>
      <c r="BW18" s="680">
        <f t="shared" ref="BW18:CB18" si="6">+BV18+0.5*1.5</f>
        <v>10.25</v>
      </c>
      <c r="BX18" s="680">
        <f t="shared" si="6"/>
        <v>11</v>
      </c>
      <c r="BY18" s="680">
        <f t="shared" si="6"/>
        <v>11.75</v>
      </c>
      <c r="BZ18" s="680">
        <f t="shared" si="6"/>
        <v>12.5</v>
      </c>
      <c r="CA18" s="680">
        <f t="shared" si="6"/>
        <v>13.25</v>
      </c>
      <c r="CB18" s="680">
        <f t="shared" si="6"/>
        <v>14</v>
      </c>
      <c r="CD18" s="675" t="s">
        <v>27</v>
      </c>
      <c r="CE18" s="695" t="s">
        <v>376</v>
      </c>
      <c r="CF18" s="685">
        <f>$B$10/CE21</f>
        <v>3.3333333333333335</v>
      </c>
      <c r="CG18" s="685">
        <f>CF18</f>
        <v>3.3333333333333335</v>
      </c>
      <c r="CH18" s="685">
        <f t="shared" ref="CH18:CU18" si="7">CG18</f>
        <v>3.3333333333333335</v>
      </c>
      <c r="CI18" s="685">
        <f t="shared" si="7"/>
        <v>3.3333333333333335</v>
      </c>
      <c r="CJ18" s="685">
        <f t="shared" si="7"/>
        <v>3.3333333333333335</v>
      </c>
      <c r="CK18" s="685">
        <f t="shared" si="7"/>
        <v>3.3333333333333335</v>
      </c>
      <c r="CL18" s="685">
        <f t="shared" si="7"/>
        <v>3.3333333333333335</v>
      </c>
      <c r="CM18" s="685">
        <f t="shared" si="7"/>
        <v>3.3333333333333335</v>
      </c>
      <c r="CN18" s="685">
        <f t="shared" si="7"/>
        <v>3.3333333333333335</v>
      </c>
      <c r="CO18" s="685">
        <f t="shared" si="7"/>
        <v>3.3333333333333335</v>
      </c>
      <c r="CP18" s="685">
        <f t="shared" si="7"/>
        <v>3.3333333333333335</v>
      </c>
      <c r="CQ18" s="685">
        <f t="shared" si="7"/>
        <v>3.3333333333333335</v>
      </c>
      <c r="CR18" s="685">
        <f t="shared" si="7"/>
        <v>3.3333333333333335</v>
      </c>
      <c r="CS18" s="685">
        <f t="shared" si="7"/>
        <v>3.3333333333333335</v>
      </c>
      <c r="CT18" s="685">
        <f t="shared" si="7"/>
        <v>3.3333333333333335</v>
      </c>
      <c r="CU18" s="685">
        <f t="shared" si="7"/>
        <v>3.3333333333333335</v>
      </c>
    </row>
    <row r="19" spans="1:99">
      <c r="A19" s="676"/>
      <c r="B19" s="676"/>
      <c r="D19" s="675"/>
      <c r="E19" s="675"/>
      <c r="F19" s="679"/>
      <c r="H19" s="676"/>
      <c r="I19" s="676"/>
      <c r="J19" s="678"/>
      <c r="K19" s="678"/>
      <c r="L19" s="678"/>
      <c r="M19" s="678"/>
      <c r="N19" s="678"/>
      <c r="O19" s="678"/>
      <c r="P19" s="678"/>
      <c r="Q19" s="678"/>
      <c r="R19" s="679"/>
      <c r="T19" s="676"/>
      <c r="U19" s="676"/>
      <c r="V19" s="679"/>
      <c r="W19" s="679"/>
      <c r="X19" s="679"/>
      <c r="Y19" s="679"/>
      <c r="Z19" s="679"/>
      <c r="AA19" s="679"/>
      <c r="AB19" s="679"/>
      <c r="AC19" s="679"/>
      <c r="AD19" s="679"/>
      <c r="AF19" s="676"/>
      <c r="AG19" s="676"/>
      <c r="AH19" s="679"/>
      <c r="AI19" s="679"/>
      <c r="AJ19" s="679"/>
      <c r="AK19" s="679"/>
      <c r="AL19" s="679"/>
      <c r="AM19" s="679"/>
      <c r="AN19" s="679"/>
      <c r="AO19" s="683"/>
      <c r="AP19" s="683"/>
      <c r="AQ19" s="683"/>
      <c r="AR19" s="683"/>
      <c r="AT19" s="690"/>
      <c r="AU19" s="684"/>
      <c r="AW19" s="693"/>
      <c r="AX19" s="694"/>
      <c r="AY19" s="679"/>
      <c r="AZ19" s="679"/>
      <c r="BA19" s="679"/>
      <c r="BB19" s="679"/>
      <c r="BC19" s="679"/>
      <c r="BD19" s="679"/>
      <c r="BE19" s="679"/>
      <c r="BF19" s="679"/>
      <c r="BG19" s="679"/>
      <c r="BI19" s="132" t="s">
        <v>139</v>
      </c>
      <c r="BJ19" s="684"/>
      <c r="BL19" s="675"/>
      <c r="BM19" s="681"/>
      <c r="BN19" s="681"/>
      <c r="BO19" s="681"/>
      <c r="BP19" s="681"/>
      <c r="BQ19" s="681"/>
      <c r="BR19" s="681"/>
      <c r="BS19" s="681"/>
      <c r="BT19" s="681"/>
      <c r="BU19" s="681"/>
      <c r="BV19" s="681"/>
      <c r="BW19" s="681"/>
      <c r="BX19" s="681"/>
      <c r="BY19" s="681"/>
      <c r="BZ19" s="681"/>
      <c r="CA19" s="681"/>
      <c r="CB19" s="681"/>
      <c r="CD19" s="675"/>
      <c r="CE19" s="696"/>
      <c r="CF19" s="685"/>
      <c r="CG19" s="685"/>
      <c r="CH19" s="685"/>
      <c r="CI19" s="685"/>
      <c r="CJ19" s="685"/>
      <c r="CK19" s="685"/>
      <c r="CL19" s="685"/>
      <c r="CM19" s="685"/>
      <c r="CN19" s="685"/>
      <c r="CO19" s="685"/>
      <c r="CP19" s="685"/>
      <c r="CQ19" s="685"/>
      <c r="CR19" s="685"/>
      <c r="CS19" s="685"/>
      <c r="CT19" s="685"/>
      <c r="CU19" s="685"/>
    </row>
    <row r="20" spans="1:99" ht="25.5">
      <c r="A20" s="108" t="s">
        <v>125</v>
      </c>
      <c r="B20" s="108" t="s">
        <v>28</v>
      </c>
      <c r="D20" s="108" t="s">
        <v>125</v>
      </c>
      <c r="E20" s="108" t="s">
        <v>127</v>
      </c>
      <c r="F20" s="108" t="s">
        <v>128</v>
      </c>
      <c r="H20" s="362" t="s">
        <v>360</v>
      </c>
      <c r="I20" s="377" t="s">
        <v>127</v>
      </c>
      <c r="J20" s="377" t="s">
        <v>116</v>
      </c>
      <c r="K20" s="377" t="s">
        <v>126</v>
      </c>
      <c r="L20" s="377" t="s">
        <v>22</v>
      </c>
      <c r="M20" s="377" t="s">
        <v>300</v>
      </c>
      <c r="N20" s="377" t="s">
        <v>208</v>
      </c>
      <c r="O20" s="377" t="s">
        <v>209</v>
      </c>
      <c r="P20" s="377" t="s">
        <v>163</v>
      </c>
      <c r="Q20" s="377" t="s">
        <v>346</v>
      </c>
      <c r="R20" s="377" t="s">
        <v>359</v>
      </c>
      <c r="T20" s="362" t="s">
        <v>360</v>
      </c>
      <c r="U20" s="377" t="s">
        <v>127</v>
      </c>
      <c r="V20" s="377" t="s">
        <v>116</v>
      </c>
      <c r="W20" s="377" t="s">
        <v>126</v>
      </c>
      <c r="X20" s="377" t="s">
        <v>22</v>
      </c>
      <c r="Y20" s="377" t="s">
        <v>300</v>
      </c>
      <c r="Z20" s="377" t="s">
        <v>208</v>
      </c>
      <c r="AA20" s="377" t="s">
        <v>209</v>
      </c>
      <c r="AB20" s="377" t="s">
        <v>163</v>
      </c>
      <c r="AC20" s="377" t="s">
        <v>346</v>
      </c>
      <c r="AD20" s="377" t="s">
        <v>359</v>
      </c>
      <c r="AF20" s="362" t="s">
        <v>360</v>
      </c>
      <c r="AG20" s="377" t="s">
        <v>127</v>
      </c>
      <c r="AH20" s="377" t="s">
        <v>116</v>
      </c>
      <c r="AI20" s="377" t="s">
        <v>126</v>
      </c>
      <c r="AJ20" s="377" t="s">
        <v>22</v>
      </c>
      <c r="AK20" s="377" t="s">
        <v>300</v>
      </c>
      <c r="AL20" s="377" t="s">
        <v>208</v>
      </c>
      <c r="AM20" s="377" t="s">
        <v>209</v>
      </c>
      <c r="AN20" s="377" t="s">
        <v>163</v>
      </c>
      <c r="AO20" s="377" t="s">
        <v>69</v>
      </c>
      <c r="AP20" s="377" t="s">
        <v>70</v>
      </c>
      <c r="AQ20" s="377" t="s">
        <v>346</v>
      </c>
      <c r="AR20" s="377" t="s">
        <v>359</v>
      </c>
      <c r="AT20" s="363" t="s">
        <v>364</v>
      </c>
      <c r="AU20" s="108" t="s">
        <v>164</v>
      </c>
      <c r="AW20" s="361" t="s">
        <v>361</v>
      </c>
      <c r="AX20" s="377" t="s">
        <v>127</v>
      </c>
      <c r="AY20" s="377" t="s">
        <v>116</v>
      </c>
      <c r="AZ20" s="377" t="s">
        <v>126</v>
      </c>
      <c r="BA20" s="377" t="s">
        <v>22</v>
      </c>
      <c r="BB20" s="377" t="s">
        <v>300</v>
      </c>
      <c r="BC20" s="377" t="s">
        <v>208</v>
      </c>
      <c r="BD20" s="377" t="s">
        <v>209</v>
      </c>
      <c r="BE20" s="377" t="s">
        <v>163</v>
      </c>
      <c r="BF20" s="377" t="s">
        <v>346</v>
      </c>
      <c r="BG20" s="377" t="s">
        <v>359</v>
      </c>
      <c r="BI20" s="363" t="s">
        <v>363</v>
      </c>
      <c r="BJ20" s="363" t="s">
        <v>365</v>
      </c>
      <c r="BL20" s="361" t="s">
        <v>45</v>
      </c>
      <c r="BM20" s="388">
        <v>0.125</v>
      </c>
      <c r="BN20" s="388">
        <f>+BM20+0.125</f>
        <v>0.25</v>
      </c>
      <c r="BO20" s="388">
        <f t="shared" ref="BO20:CB20" si="8">+BN20+0.125</f>
        <v>0.375</v>
      </c>
      <c r="BP20" s="388">
        <f t="shared" si="8"/>
        <v>0.5</v>
      </c>
      <c r="BQ20" s="388">
        <f t="shared" si="8"/>
        <v>0.625</v>
      </c>
      <c r="BR20" s="388">
        <f t="shared" si="8"/>
        <v>0.75</v>
      </c>
      <c r="BS20" s="388">
        <f t="shared" si="8"/>
        <v>0.875</v>
      </c>
      <c r="BT20" s="388">
        <f t="shared" si="8"/>
        <v>1</v>
      </c>
      <c r="BU20" s="388">
        <f t="shared" si="8"/>
        <v>1.125</v>
      </c>
      <c r="BV20" s="388">
        <f t="shared" si="8"/>
        <v>1.25</v>
      </c>
      <c r="BW20" s="388">
        <f t="shared" si="8"/>
        <v>1.375</v>
      </c>
      <c r="BX20" s="388">
        <f t="shared" si="8"/>
        <v>1.5</v>
      </c>
      <c r="BY20" s="388">
        <f t="shared" si="8"/>
        <v>1.625</v>
      </c>
      <c r="BZ20" s="388">
        <f t="shared" si="8"/>
        <v>1.75</v>
      </c>
      <c r="CA20" s="388">
        <f t="shared" si="8"/>
        <v>1.875</v>
      </c>
      <c r="CB20" s="388">
        <f t="shared" si="8"/>
        <v>2</v>
      </c>
      <c r="CC20" s="137"/>
      <c r="CD20" s="381" t="s">
        <v>375</v>
      </c>
      <c r="CE20" s="697"/>
      <c r="CF20" s="384">
        <v>0.25</v>
      </c>
      <c r="CG20" s="384">
        <v>0.5</v>
      </c>
      <c r="CH20" s="384">
        <v>0.75</v>
      </c>
      <c r="CI20" s="384">
        <v>1</v>
      </c>
      <c r="CJ20" s="384">
        <v>1.25</v>
      </c>
      <c r="CK20" s="384">
        <v>1.5</v>
      </c>
      <c r="CL20" s="384">
        <v>1.75</v>
      </c>
      <c r="CM20" s="384">
        <v>2</v>
      </c>
      <c r="CN20" s="384">
        <v>2.25</v>
      </c>
      <c r="CO20" s="384">
        <v>2.5</v>
      </c>
      <c r="CP20" s="384">
        <v>2.75</v>
      </c>
      <c r="CQ20" s="384">
        <v>3</v>
      </c>
      <c r="CR20" s="384">
        <v>3.25</v>
      </c>
      <c r="CS20" s="384">
        <v>3.5</v>
      </c>
      <c r="CT20" s="384">
        <v>3.75</v>
      </c>
      <c r="CU20" s="384">
        <v>4</v>
      </c>
    </row>
    <row r="21" spans="1:99">
      <c r="A21" s="109">
        <v>0.1</v>
      </c>
      <c r="B21" s="110">
        <v>1.1000000000000001</v>
      </c>
      <c r="D21" s="109">
        <v>0.75</v>
      </c>
      <c r="E21" s="109">
        <v>1.8</v>
      </c>
      <c r="F21" s="110">
        <f>+$F$18*E21</f>
        <v>6.75</v>
      </c>
      <c r="H21" s="109">
        <v>1</v>
      </c>
      <c r="I21" s="109">
        <v>2</v>
      </c>
      <c r="J21" s="138">
        <f>+J$18*$H21/12*$I21</f>
        <v>0.75</v>
      </c>
      <c r="K21" s="138">
        <f t="shared" ref="K21:R36" si="9">+K$18*$H21/12*$I21</f>
        <v>0.33333333333333331</v>
      </c>
      <c r="L21" s="138">
        <f t="shared" si="9"/>
        <v>0.75</v>
      </c>
      <c r="M21" s="138">
        <f t="shared" si="9"/>
        <v>0.66666666666666663</v>
      </c>
      <c r="N21" s="138">
        <f t="shared" si="9"/>
        <v>0.83333333333333337</v>
      </c>
      <c r="O21" s="138">
        <f t="shared" si="9"/>
        <v>0.91666666666666663</v>
      </c>
      <c r="P21" s="138">
        <f t="shared" si="9"/>
        <v>0.625</v>
      </c>
      <c r="Q21" s="138">
        <f t="shared" si="9"/>
        <v>0.70833333333333337</v>
      </c>
      <c r="R21" s="138">
        <f t="shared" si="9"/>
        <v>1</v>
      </c>
      <c r="S21" s="139"/>
      <c r="T21" s="109">
        <v>1</v>
      </c>
      <c r="U21" s="109">
        <v>2</v>
      </c>
      <c r="V21" s="138">
        <f t="shared" ref="V21:AD21" si="10">+V$18*$T21/12*$U21</f>
        <v>0.9375</v>
      </c>
      <c r="W21" s="138">
        <f t="shared" si="10"/>
        <v>0.5</v>
      </c>
      <c r="X21" s="138">
        <f t="shared" si="10"/>
        <v>1.125</v>
      </c>
      <c r="Y21" s="138">
        <f t="shared" si="10"/>
        <v>1</v>
      </c>
      <c r="Z21" s="138">
        <f t="shared" si="10"/>
        <v>2.5</v>
      </c>
      <c r="AA21" s="138">
        <f t="shared" si="10"/>
        <v>3.2083333333333335</v>
      </c>
      <c r="AB21" s="138">
        <f t="shared" si="10"/>
        <v>0.9375</v>
      </c>
      <c r="AC21" s="138">
        <f t="shared" si="10"/>
        <v>1.0625</v>
      </c>
      <c r="AD21" s="138">
        <f t="shared" si="10"/>
        <v>3</v>
      </c>
      <c r="AE21" s="139"/>
      <c r="AF21" s="109">
        <v>1</v>
      </c>
      <c r="AG21" s="109">
        <v>2</v>
      </c>
      <c r="AH21" s="138">
        <f>+AH$18*$AF21/12*$AG21</f>
        <v>1.171875</v>
      </c>
      <c r="AI21" s="138">
        <f t="shared" ref="AI21:AR36" si="11">+AI$18*$AF21/12*$AG21</f>
        <v>0.625</v>
      </c>
      <c r="AJ21" s="138">
        <f t="shared" si="11"/>
        <v>1.125</v>
      </c>
      <c r="AK21" s="138">
        <f t="shared" si="11"/>
        <v>1</v>
      </c>
      <c r="AL21" s="138">
        <f t="shared" si="11"/>
        <v>3.75</v>
      </c>
      <c r="AM21" s="138">
        <f t="shared" si="11"/>
        <v>4.8125</v>
      </c>
      <c r="AN21" s="138">
        <f t="shared" si="11"/>
        <v>0.9375</v>
      </c>
      <c r="AO21" s="138">
        <f t="shared" si="11"/>
        <v>0.33333333333333331</v>
      </c>
      <c r="AP21" s="138">
        <f t="shared" si="11"/>
        <v>0.83333333333333337</v>
      </c>
      <c r="AQ21" s="138">
        <f t="shared" si="11"/>
        <v>1.59375</v>
      </c>
      <c r="AR21" s="138">
        <f t="shared" si="11"/>
        <v>4.5</v>
      </c>
      <c r="AT21" s="133">
        <v>0.25</v>
      </c>
      <c r="AU21" s="108">
        <v>3.75</v>
      </c>
      <c r="AW21" s="133">
        <v>0.25</v>
      </c>
      <c r="AX21" s="109">
        <v>2</v>
      </c>
      <c r="AY21" s="138">
        <f>+AY$18*$H21/12*$I21</f>
        <v>0.33333333333333331</v>
      </c>
      <c r="AZ21" s="138">
        <f t="shared" ref="AZ21:BG36" si="12">+AZ$18*$H21/12*$I21</f>
        <v>0.5</v>
      </c>
      <c r="BA21" s="138">
        <f t="shared" si="12"/>
        <v>0.83333333333333337</v>
      </c>
      <c r="BB21" s="138">
        <f t="shared" si="12"/>
        <v>1</v>
      </c>
      <c r="BC21" s="138">
        <f t="shared" si="12"/>
        <v>5</v>
      </c>
      <c r="BD21" s="138">
        <f t="shared" si="12"/>
        <v>6.666666666666667</v>
      </c>
      <c r="BE21" s="138">
        <f t="shared" si="12"/>
        <v>3.3333333333333335</v>
      </c>
      <c r="BF21" s="138">
        <f t="shared" si="12"/>
        <v>1.1666666666666667</v>
      </c>
      <c r="BG21" s="138">
        <f t="shared" si="12"/>
        <v>1.6666666666666667</v>
      </c>
      <c r="BI21" s="371">
        <v>1</v>
      </c>
      <c r="BJ21" s="110">
        <v>3</v>
      </c>
      <c r="BL21" s="133">
        <v>0.5</v>
      </c>
      <c r="BM21" s="198">
        <f>+BM$18*$BL21</f>
        <v>2.5</v>
      </c>
      <c r="BN21" s="198">
        <f t="shared" ref="BN21:CB36" si="13">+BN$18*$BL21</f>
        <v>2.75</v>
      </c>
      <c r="BO21" s="198">
        <f t="shared" si="13"/>
        <v>3</v>
      </c>
      <c r="BP21" s="198">
        <f t="shared" si="13"/>
        <v>3.25</v>
      </c>
      <c r="BQ21" s="198">
        <f t="shared" si="13"/>
        <v>3.5</v>
      </c>
      <c r="BR21" s="198">
        <f t="shared" si="13"/>
        <v>3.75</v>
      </c>
      <c r="BS21" s="198">
        <f t="shared" si="13"/>
        <v>4</v>
      </c>
      <c r="BT21" s="198">
        <f t="shared" si="13"/>
        <v>4.25</v>
      </c>
      <c r="BU21" s="198">
        <f t="shared" si="13"/>
        <v>4.5</v>
      </c>
      <c r="BV21" s="198">
        <f t="shared" si="13"/>
        <v>4.75</v>
      </c>
      <c r="BW21" s="198">
        <f t="shared" si="13"/>
        <v>5.125</v>
      </c>
      <c r="BX21" s="198">
        <f t="shared" si="13"/>
        <v>5.5</v>
      </c>
      <c r="BY21" s="198">
        <f t="shared" si="13"/>
        <v>5.875</v>
      </c>
      <c r="BZ21" s="198">
        <f t="shared" si="13"/>
        <v>6.25</v>
      </c>
      <c r="CA21" s="198">
        <f t="shared" si="13"/>
        <v>6.625</v>
      </c>
      <c r="CB21" s="198">
        <f t="shared" si="13"/>
        <v>7</v>
      </c>
      <c r="CD21" s="133">
        <v>0.25</v>
      </c>
      <c r="CE21" s="415">
        <v>30</v>
      </c>
      <c r="CF21" s="382">
        <f>+($CF$20*CD21)*$CF$18</f>
        <v>0.20833333333333334</v>
      </c>
      <c r="CG21" s="382">
        <f>+($CG$20*CD21)*$CG$18</f>
        <v>0.41666666666666669</v>
      </c>
      <c r="CH21" s="382">
        <f>+($CH$20*CD21)*$CH$18</f>
        <v>0.625</v>
      </c>
      <c r="CI21" s="382">
        <f>+($CI$20*CD21)*$CI$18</f>
        <v>0.83333333333333337</v>
      </c>
      <c r="CJ21" s="382">
        <f>+($CJ$20*CD21)*$CJ$18</f>
        <v>1.0416666666666667</v>
      </c>
      <c r="CK21" s="382">
        <f>+($CK$20*CD21)*$CK$18</f>
        <v>1.25</v>
      </c>
      <c r="CL21" s="382">
        <f>+($CL$20*CD21)*$CL$18</f>
        <v>1.4583333333333335</v>
      </c>
      <c r="CM21" s="382">
        <f>+($CM$20*CD21)*$CM$18</f>
        <v>1.6666666666666667</v>
      </c>
      <c r="CN21" s="382">
        <f>+($CN$20*CD21)*$CN$18</f>
        <v>1.875</v>
      </c>
      <c r="CO21" s="382">
        <f>+($CO$20*CD21)*$CO$18</f>
        <v>2.0833333333333335</v>
      </c>
      <c r="CP21" s="382">
        <f>+($CP$20*CD21)*$CP$18</f>
        <v>2.291666666666667</v>
      </c>
      <c r="CQ21" s="382">
        <f>+($CQ$20*CD21)*$CQ$18</f>
        <v>2.5</v>
      </c>
      <c r="CR21" s="382">
        <f>+($CR$20*CD21)*$CR$18</f>
        <v>2.7083333333333335</v>
      </c>
      <c r="CS21" s="382">
        <f>+($CS$20*CD21)*$CS$18</f>
        <v>2.916666666666667</v>
      </c>
      <c r="CT21" s="382">
        <f>+($CT$20*CD21)*$CT$18</f>
        <v>3.125</v>
      </c>
      <c r="CU21" s="382">
        <f>+($CU$20*CD21)*$CU$18</f>
        <v>3.3333333333333335</v>
      </c>
    </row>
    <row r="22" spans="1:99" ht="12.75" customHeight="1">
      <c r="A22" s="109">
        <v>1.25</v>
      </c>
      <c r="B22" s="110">
        <v>1.0277777777777777</v>
      </c>
      <c r="D22" s="109">
        <v>1.25</v>
      </c>
      <c r="E22" s="109">
        <v>1.6</v>
      </c>
      <c r="F22" s="110">
        <f>+$F$18*E22</f>
        <v>6</v>
      </c>
      <c r="H22" s="109">
        <v>2</v>
      </c>
      <c r="I22" s="109">
        <v>1.6</v>
      </c>
      <c r="J22" s="138">
        <f t="shared" ref="J22:R53" si="14">+J$18*$H22/12*$I22</f>
        <v>1.2000000000000002</v>
      </c>
      <c r="K22" s="138">
        <f t="shared" si="9"/>
        <v>0.53333333333333333</v>
      </c>
      <c r="L22" s="138">
        <f t="shared" si="9"/>
        <v>1.2000000000000002</v>
      </c>
      <c r="M22" s="138">
        <f t="shared" si="9"/>
        <v>1.0666666666666667</v>
      </c>
      <c r="N22" s="138">
        <f t="shared" si="9"/>
        <v>1.3333333333333335</v>
      </c>
      <c r="O22" s="138">
        <f t="shared" si="9"/>
        <v>1.4666666666666668</v>
      </c>
      <c r="P22" s="138">
        <f t="shared" si="9"/>
        <v>1</v>
      </c>
      <c r="Q22" s="138">
        <f t="shared" si="9"/>
        <v>1.1333333333333335</v>
      </c>
      <c r="R22" s="138">
        <f t="shared" si="9"/>
        <v>1.6</v>
      </c>
      <c r="S22" s="139"/>
      <c r="T22" s="109">
        <v>2</v>
      </c>
      <c r="U22" s="109">
        <v>1.6</v>
      </c>
      <c r="V22" s="138">
        <f t="shared" ref="V22:AD53" si="15">+V$18*$H22/12*$I22</f>
        <v>1.5</v>
      </c>
      <c r="W22" s="138">
        <f t="shared" ref="W22:AD36" si="16">+W$18*$H22/12*$I22</f>
        <v>0.8</v>
      </c>
      <c r="X22" s="138">
        <f t="shared" si="16"/>
        <v>1.8</v>
      </c>
      <c r="Y22" s="138">
        <f t="shared" si="16"/>
        <v>1.6</v>
      </c>
      <c r="Z22" s="138">
        <f t="shared" si="16"/>
        <v>4</v>
      </c>
      <c r="AA22" s="138">
        <f t="shared" si="16"/>
        <v>5.1333333333333337</v>
      </c>
      <c r="AB22" s="138">
        <f t="shared" si="16"/>
        <v>1.5</v>
      </c>
      <c r="AC22" s="138">
        <f t="shared" si="16"/>
        <v>1.7000000000000002</v>
      </c>
      <c r="AD22" s="138">
        <f t="shared" si="16"/>
        <v>4.8000000000000007</v>
      </c>
      <c r="AE22" s="139"/>
      <c r="AF22" s="109">
        <v>2</v>
      </c>
      <c r="AG22" s="109">
        <v>1.6</v>
      </c>
      <c r="AH22" s="138">
        <f t="shared" ref="AH22:AR53" si="17">+AH$18*$AF22/12*$AG22</f>
        <v>1.875</v>
      </c>
      <c r="AI22" s="138">
        <f t="shared" si="11"/>
        <v>1</v>
      </c>
      <c r="AJ22" s="138">
        <f t="shared" si="11"/>
        <v>1.8</v>
      </c>
      <c r="AK22" s="138">
        <f t="shared" si="11"/>
        <v>1.6</v>
      </c>
      <c r="AL22" s="138">
        <f t="shared" si="11"/>
        <v>6</v>
      </c>
      <c r="AM22" s="138">
        <f t="shared" si="11"/>
        <v>7.7</v>
      </c>
      <c r="AN22" s="138">
        <f t="shared" si="11"/>
        <v>1.5</v>
      </c>
      <c r="AO22" s="138">
        <f t="shared" si="11"/>
        <v>0.53333333333333333</v>
      </c>
      <c r="AP22" s="138">
        <f t="shared" si="11"/>
        <v>1.3333333333333335</v>
      </c>
      <c r="AQ22" s="138">
        <f t="shared" si="11"/>
        <v>2.5500000000000003</v>
      </c>
      <c r="AR22" s="138">
        <f t="shared" si="11"/>
        <v>7.2</v>
      </c>
      <c r="AT22" s="133">
        <v>0.375</v>
      </c>
      <c r="AU22" s="110">
        <f t="shared" ref="AU22:AU38" si="18">+AU21+(AT22/AT21*AU21*$AU$18)</f>
        <v>4.59375</v>
      </c>
      <c r="AW22" s="133">
        <v>0.375</v>
      </c>
      <c r="AX22" s="109">
        <v>1.6</v>
      </c>
      <c r="AY22" s="138">
        <f t="shared" ref="AY22:AY38" si="19">+AY$18*$H22/12*$I22</f>
        <v>0.53333333333333333</v>
      </c>
      <c r="AZ22" s="138">
        <f t="shared" si="12"/>
        <v>0.8</v>
      </c>
      <c r="BA22" s="138">
        <f t="shared" si="12"/>
        <v>1.3333333333333335</v>
      </c>
      <c r="BB22" s="138">
        <f t="shared" si="12"/>
        <v>1.6</v>
      </c>
      <c r="BC22" s="138">
        <f t="shared" si="12"/>
        <v>8</v>
      </c>
      <c r="BD22" s="138">
        <f t="shared" si="12"/>
        <v>10.666666666666668</v>
      </c>
      <c r="BE22" s="138">
        <f t="shared" si="12"/>
        <v>5.3333333333333339</v>
      </c>
      <c r="BF22" s="138">
        <f t="shared" si="12"/>
        <v>1.8666666666666669</v>
      </c>
      <c r="BG22" s="138">
        <f t="shared" si="12"/>
        <v>2.666666666666667</v>
      </c>
      <c r="BI22" s="371">
        <v>2</v>
      </c>
      <c r="BJ22" s="110">
        <f>+BJ21+(BI22/BI21*BJ21*$BJ$18)</f>
        <v>4.2</v>
      </c>
      <c r="BL22" s="133">
        <f>+BL21+0.5</f>
        <v>1</v>
      </c>
      <c r="BM22" s="198">
        <f t="shared" ref="BM22:BM35" si="20">+BM$18*$BL22</f>
        <v>5</v>
      </c>
      <c r="BN22" s="198">
        <f t="shared" si="13"/>
        <v>5.5</v>
      </c>
      <c r="BO22" s="198">
        <f t="shared" si="13"/>
        <v>6</v>
      </c>
      <c r="BP22" s="198">
        <f t="shared" si="13"/>
        <v>6.5</v>
      </c>
      <c r="BQ22" s="198">
        <f t="shared" si="13"/>
        <v>7</v>
      </c>
      <c r="BR22" s="198">
        <f t="shared" si="13"/>
        <v>7.5</v>
      </c>
      <c r="BS22" s="198">
        <f t="shared" si="13"/>
        <v>8</v>
      </c>
      <c r="BT22" s="198">
        <f t="shared" si="13"/>
        <v>8.5</v>
      </c>
      <c r="BU22" s="198">
        <f t="shared" si="13"/>
        <v>9</v>
      </c>
      <c r="BV22" s="198">
        <f t="shared" si="13"/>
        <v>9.5</v>
      </c>
      <c r="BW22" s="198">
        <f t="shared" si="13"/>
        <v>10.25</v>
      </c>
      <c r="BX22" s="198">
        <f t="shared" si="13"/>
        <v>11</v>
      </c>
      <c r="BY22" s="198">
        <f t="shared" si="13"/>
        <v>11.75</v>
      </c>
      <c r="BZ22" s="198">
        <f t="shared" si="13"/>
        <v>12.5</v>
      </c>
      <c r="CA22" s="198">
        <f t="shared" si="13"/>
        <v>13.25</v>
      </c>
      <c r="CB22" s="198">
        <f t="shared" si="13"/>
        <v>14</v>
      </c>
      <c r="CD22" s="133">
        <v>0.375</v>
      </c>
      <c r="CE22" s="686" t="s">
        <v>390</v>
      </c>
      <c r="CF22" s="382">
        <f>+($CF$20*CD22)*$CF$18</f>
        <v>0.3125</v>
      </c>
      <c r="CG22" s="382">
        <f t="shared" ref="CG22:CG38" si="21">+($CG$20*CD22)*$CG$18</f>
        <v>0.625</v>
      </c>
      <c r="CH22" s="382">
        <f t="shared" ref="CH22:CH38" si="22">+($CH$20*CD22)*$CH$18</f>
        <v>0.9375</v>
      </c>
      <c r="CI22" s="382">
        <f t="shared" ref="CI22:CI38" si="23">+($CI$20*CD22)*$CI$18</f>
        <v>1.25</v>
      </c>
      <c r="CJ22" s="382">
        <f t="shared" ref="CJ22:CJ38" si="24">+($CJ$20*CD22)*$CJ$18</f>
        <v>1.5625</v>
      </c>
      <c r="CK22" s="382">
        <f t="shared" ref="CK22:CK38" si="25">+($CK$20*CD22)*$CK$18</f>
        <v>1.875</v>
      </c>
      <c r="CL22" s="382">
        <f t="shared" ref="CL22:CL38" si="26">+($CL$20*CD22)*$CL$18</f>
        <v>2.1875</v>
      </c>
      <c r="CM22" s="382">
        <f t="shared" ref="CM22:CM38" si="27">+($CM$20*CD22)*$CM$18</f>
        <v>2.5</v>
      </c>
      <c r="CN22" s="382">
        <f t="shared" ref="CN22:CN38" si="28">+($CN$20*CD22)*$CN$18</f>
        <v>2.8125</v>
      </c>
      <c r="CO22" s="382">
        <f t="shared" ref="CO22:CO31" si="29">+($CO$20*CD22)*$CO$18</f>
        <v>3.125</v>
      </c>
      <c r="CP22" s="382">
        <f t="shared" ref="CP22:CP31" si="30">+($CP$20*CD22)*$CP$18</f>
        <v>3.4375</v>
      </c>
      <c r="CQ22" s="382">
        <f t="shared" ref="CQ22:CQ31" si="31">+($CQ$20*CD22)*$CQ$18</f>
        <v>3.75</v>
      </c>
      <c r="CR22" s="382">
        <f t="shared" ref="CR22:CR31" si="32">+($CR$20*CD22)*$CR$18</f>
        <v>4.0625</v>
      </c>
      <c r="CS22" s="382">
        <f t="shared" ref="CS22:CS31" si="33">+($CS$20*CD22)*$CS$18</f>
        <v>4.375</v>
      </c>
      <c r="CT22" s="382">
        <f t="shared" ref="CT22:CT31" si="34">+($CT$20*CD22)*$CT$18</f>
        <v>4.6875</v>
      </c>
      <c r="CU22" s="382">
        <f t="shared" ref="CU22:CU31" si="35">+($CU$20*CD22)*$CU$18</f>
        <v>5</v>
      </c>
    </row>
    <row r="23" spans="1:99">
      <c r="A23" s="109">
        <v>2</v>
      </c>
      <c r="B23" s="110">
        <v>1.0444444444444445</v>
      </c>
      <c r="D23" s="109">
        <v>1.75</v>
      </c>
      <c r="E23" s="109">
        <v>1.4</v>
      </c>
      <c r="F23" s="110">
        <f t="shared" ref="F23:F50" si="36">+$F$18*E23</f>
        <v>5.25</v>
      </c>
      <c r="H23" s="109">
        <v>3</v>
      </c>
      <c r="I23" s="109">
        <v>1.4</v>
      </c>
      <c r="J23" s="138">
        <f t="shared" si="14"/>
        <v>1.575</v>
      </c>
      <c r="K23" s="138">
        <f t="shared" si="9"/>
        <v>0.7</v>
      </c>
      <c r="L23" s="138">
        <f t="shared" si="9"/>
        <v>1.575</v>
      </c>
      <c r="M23" s="138">
        <f t="shared" si="9"/>
        <v>1.4</v>
      </c>
      <c r="N23" s="138">
        <f t="shared" si="9"/>
        <v>1.75</v>
      </c>
      <c r="O23" s="138">
        <f t="shared" si="9"/>
        <v>1.9249999999999998</v>
      </c>
      <c r="P23" s="138">
        <f t="shared" si="9"/>
        <v>1.3125</v>
      </c>
      <c r="Q23" s="138">
        <f t="shared" si="9"/>
        <v>1.4874999999999998</v>
      </c>
      <c r="R23" s="138">
        <f t="shared" si="9"/>
        <v>2.0999999999999996</v>
      </c>
      <c r="S23" s="139"/>
      <c r="T23" s="109">
        <v>3</v>
      </c>
      <c r="U23" s="109">
        <v>1.4</v>
      </c>
      <c r="V23" s="138">
        <f t="shared" si="15"/>
        <v>1.9687499999999998</v>
      </c>
      <c r="W23" s="138">
        <f t="shared" si="16"/>
        <v>1.0499999999999998</v>
      </c>
      <c r="X23" s="138">
        <f t="shared" si="16"/>
        <v>2.3624999999999998</v>
      </c>
      <c r="Y23" s="138">
        <f t="shared" si="16"/>
        <v>2.0999999999999996</v>
      </c>
      <c r="Z23" s="138">
        <f t="shared" si="16"/>
        <v>5.25</v>
      </c>
      <c r="AA23" s="138">
        <f t="shared" si="16"/>
        <v>6.7374999999999998</v>
      </c>
      <c r="AB23" s="138">
        <f t="shared" si="16"/>
        <v>1.9687499999999998</v>
      </c>
      <c r="AC23" s="138">
        <f t="shared" si="16"/>
        <v>2.2312499999999997</v>
      </c>
      <c r="AD23" s="138">
        <f t="shared" si="16"/>
        <v>6.3</v>
      </c>
      <c r="AE23" s="139"/>
      <c r="AF23" s="109">
        <v>3</v>
      </c>
      <c r="AG23" s="109">
        <v>1.4</v>
      </c>
      <c r="AH23" s="138">
        <f t="shared" si="17"/>
        <v>2.4609375</v>
      </c>
      <c r="AI23" s="138">
        <f t="shared" si="11"/>
        <v>1.3125</v>
      </c>
      <c r="AJ23" s="138">
        <f t="shared" si="11"/>
        <v>2.3624999999999998</v>
      </c>
      <c r="AK23" s="138">
        <f t="shared" si="11"/>
        <v>2.0999999999999996</v>
      </c>
      <c r="AL23" s="138">
        <f t="shared" si="11"/>
        <v>7.8749999999999991</v>
      </c>
      <c r="AM23" s="138">
        <f t="shared" si="11"/>
        <v>10.106249999999999</v>
      </c>
      <c r="AN23" s="138">
        <f t="shared" si="11"/>
        <v>1.9687499999999998</v>
      </c>
      <c r="AO23" s="138">
        <f t="shared" si="11"/>
        <v>0.7</v>
      </c>
      <c r="AP23" s="138">
        <f t="shared" si="11"/>
        <v>1.75</v>
      </c>
      <c r="AQ23" s="138">
        <f t="shared" si="11"/>
        <v>3.3468749999999998</v>
      </c>
      <c r="AR23" s="138">
        <f t="shared" si="11"/>
        <v>9.4499999999999993</v>
      </c>
      <c r="AT23" s="133">
        <v>0.5</v>
      </c>
      <c r="AU23" s="110">
        <f t="shared" si="18"/>
        <v>5.5125000000000002</v>
      </c>
      <c r="AW23" s="133">
        <v>0.5</v>
      </c>
      <c r="AX23" s="109">
        <v>1.4</v>
      </c>
      <c r="AY23" s="138">
        <f t="shared" si="19"/>
        <v>0.7</v>
      </c>
      <c r="AZ23" s="138">
        <f t="shared" si="12"/>
        <v>1.0499999999999998</v>
      </c>
      <c r="BA23" s="138">
        <f t="shared" si="12"/>
        <v>1.75</v>
      </c>
      <c r="BB23" s="138">
        <f t="shared" si="12"/>
        <v>2.0999999999999996</v>
      </c>
      <c r="BC23" s="138">
        <f t="shared" si="12"/>
        <v>10.5</v>
      </c>
      <c r="BD23" s="138">
        <f t="shared" si="12"/>
        <v>14</v>
      </c>
      <c r="BE23" s="138">
        <f t="shared" si="12"/>
        <v>7</v>
      </c>
      <c r="BF23" s="138">
        <f t="shared" si="12"/>
        <v>2.4499999999999997</v>
      </c>
      <c r="BG23" s="138">
        <f t="shared" si="12"/>
        <v>3.5</v>
      </c>
      <c r="BI23" s="371">
        <v>3</v>
      </c>
      <c r="BJ23" s="110">
        <f t="shared" ref="BJ23:BJ30" si="37">+BJ22+(BI23/BI22*BJ22*$BJ$18)</f>
        <v>5.4600000000000009</v>
      </c>
      <c r="BL23" s="133">
        <f t="shared" ref="BL23:BL36" si="38">+BL22+0.5</f>
        <v>1.5</v>
      </c>
      <c r="BM23" s="198">
        <f t="shared" si="20"/>
        <v>7.5</v>
      </c>
      <c r="BN23" s="198">
        <f t="shared" si="13"/>
        <v>8.25</v>
      </c>
      <c r="BO23" s="198">
        <f t="shared" si="13"/>
        <v>9</v>
      </c>
      <c r="BP23" s="198">
        <f t="shared" si="13"/>
        <v>9.75</v>
      </c>
      <c r="BQ23" s="198">
        <f t="shared" si="13"/>
        <v>10.5</v>
      </c>
      <c r="BR23" s="198">
        <f t="shared" si="13"/>
        <v>11.25</v>
      </c>
      <c r="BS23" s="198">
        <f t="shared" si="13"/>
        <v>12</v>
      </c>
      <c r="BT23" s="198">
        <f t="shared" si="13"/>
        <v>12.75</v>
      </c>
      <c r="BU23" s="198">
        <f t="shared" si="13"/>
        <v>13.5</v>
      </c>
      <c r="BV23" s="198">
        <f t="shared" si="13"/>
        <v>14.25</v>
      </c>
      <c r="BW23" s="198">
        <f t="shared" si="13"/>
        <v>15.375</v>
      </c>
      <c r="BX23" s="198">
        <f t="shared" si="13"/>
        <v>16.5</v>
      </c>
      <c r="BY23" s="198">
        <f t="shared" si="13"/>
        <v>17.625</v>
      </c>
      <c r="BZ23" s="198">
        <f t="shared" si="13"/>
        <v>18.75</v>
      </c>
      <c r="CA23" s="198">
        <f t="shared" si="13"/>
        <v>19.875</v>
      </c>
      <c r="CB23" s="198">
        <f t="shared" si="13"/>
        <v>21</v>
      </c>
      <c r="CD23" s="133">
        <v>0.5</v>
      </c>
      <c r="CE23" s="687"/>
      <c r="CF23" s="382">
        <f t="shared" ref="CF23:CF38" si="39">+($CF$20*CD23)*$CF$18</f>
        <v>0.41666666666666669</v>
      </c>
      <c r="CG23" s="382">
        <f t="shared" si="21"/>
        <v>0.83333333333333337</v>
      </c>
      <c r="CH23" s="382">
        <f t="shared" si="22"/>
        <v>1.25</v>
      </c>
      <c r="CI23" s="382">
        <f t="shared" si="23"/>
        <v>1.6666666666666667</v>
      </c>
      <c r="CJ23" s="382">
        <f t="shared" si="24"/>
        <v>2.0833333333333335</v>
      </c>
      <c r="CK23" s="382">
        <f t="shared" si="25"/>
        <v>2.5</v>
      </c>
      <c r="CL23" s="382">
        <f t="shared" si="26"/>
        <v>2.916666666666667</v>
      </c>
      <c r="CM23" s="382">
        <f t="shared" si="27"/>
        <v>3.3333333333333335</v>
      </c>
      <c r="CN23" s="382">
        <f t="shared" si="28"/>
        <v>3.75</v>
      </c>
      <c r="CO23" s="382">
        <f t="shared" si="29"/>
        <v>4.166666666666667</v>
      </c>
      <c r="CP23" s="382">
        <f t="shared" si="30"/>
        <v>4.5833333333333339</v>
      </c>
      <c r="CQ23" s="382">
        <f t="shared" si="31"/>
        <v>5</v>
      </c>
      <c r="CR23" s="382">
        <f t="shared" si="32"/>
        <v>5.416666666666667</v>
      </c>
      <c r="CS23" s="382">
        <f t="shared" si="33"/>
        <v>5.8333333333333339</v>
      </c>
      <c r="CT23" s="382">
        <f t="shared" si="34"/>
        <v>6.25</v>
      </c>
      <c r="CU23" s="382">
        <f t="shared" si="35"/>
        <v>6.666666666666667</v>
      </c>
    </row>
    <row r="24" spans="1:99">
      <c r="A24" s="109">
        <v>3</v>
      </c>
      <c r="B24" s="110">
        <v>1.0666666666666667</v>
      </c>
      <c r="D24" s="109">
        <v>2</v>
      </c>
      <c r="E24" s="109">
        <v>1.2</v>
      </c>
      <c r="F24" s="110">
        <f t="shared" si="36"/>
        <v>4.5</v>
      </c>
      <c r="H24" s="109">
        <v>4</v>
      </c>
      <c r="I24" s="109">
        <v>1.2</v>
      </c>
      <c r="J24" s="138">
        <f t="shared" si="14"/>
        <v>1.7999999999999998</v>
      </c>
      <c r="K24" s="138">
        <f t="shared" si="9"/>
        <v>0.79999999999999993</v>
      </c>
      <c r="L24" s="138">
        <f t="shared" si="9"/>
        <v>1.7999999999999998</v>
      </c>
      <c r="M24" s="138">
        <f t="shared" si="9"/>
        <v>1.5999999999999999</v>
      </c>
      <c r="N24" s="138">
        <f t="shared" si="9"/>
        <v>2</v>
      </c>
      <c r="O24" s="138">
        <f t="shared" si="9"/>
        <v>2.1999999999999997</v>
      </c>
      <c r="P24" s="138">
        <f t="shared" si="9"/>
        <v>1.5</v>
      </c>
      <c r="Q24" s="138">
        <f t="shared" si="9"/>
        <v>1.7</v>
      </c>
      <c r="R24" s="138">
        <f t="shared" si="9"/>
        <v>2.4</v>
      </c>
      <c r="S24" s="139"/>
      <c r="T24" s="109">
        <v>4</v>
      </c>
      <c r="U24" s="109">
        <v>1.2</v>
      </c>
      <c r="V24" s="138">
        <f t="shared" si="15"/>
        <v>2.25</v>
      </c>
      <c r="W24" s="138">
        <f t="shared" si="16"/>
        <v>1.2</v>
      </c>
      <c r="X24" s="138">
        <f t="shared" si="16"/>
        <v>2.6999999999999997</v>
      </c>
      <c r="Y24" s="138">
        <f t="shared" si="16"/>
        <v>2.4</v>
      </c>
      <c r="Z24" s="138">
        <f t="shared" si="16"/>
        <v>6</v>
      </c>
      <c r="AA24" s="138">
        <f t="shared" si="16"/>
        <v>7.7</v>
      </c>
      <c r="AB24" s="138">
        <f t="shared" si="16"/>
        <v>2.25</v>
      </c>
      <c r="AC24" s="138">
        <f t="shared" si="16"/>
        <v>2.5499999999999998</v>
      </c>
      <c r="AD24" s="138">
        <f t="shared" si="16"/>
        <v>7.1999999999999993</v>
      </c>
      <c r="AE24" s="139"/>
      <c r="AF24" s="109">
        <v>4</v>
      </c>
      <c r="AG24" s="109">
        <v>1.2</v>
      </c>
      <c r="AH24" s="138">
        <f t="shared" si="17"/>
        <v>2.8125</v>
      </c>
      <c r="AI24" s="138">
        <f t="shared" si="11"/>
        <v>1.5</v>
      </c>
      <c r="AJ24" s="138">
        <f t="shared" si="11"/>
        <v>2.6999999999999997</v>
      </c>
      <c r="AK24" s="138">
        <f t="shared" si="11"/>
        <v>2.4</v>
      </c>
      <c r="AL24" s="138">
        <f t="shared" si="11"/>
        <v>9</v>
      </c>
      <c r="AM24" s="138">
        <f t="shared" si="11"/>
        <v>11.549999999999999</v>
      </c>
      <c r="AN24" s="138">
        <f t="shared" si="11"/>
        <v>2.25</v>
      </c>
      <c r="AO24" s="138">
        <f t="shared" si="11"/>
        <v>0.79999999999999993</v>
      </c>
      <c r="AP24" s="138">
        <f t="shared" si="11"/>
        <v>2</v>
      </c>
      <c r="AQ24" s="138">
        <f t="shared" si="11"/>
        <v>3.8249999999999997</v>
      </c>
      <c r="AR24" s="138">
        <f t="shared" si="11"/>
        <v>10.799999999999999</v>
      </c>
      <c r="AT24" s="133">
        <v>0.625</v>
      </c>
      <c r="AU24" s="110">
        <f t="shared" si="18"/>
        <v>6.5460937499999998</v>
      </c>
      <c r="AW24" s="133">
        <v>0.625</v>
      </c>
      <c r="AX24" s="109">
        <v>1.2</v>
      </c>
      <c r="AY24" s="138">
        <f t="shared" si="19"/>
        <v>0.79999999999999993</v>
      </c>
      <c r="AZ24" s="138">
        <f t="shared" si="12"/>
        <v>1.2</v>
      </c>
      <c r="BA24" s="138">
        <f t="shared" si="12"/>
        <v>2</v>
      </c>
      <c r="BB24" s="138">
        <f t="shared" si="12"/>
        <v>2.4</v>
      </c>
      <c r="BC24" s="138">
        <f t="shared" si="12"/>
        <v>12</v>
      </c>
      <c r="BD24" s="138">
        <f t="shared" si="12"/>
        <v>16</v>
      </c>
      <c r="BE24" s="138">
        <f t="shared" si="12"/>
        <v>8</v>
      </c>
      <c r="BF24" s="138">
        <f t="shared" si="12"/>
        <v>2.8000000000000003</v>
      </c>
      <c r="BG24" s="138">
        <f t="shared" si="12"/>
        <v>4</v>
      </c>
      <c r="BI24" s="371">
        <v>4</v>
      </c>
      <c r="BJ24" s="110">
        <f t="shared" si="37"/>
        <v>6.9160000000000013</v>
      </c>
      <c r="BL24" s="133">
        <f t="shared" si="38"/>
        <v>2</v>
      </c>
      <c r="BM24" s="198">
        <f t="shared" si="20"/>
        <v>10</v>
      </c>
      <c r="BN24" s="198">
        <f t="shared" si="13"/>
        <v>11</v>
      </c>
      <c r="BO24" s="198">
        <f t="shared" si="13"/>
        <v>12</v>
      </c>
      <c r="BP24" s="198">
        <f t="shared" si="13"/>
        <v>13</v>
      </c>
      <c r="BQ24" s="198">
        <f t="shared" si="13"/>
        <v>14</v>
      </c>
      <c r="BR24" s="198">
        <f t="shared" si="13"/>
        <v>15</v>
      </c>
      <c r="BS24" s="198">
        <f t="shared" si="13"/>
        <v>16</v>
      </c>
      <c r="BT24" s="198">
        <f t="shared" si="13"/>
        <v>17</v>
      </c>
      <c r="BU24" s="198">
        <f t="shared" si="13"/>
        <v>18</v>
      </c>
      <c r="BV24" s="198">
        <f t="shared" si="13"/>
        <v>19</v>
      </c>
      <c r="BW24" s="198">
        <f t="shared" si="13"/>
        <v>20.5</v>
      </c>
      <c r="BX24" s="198">
        <f t="shared" si="13"/>
        <v>22</v>
      </c>
      <c r="BY24" s="198">
        <f t="shared" si="13"/>
        <v>23.5</v>
      </c>
      <c r="BZ24" s="198">
        <f t="shared" si="13"/>
        <v>25</v>
      </c>
      <c r="CA24" s="198">
        <f t="shared" si="13"/>
        <v>26.5</v>
      </c>
      <c r="CB24" s="198">
        <f t="shared" si="13"/>
        <v>28</v>
      </c>
      <c r="CD24" s="133">
        <v>0.625</v>
      </c>
      <c r="CE24" s="687"/>
      <c r="CF24" s="382">
        <f t="shared" si="39"/>
        <v>0.52083333333333337</v>
      </c>
      <c r="CG24" s="382">
        <f t="shared" si="21"/>
        <v>1.0416666666666667</v>
      </c>
      <c r="CH24" s="382">
        <f t="shared" si="22"/>
        <v>1.5625</v>
      </c>
      <c r="CI24" s="382">
        <f t="shared" si="23"/>
        <v>2.0833333333333335</v>
      </c>
      <c r="CJ24" s="382">
        <f t="shared" si="24"/>
        <v>2.604166666666667</v>
      </c>
      <c r="CK24" s="382">
        <f t="shared" si="25"/>
        <v>3.125</v>
      </c>
      <c r="CL24" s="382">
        <f t="shared" si="26"/>
        <v>3.6458333333333335</v>
      </c>
      <c r="CM24" s="382">
        <f t="shared" si="27"/>
        <v>4.166666666666667</v>
      </c>
      <c r="CN24" s="382">
        <f t="shared" si="28"/>
        <v>4.6875</v>
      </c>
      <c r="CO24" s="382">
        <f t="shared" si="29"/>
        <v>5.2083333333333339</v>
      </c>
      <c r="CP24" s="382">
        <f t="shared" si="30"/>
        <v>5.729166666666667</v>
      </c>
      <c r="CQ24" s="382">
        <f t="shared" si="31"/>
        <v>6.25</v>
      </c>
      <c r="CR24" s="382">
        <f t="shared" si="32"/>
        <v>6.7708333333333339</v>
      </c>
      <c r="CS24" s="382">
        <f t="shared" si="33"/>
        <v>7.291666666666667</v>
      </c>
      <c r="CT24" s="382">
        <f t="shared" si="34"/>
        <v>7.8125</v>
      </c>
      <c r="CU24" s="382">
        <f t="shared" si="35"/>
        <v>8.3333333333333339</v>
      </c>
    </row>
    <row r="25" spans="1:99">
      <c r="A25" s="109">
        <v>4</v>
      </c>
      <c r="B25" s="110">
        <v>1.0888888888888888</v>
      </c>
      <c r="D25" s="109">
        <v>2.5</v>
      </c>
      <c r="E25" s="109">
        <v>1</v>
      </c>
      <c r="F25" s="110">
        <f t="shared" si="36"/>
        <v>3.75</v>
      </c>
      <c r="H25" s="109">
        <v>5</v>
      </c>
      <c r="I25" s="109">
        <v>1</v>
      </c>
      <c r="J25" s="138">
        <f t="shared" si="14"/>
        <v>1.875</v>
      </c>
      <c r="K25" s="138">
        <f t="shared" si="9"/>
        <v>0.83333333333333337</v>
      </c>
      <c r="L25" s="138">
        <f t="shared" si="9"/>
        <v>1.875</v>
      </c>
      <c r="M25" s="138">
        <f t="shared" si="9"/>
        <v>1.6666666666666667</v>
      </c>
      <c r="N25" s="138">
        <f t="shared" si="9"/>
        <v>2.0833333333333335</v>
      </c>
      <c r="O25" s="138">
        <f t="shared" si="9"/>
        <v>2.2916666666666665</v>
      </c>
      <c r="P25" s="138">
        <f t="shared" si="9"/>
        <v>1.5625</v>
      </c>
      <c r="Q25" s="138">
        <f t="shared" si="9"/>
        <v>1.7708333333333333</v>
      </c>
      <c r="R25" s="138">
        <f t="shared" si="9"/>
        <v>2.5</v>
      </c>
      <c r="S25" s="139"/>
      <c r="T25" s="109">
        <v>5</v>
      </c>
      <c r="U25" s="109">
        <v>1</v>
      </c>
      <c r="V25" s="138">
        <f t="shared" si="15"/>
        <v>2.34375</v>
      </c>
      <c r="W25" s="138">
        <f t="shared" si="16"/>
        <v>1.25</v>
      </c>
      <c r="X25" s="138">
        <f t="shared" si="16"/>
        <v>2.8125</v>
      </c>
      <c r="Y25" s="138">
        <f t="shared" si="16"/>
        <v>2.5</v>
      </c>
      <c r="Z25" s="138">
        <f t="shared" si="16"/>
        <v>6.25</v>
      </c>
      <c r="AA25" s="138">
        <f t="shared" si="16"/>
        <v>8.0208333333333339</v>
      </c>
      <c r="AB25" s="138">
        <f t="shared" si="16"/>
        <v>2.34375</v>
      </c>
      <c r="AC25" s="138">
        <f t="shared" si="16"/>
        <v>2.65625</v>
      </c>
      <c r="AD25" s="138">
        <f t="shared" si="16"/>
        <v>7.5</v>
      </c>
      <c r="AE25" s="139"/>
      <c r="AF25" s="109">
        <v>5</v>
      </c>
      <c r="AG25" s="109">
        <v>1</v>
      </c>
      <c r="AH25" s="138">
        <f t="shared" si="17"/>
        <v>2.9296875</v>
      </c>
      <c r="AI25" s="138">
        <f t="shared" si="11"/>
        <v>1.5625</v>
      </c>
      <c r="AJ25" s="138">
        <f t="shared" si="11"/>
        <v>2.8125</v>
      </c>
      <c r="AK25" s="138">
        <f t="shared" si="11"/>
        <v>2.5</v>
      </c>
      <c r="AL25" s="138">
        <f t="shared" si="11"/>
        <v>9.375</v>
      </c>
      <c r="AM25" s="138">
        <f t="shared" si="11"/>
        <v>12.03125</v>
      </c>
      <c r="AN25" s="138">
        <f t="shared" si="11"/>
        <v>2.34375</v>
      </c>
      <c r="AO25" s="138">
        <f t="shared" si="11"/>
        <v>0.83333333333333337</v>
      </c>
      <c r="AP25" s="138">
        <f t="shared" si="11"/>
        <v>2.0833333333333335</v>
      </c>
      <c r="AQ25" s="138">
        <f t="shared" si="11"/>
        <v>3.984375</v>
      </c>
      <c r="AR25" s="138">
        <f t="shared" si="11"/>
        <v>11.25</v>
      </c>
      <c r="AT25" s="133">
        <v>0.75</v>
      </c>
      <c r="AU25" s="110">
        <f t="shared" si="18"/>
        <v>7.7243906249999998</v>
      </c>
      <c r="AW25" s="133">
        <v>0.75</v>
      </c>
      <c r="AX25" s="109">
        <v>1</v>
      </c>
      <c r="AY25" s="138">
        <f t="shared" si="19"/>
        <v>0.83333333333333337</v>
      </c>
      <c r="AZ25" s="138">
        <f t="shared" si="12"/>
        <v>1.25</v>
      </c>
      <c r="BA25" s="138">
        <f t="shared" si="12"/>
        <v>2.0833333333333335</v>
      </c>
      <c r="BB25" s="138">
        <f t="shared" si="12"/>
        <v>2.5</v>
      </c>
      <c r="BC25" s="138">
        <f t="shared" si="12"/>
        <v>12.5</v>
      </c>
      <c r="BD25" s="138">
        <f t="shared" si="12"/>
        <v>16.666666666666668</v>
      </c>
      <c r="BE25" s="138">
        <f t="shared" si="12"/>
        <v>8.3333333333333339</v>
      </c>
      <c r="BF25" s="138">
        <f t="shared" si="12"/>
        <v>2.9166666666666665</v>
      </c>
      <c r="BG25" s="138">
        <f t="shared" si="12"/>
        <v>4.166666666666667</v>
      </c>
      <c r="BI25" s="371">
        <v>5</v>
      </c>
      <c r="BJ25" s="110">
        <f t="shared" si="37"/>
        <v>8.6450000000000014</v>
      </c>
      <c r="BL25" s="133">
        <f t="shared" si="38"/>
        <v>2.5</v>
      </c>
      <c r="BM25" s="198">
        <f t="shared" si="20"/>
        <v>12.5</v>
      </c>
      <c r="BN25" s="198">
        <f t="shared" si="13"/>
        <v>13.75</v>
      </c>
      <c r="BO25" s="198">
        <f t="shared" si="13"/>
        <v>15</v>
      </c>
      <c r="BP25" s="198">
        <f t="shared" si="13"/>
        <v>16.25</v>
      </c>
      <c r="BQ25" s="198">
        <f t="shared" si="13"/>
        <v>17.5</v>
      </c>
      <c r="BR25" s="198">
        <f t="shared" si="13"/>
        <v>18.75</v>
      </c>
      <c r="BS25" s="198">
        <f t="shared" si="13"/>
        <v>20</v>
      </c>
      <c r="BT25" s="198">
        <f t="shared" si="13"/>
        <v>21.25</v>
      </c>
      <c r="BU25" s="198">
        <f t="shared" si="13"/>
        <v>22.5</v>
      </c>
      <c r="BV25" s="198">
        <f t="shared" si="13"/>
        <v>23.75</v>
      </c>
      <c r="BW25" s="198">
        <f t="shared" si="13"/>
        <v>25.625</v>
      </c>
      <c r="BX25" s="198">
        <f t="shared" si="13"/>
        <v>27.5</v>
      </c>
      <c r="BY25" s="198">
        <f t="shared" si="13"/>
        <v>29.375</v>
      </c>
      <c r="BZ25" s="198">
        <f t="shared" si="13"/>
        <v>31.25</v>
      </c>
      <c r="CA25" s="198">
        <f t="shared" si="13"/>
        <v>33.125</v>
      </c>
      <c r="CB25" s="198">
        <f t="shared" si="13"/>
        <v>35</v>
      </c>
      <c r="CD25" s="133">
        <v>0.75</v>
      </c>
      <c r="CE25" s="687"/>
      <c r="CF25" s="382">
        <f t="shared" si="39"/>
        <v>0.625</v>
      </c>
      <c r="CG25" s="382">
        <f t="shared" si="21"/>
        <v>1.25</v>
      </c>
      <c r="CH25" s="382">
        <f t="shared" si="22"/>
        <v>1.875</v>
      </c>
      <c r="CI25" s="382">
        <f t="shared" si="23"/>
        <v>2.5</v>
      </c>
      <c r="CJ25" s="382">
        <f t="shared" si="24"/>
        <v>3.125</v>
      </c>
      <c r="CK25" s="382">
        <f t="shared" si="25"/>
        <v>3.75</v>
      </c>
      <c r="CL25" s="382">
        <f t="shared" si="26"/>
        <v>4.375</v>
      </c>
      <c r="CM25" s="382">
        <f t="shared" si="27"/>
        <v>5</v>
      </c>
      <c r="CN25" s="382">
        <f t="shared" si="28"/>
        <v>5.625</v>
      </c>
      <c r="CO25" s="382">
        <f t="shared" si="29"/>
        <v>6.25</v>
      </c>
      <c r="CP25" s="382">
        <f t="shared" si="30"/>
        <v>6.875</v>
      </c>
      <c r="CQ25" s="382">
        <f t="shared" si="31"/>
        <v>7.5</v>
      </c>
      <c r="CR25" s="382">
        <f t="shared" si="32"/>
        <v>8.125</v>
      </c>
      <c r="CS25" s="382">
        <f t="shared" si="33"/>
        <v>8.75</v>
      </c>
      <c r="CT25" s="382">
        <f t="shared" si="34"/>
        <v>9.375</v>
      </c>
      <c r="CU25" s="382">
        <f t="shared" si="35"/>
        <v>10</v>
      </c>
    </row>
    <row r="26" spans="1:99">
      <c r="A26" s="109">
        <v>5</v>
      </c>
      <c r="B26" s="110">
        <v>1.1111111111111112</v>
      </c>
      <c r="D26" s="109">
        <v>3</v>
      </c>
      <c r="E26" s="109">
        <v>1</v>
      </c>
      <c r="F26" s="110">
        <f t="shared" si="36"/>
        <v>3.75</v>
      </c>
      <c r="H26" s="109">
        <v>6</v>
      </c>
      <c r="I26" s="109">
        <v>1</v>
      </c>
      <c r="J26" s="138">
        <f t="shared" si="14"/>
        <v>2.25</v>
      </c>
      <c r="K26" s="138">
        <f t="shared" si="9"/>
        <v>1</v>
      </c>
      <c r="L26" s="138">
        <f t="shared" si="9"/>
        <v>2.25</v>
      </c>
      <c r="M26" s="138">
        <f t="shared" si="9"/>
        <v>2</v>
      </c>
      <c r="N26" s="138">
        <f t="shared" si="9"/>
        <v>2.5</v>
      </c>
      <c r="O26" s="138">
        <f t="shared" si="9"/>
        <v>2.75</v>
      </c>
      <c r="P26" s="138">
        <f t="shared" si="9"/>
        <v>1.875</v>
      </c>
      <c r="Q26" s="138">
        <f t="shared" si="9"/>
        <v>2.125</v>
      </c>
      <c r="R26" s="138">
        <f t="shared" si="9"/>
        <v>3</v>
      </c>
      <c r="S26" s="139"/>
      <c r="T26" s="109">
        <v>6</v>
      </c>
      <c r="U26" s="109">
        <v>1</v>
      </c>
      <c r="V26" s="138">
        <f t="shared" si="15"/>
        <v>2.8125</v>
      </c>
      <c r="W26" s="138">
        <f t="shared" si="16"/>
        <v>1.5</v>
      </c>
      <c r="X26" s="138">
        <f t="shared" si="16"/>
        <v>3.375</v>
      </c>
      <c r="Y26" s="138">
        <f t="shared" si="16"/>
        <v>3</v>
      </c>
      <c r="Z26" s="138">
        <f t="shared" si="16"/>
        <v>7.5</v>
      </c>
      <c r="AA26" s="138">
        <f t="shared" si="16"/>
        <v>9.625</v>
      </c>
      <c r="AB26" s="138">
        <f t="shared" si="16"/>
        <v>2.8125</v>
      </c>
      <c r="AC26" s="138">
        <f t="shared" si="16"/>
        <v>3.1875</v>
      </c>
      <c r="AD26" s="138">
        <f t="shared" si="16"/>
        <v>9</v>
      </c>
      <c r="AE26" s="139"/>
      <c r="AF26" s="109">
        <v>6</v>
      </c>
      <c r="AG26" s="109">
        <v>1</v>
      </c>
      <c r="AH26" s="138">
        <f t="shared" si="17"/>
        <v>3.515625</v>
      </c>
      <c r="AI26" s="138">
        <f t="shared" si="11"/>
        <v>1.875</v>
      </c>
      <c r="AJ26" s="138">
        <f t="shared" si="11"/>
        <v>3.375</v>
      </c>
      <c r="AK26" s="138">
        <f t="shared" si="11"/>
        <v>3</v>
      </c>
      <c r="AL26" s="138">
        <f t="shared" si="11"/>
        <v>11.25</v>
      </c>
      <c r="AM26" s="138">
        <f t="shared" si="11"/>
        <v>14.4375</v>
      </c>
      <c r="AN26" s="138">
        <f t="shared" si="11"/>
        <v>2.8125</v>
      </c>
      <c r="AO26" s="138">
        <f t="shared" si="11"/>
        <v>1</v>
      </c>
      <c r="AP26" s="138">
        <f t="shared" si="11"/>
        <v>2.5</v>
      </c>
      <c r="AQ26" s="138">
        <f t="shared" si="11"/>
        <v>4.78125</v>
      </c>
      <c r="AR26" s="138">
        <f t="shared" si="11"/>
        <v>13.5</v>
      </c>
      <c r="AT26" s="133">
        <v>1</v>
      </c>
      <c r="AU26" s="110">
        <f t="shared" si="18"/>
        <v>9.2692687500000002</v>
      </c>
      <c r="AW26" s="133">
        <v>1</v>
      </c>
      <c r="AX26" s="109">
        <v>1</v>
      </c>
      <c r="AY26" s="138">
        <f t="shared" si="19"/>
        <v>1</v>
      </c>
      <c r="AZ26" s="138">
        <f t="shared" si="12"/>
        <v>1.5</v>
      </c>
      <c r="BA26" s="138">
        <f t="shared" si="12"/>
        <v>2.5</v>
      </c>
      <c r="BB26" s="138">
        <f t="shared" si="12"/>
        <v>3</v>
      </c>
      <c r="BC26" s="138">
        <f t="shared" si="12"/>
        <v>15</v>
      </c>
      <c r="BD26" s="138">
        <f t="shared" si="12"/>
        <v>20</v>
      </c>
      <c r="BE26" s="138">
        <f t="shared" si="12"/>
        <v>10</v>
      </c>
      <c r="BF26" s="138">
        <f t="shared" si="12"/>
        <v>3.5</v>
      </c>
      <c r="BG26" s="138">
        <f t="shared" si="12"/>
        <v>5</v>
      </c>
      <c r="BI26" s="371">
        <v>6</v>
      </c>
      <c r="BJ26" s="110">
        <f t="shared" si="37"/>
        <v>10.719800000000001</v>
      </c>
      <c r="BL26" s="133">
        <f t="shared" si="38"/>
        <v>3</v>
      </c>
      <c r="BM26" s="198">
        <f t="shared" si="20"/>
        <v>15</v>
      </c>
      <c r="BN26" s="198">
        <f t="shared" si="13"/>
        <v>16.5</v>
      </c>
      <c r="BO26" s="198">
        <f t="shared" si="13"/>
        <v>18</v>
      </c>
      <c r="BP26" s="198">
        <f t="shared" si="13"/>
        <v>19.5</v>
      </c>
      <c r="BQ26" s="198">
        <f t="shared" si="13"/>
        <v>21</v>
      </c>
      <c r="BR26" s="198">
        <f t="shared" si="13"/>
        <v>22.5</v>
      </c>
      <c r="BS26" s="198">
        <f t="shared" si="13"/>
        <v>24</v>
      </c>
      <c r="BT26" s="198">
        <f t="shared" si="13"/>
        <v>25.5</v>
      </c>
      <c r="BU26" s="198">
        <f t="shared" si="13"/>
        <v>27</v>
      </c>
      <c r="BV26" s="198">
        <f t="shared" si="13"/>
        <v>28.5</v>
      </c>
      <c r="BW26" s="198">
        <f t="shared" si="13"/>
        <v>30.75</v>
      </c>
      <c r="BX26" s="198">
        <f t="shared" si="13"/>
        <v>33</v>
      </c>
      <c r="BY26" s="198">
        <f t="shared" si="13"/>
        <v>35.25</v>
      </c>
      <c r="BZ26" s="198">
        <f t="shared" si="13"/>
        <v>37.5</v>
      </c>
      <c r="CA26" s="198">
        <f t="shared" si="13"/>
        <v>39.75</v>
      </c>
      <c r="CB26" s="198">
        <f t="shared" si="13"/>
        <v>42</v>
      </c>
      <c r="CD26" s="133">
        <v>1</v>
      </c>
      <c r="CE26" s="687"/>
      <c r="CF26" s="382">
        <f t="shared" si="39"/>
        <v>0.83333333333333337</v>
      </c>
      <c r="CG26" s="382">
        <f t="shared" si="21"/>
        <v>1.6666666666666667</v>
      </c>
      <c r="CH26" s="382">
        <f t="shared" si="22"/>
        <v>2.5</v>
      </c>
      <c r="CI26" s="382">
        <f t="shared" si="23"/>
        <v>3.3333333333333335</v>
      </c>
      <c r="CJ26" s="382">
        <f t="shared" si="24"/>
        <v>4.166666666666667</v>
      </c>
      <c r="CK26" s="382">
        <f t="shared" si="25"/>
        <v>5</v>
      </c>
      <c r="CL26" s="382">
        <f t="shared" si="26"/>
        <v>5.8333333333333339</v>
      </c>
      <c r="CM26" s="382">
        <f t="shared" si="27"/>
        <v>6.666666666666667</v>
      </c>
      <c r="CN26" s="382">
        <f t="shared" si="28"/>
        <v>7.5</v>
      </c>
      <c r="CO26" s="382">
        <f t="shared" si="29"/>
        <v>8.3333333333333339</v>
      </c>
      <c r="CP26" s="382">
        <f t="shared" si="30"/>
        <v>9.1666666666666679</v>
      </c>
      <c r="CQ26" s="382">
        <f t="shared" si="31"/>
        <v>10</v>
      </c>
      <c r="CR26" s="382">
        <f t="shared" si="32"/>
        <v>10.833333333333334</v>
      </c>
      <c r="CS26" s="382">
        <f t="shared" si="33"/>
        <v>11.666666666666668</v>
      </c>
      <c r="CT26" s="382">
        <f t="shared" si="34"/>
        <v>12.5</v>
      </c>
      <c r="CU26" s="382">
        <f t="shared" si="35"/>
        <v>13.333333333333334</v>
      </c>
    </row>
    <row r="27" spans="1:99">
      <c r="A27" s="109">
        <v>6</v>
      </c>
      <c r="B27" s="110">
        <v>1.1333333333333333</v>
      </c>
      <c r="D27" s="109">
        <v>3.5</v>
      </c>
      <c r="E27" s="109">
        <v>1</v>
      </c>
      <c r="F27" s="110">
        <f t="shared" si="36"/>
        <v>3.75</v>
      </c>
      <c r="H27" s="109">
        <v>7</v>
      </c>
      <c r="I27" s="109">
        <v>1</v>
      </c>
      <c r="J27" s="138">
        <f t="shared" si="14"/>
        <v>2.625</v>
      </c>
      <c r="K27" s="138">
        <f t="shared" si="9"/>
        <v>1.1666666666666667</v>
      </c>
      <c r="L27" s="138">
        <f t="shared" si="9"/>
        <v>2.625</v>
      </c>
      <c r="M27" s="138">
        <f t="shared" si="9"/>
        <v>2.3333333333333335</v>
      </c>
      <c r="N27" s="138">
        <f t="shared" si="9"/>
        <v>2.9166666666666665</v>
      </c>
      <c r="O27" s="138">
        <f t="shared" si="9"/>
        <v>3.2083333333333335</v>
      </c>
      <c r="P27" s="138">
        <f t="shared" si="9"/>
        <v>2.1875</v>
      </c>
      <c r="Q27" s="138">
        <f t="shared" si="9"/>
        <v>2.4791666666666665</v>
      </c>
      <c r="R27" s="138">
        <f t="shared" si="9"/>
        <v>3.5</v>
      </c>
      <c r="S27" s="139"/>
      <c r="T27" s="109">
        <v>7</v>
      </c>
      <c r="U27" s="109">
        <v>1</v>
      </c>
      <c r="V27" s="138">
        <f t="shared" si="15"/>
        <v>3.28125</v>
      </c>
      <c r="W27" s="138">
        <f t="shared" si="16"/>
        <v>1.75</v>
      </c>
      <c r="X27" s="138">
        <f t="shared" si="16"/>
        <v>3.9375</v>
      </c>
      <c r="Y27" s="138">
        <f t="shared" si="16"/>
        <v>3.5</v>
      </c>
      <c r="Z27" s="138">
        <f t="shared" si="16"/>
        <v>8.75</v>
      </c>
      <c r="AA27" s="138">
        <f t="shared" si="16"/>
        <v>11.229166666666666</v>
      </c>
      <c r="AB27" s="138">
        <f t="shared" si="16"/>
        <v>3.28125</v>
      </c>
      <c r="AC27" s="138">
        <f t="shared" si="16"/>
        <v>3.71875</v>
      </c>
      <c r="AD27" s="138">
        <f t="shared" si="16"/>
        <v>10.5</v>
      </c>
      <c r="AE27" s="139"/>
      <c r="AF27" s="109">
        <v>7</v>
      </c>
      <c r="AG27" s="109">
        <v>1</v>
      </c>
      <c r="AH27" s="138">
        <f t="shared" si="17"/>
        <v>4.1015625</v>
      </c>
      <c r="AI27" s="138">
        <f t="shared" si="11"/>
        <v>2.1875</v>
      </c>
      <c r="AJ27" s="138">
        <f t="shared" si="11"/>
        <v>3.9375</v>
      </c>
      <c r="AK27" s="138">
        <f t="shared" si="11"/>
        <v>3.5</v>
      </c>
      <c r="AL27" s="138">
        <f t="shared" si="11"/>
        <v>13.125</v>
      </c>
      <c r="AM27" s="138">
        <f t="shared" si="11"/>
        <v>16.84375</v>
      </c>
      <c r="AN27" s="138">
        <f t="shared" si="11"/>
        <v>3.28125</v>
      </c>
      <c r="AO27" s="138">
        <f t="shared" si="11"/>
        <v>1.1666666666666667</v>
      </c>
      <c r="AP27" s="138">
        <f t="shared" si="11"/>
        <v>2.9166666666666665</v>
      </c>
      <c r="AQ27" s="138">
        <f t="shared" si="11"/>
        <v>5.578125</v>
      </c>
      <c r="AR27" s="138">
        <f t="shared" si="11"/>
        <v>15.75</v>
      </c>
      <c r="AT27" s="133">
        <v>1.25</v>
      </c>
      <c r="AU27" s="110">
        <f t="shared" si="18"/>
        <v>11.007256640625</v>
      </c>
      <c r="AW27" s="133">
        <v>1.25</v>
      </c>
      <c r="AX27" s="109">
        <v>1</v>
      </c>
      <c r="AY27" s="138">
        <f t="shared" si="19"/>
        <v>1.1666666666666667</v>
      </c>
      <c r="AZ27" s="138">
        <f t="shared" si="12"/>
        <v>1.75</v>
      </c>
      <c r="BA27" s="138">
        <f t="shared" si="12"/>
        <v>2.9166666666666665</v>
      </c>
      <c r="BB27" s="138">
        <f t="shared" si="12"/>
        <v>3.5</v>
      </c>
      <c r="BC27" s="138">
        <f t="shared" si="12"/>
        <v>17.5</v>
      </c>
      <c r="BD27" s="138">
        <f t="shared" si="12"/>
        <v>23.333333333333332</v>
      </c>
      <c r="BE27" s="138">
        <f t="shared" si="12"/>
        <v>11.666666666666666</v>
      </c>
      <c r="BF27" s="138">
        <f t="shared" si="12"/>
        <v>4.083333333333333</v>
      </c>
      <c r="BG27" s="138">
        <f t="shared" si="12"/>
        <v>5.833333333333333</v>
      </c>
      <c r="BI27" s="371">
        <v>7</v>
      </c>
      <c r="BJ27" s="110">
        <f t="shared" si="37"/>
        <v>13.221086666666668</v>
      </c>
      <c r="BL27" s="133">
        <f t="shared" si="38"/>
        <v>3.5</v>
      </c>
      <c r="BM27" s="198">
        <f t="shared" si="20"/>
        <v>17.5</v>
      </c>
      <c r="BN27" s="198">
        <f t="shared" si="13"/>
        <v>19.25</v>
      </c>
      <c r="BO27" s="198">
        <f t="shared" si="13"/>
        <v>21</v>
      </c>
      <c r="BP27" s="198">
        <f t="shared" si="13"/>
        <v>22.75</v>
      </c>
      <c r="BQ27" s="198">
        <f t="shared" si="13"/>
        <v>24.5</v>
      </c>
      <c r="BR27" s="198">
        <f t="shared" si="13"/>
        <v>26.25</v>
      </c>
      <c r="BS27" s="198">
        <f t="shared" si="13"/>
        <v>28</v>
      </c>
      <c r="BT27" s="198">
        <f t="shared" si="13"/>
        <v>29.75</v>
      </c>
      <c r="BU27" s="198">
        <f t="shared" si="13"/>
        <v>31.5</v>
      </c>
      <c r="BV27" s="198">
        <f t="shared" si="13"/>
        <v>33.25</v>
      </c>
      <c r="BW27" s="198">
        <f t="shared" si="13"/>
        <v>35.875</v>
      </c>
      <c r="BX27" s="198">
        <f t="shared" si="13"/>
        <v>38.5</v>
      </c>
      <c r="BY27" s="198">
        <f t="shared" si="13"/>
        <v>41.125</v>
      </c>
      <c r="BZ27" s="198">
        <f t="shared" si="13"/>
        <v>43.75</v>
      </c>
      <c r="CA27" s="198">
        <f t="shared" si="13"/>
        <v>46.375</v>
      </c>
      <c r="CB27" s="198">
        <f t="shared" si="13"/>
        <v>49</v>
      </c>
      <c r="CD27" s="133">
        <v>1.25</v>
      </c>
      <c r="CE27" s="687"/>
      <c r="CF27" s="382">
        <f t="shared" si="39"/>
        <v>1.0416666666666667</v>
      </c>
      <c r="CG27" s="382">
        <f t="shared" si="21"/>
        <v>2.0833333333333335</v>
      </c>
      <c r="CH27" s="382">
        <f t="shared" si="22"/>
        <v>3.125</v>
      </c>
      <c r="CI27" s="382">
        <f t="shared" si="23"/>
        <v>4.166666666666667</v>
      </c>
      <c r="CJ27" s="382">
        <f t="shared" si="24"/>
        <v>5.2083333333333339</v>
      </c>
      <c r="CK27" s="382">
        <f t="shared" si="25"/>
        <v>6.25</v>
      </c>
      <c r="CL27" s="382">
        <f t="shared" si="26"/>
        <v>7.291666666666667</v>
      </c>
      <c r="CM27" s="382">
        <f t="shared" si="27"/>
        <v>8.3333333333333339</v>
      </c>
      <c r="CN27" s="382">
        <f t="shared" si="28"/>
        <v>9.375</v>
      </c>
      <c r="CO27" s="382">
        <f t="shared" si="29"/>
        <v>10.416666666666668</v>
      </c>
      <c r="CP27" s="382">
        <f t="shared" si="30"/>
        <v>11.458333333333334</v>
      </c>
      <c r="CQ27" s="382">
        <f t="shared" si="31"/>
        <v>12.5</v>
      </c>
      <c r="CR27" s="382">
        <f t="shared" si="32"/>
        <v>13.541666666666668</v>
      </c>
      <c r="CS27" s="382">
        <f t="shared" si="33"/>
        <v>14.583333333333334</v>
      </c>
      <c r="CT27" s="382">
        <f t="shared" si="34"/>
        <v>15.625</v>
      </c>
      <c r="CU27" s="382">
        <f t="shared" si="35"/>
        <v>16.666666666666668</v>
      </c>
    </row>
    <row r="28" spans="1:99">
      <c r="A28" s="109">
        <v>7</v>
      </c>
      <c r="B28" s="110">
        <v>1.1555555555555554</v>
      </c>
      <c r="D28" s="109">
        <v>4</v>
      </c>
      <c r="E28" s="109">
        <v>1</v>
      </c>
      <c r="F28" s="110">
        <f t="shared" si="36"/>
        <v>3.75</v>
      </c>
      <c r="H28" s="109">
        <v>8</v>
      </c>
      <c r="I28" s="109">
        <v>1</v>
      </c>
      <c r="J28" s="138">
        <f t="shared" si="14"/>
        <v>3</v>
      </c>
      <c r="K28" s="138">
        <f t="shared" si="9"/>
        <v>1.3333333333333333</v>
      </c>
      <c r="L28" s="138">
        <f t="shared" si="9"/>
        <v>3</v>
      </c>
      <c r="M28" s="138">
        <f t="shared" si="9"/>
        <v>2.6666666666666665</v>
      </c>
      <c r="N28" s="138">
        <f t="shared" si="9"/>
        <v>3.3333333333333335</v>
      </c>
      <c r="O28" s="138">
        <f t="shared" si="9"/>
        <v>3.6666666666666665</v>
      </c>
      <c r="P28" s="138">
        <f t="shared" si="9"/>
        <v>2.5</v>
      </c>
      <c r="Q28" s="138">
        <f t="shared" si="9"/>
        <v>2.8333333333333335</v>
      </c>
      <c r="R28" s="138">
        <f t="shared" si="9"/>
        <v>4</v>
      </c>
      <c r="S28" s="139"/>
      <c r="T28" s="109">
        <v>8</v>
      </c>
      <c r="U28" s="109">
        <v>1</v>
      </c>
      <c r="V28" s="138">
        <f t="shared" si="15"/>
        <v>3.75</v>
      </c>
      <c r="W28" s="138">
        <f t="shared" si="16"/>
        <v>2</v>
      </c>
      <c r="X28" s="138">
        <f t="shared" si="16"/>
        <v>4.5</v>
      </c>
      <c r="Y28" s="138">
        <f t="shared" si="16"/>
        <v>4</v>
      </c>
      <c r="Z28" s="138">
        <f t="shared" si="16"/>
        <v>10</v>
      </c>
      <c r="AA28" s="138">
        <f t="shared" si="16"/>
        <v>12.833333333333334</v>
      </c>
      <c r="AB28" s="138">
        <f t="shared" si="16"/>
        <v>3.75</v>
      </c>
      <c r="AC28" s="138">
        <f t="shared" si="16"/>
        <v>4.25</v>
      </c>
      <c r="AD28" s="138">
        <f t="shared" si="16"/>
        <v>12</v>
      </c>
      <c r="AE28" s="139"/>
      <c r="AF28" s="109">
        <v>8</v>
      </c>
      <c r="AG28" s="109">
        <v>1</v>
      </c>
      <c r="AH28" s="138">
        <f t="shared" si="17"/>
        <v>4.6875</v>
      </c>
      <c r="AI28" s="138">
        <f t="shared" si="11"/>
        <v>2.5</v>
      </c>
      <c r="AJ28" s="138">
        <f t="shared" si="11"/>
        <v>4.5</v>
      </c>
      <c r="AK28" s="138">
        <f t="shared" si="11"/>
        <v>4</v>
      </c>
      <c r="AL28" s="138">
        <f t="shared" si="11"/>
        <v>15</v>
      </c>
      <c r="AM28" s="138">
        <f t="shared" si="11"/>
        <v>19.25</v>
      </c>
      <c r="AN28" s="138">
        <f t="shared" si="11"/>
        <v>3.75</v>
      </c>
      <c r="AO28" s="138">
        <f t="shared" si="11"/>
        <v>1.3333333333333333</v>
      </c>
      <c r="AP28" s="138">
        <f t="shared" si="11"/>
        <v>3.3333333333333335</v>
      </c>
      <c r="AQ28" s="138">
        <f t="shared" si="11"/>
        <v>6.375</v>
      </c>
      <c r="AR28" s="138">
        <f t="shared" si="11"/>
        <v>18</v>
      </c>
      <c r="AT28" s="133">
        <v>1.5</v>
      </c>
      <c r="AU28" s="110">
        <f t="shared" si="18"/>
        <v>12.9885628359375</v>
      </c>
      <c r="AW28" s="133">
        <v>1.5</v>
      </c>
      <c r="AX28" s="109">
        <v>1</v>
      </c>
      <c r="AY28" s="138">
        <f t="shared" si="19"/>
        <v>1.3333333333333333</v>
      </c>
      <c r="AZ28" s="138">
        <f t="shared" si="12"/>
        <v>2</v>
      </c>
      <c r="BA28" s="138">
        <f t="shared" si="12"/>
        <v>3.3333333333333335</v>
      </c>
      <c r="BB28" s="138">
        <f t="shared" si="12"/>
        <v>4</v>
      </c>
      <c r="BC28" s="138">
        <f t="shared" si="12"/>
        <v>20</v>
      </c>
      <c r="BD28" s="138">
        <f t="shared" si="12"/>
        <v>26.666666666666668</v>
      </c>
      <c r="BE28" s="138">
        <f t="shared" si="12"/>
        <v>13.333333333333334</v>
      </c>
      <c r="BF28" s="138">
        <f t="shared" si="12"/>
        <v>4.666666666666667</v>
      </c>
      <c r="BG28" s="138">
        <f t="shared" si="12"/>
        <v>6.666666666666667</v>
      </c>
      <c r="BI28" s="371">
        <v>8</v>
      </c>
      <c r="BJ28" s="110">
        <f t="shared" si="37"/>
        <v>16.243049333333335</v>
      </c>
      <c r="BL28" s="133">
        <f t="shared" si="38"/>
        <v>4</v>
      </c>
      <c r="BM28" s="198">
        <f t="shared" si="20"/>
        <v>20</v>
      </c>
      <c r="BN28" s="198">
        <f t="shared" si="13"/>
        <v>22</v>
      </c>
      <c r="BO28" s="198">
        <f t="shared" si="13"/>
        <v>24</v>
      </c>
      <c r="BP28" s="198">
        <f t="shared" si="13"/>
        <v>26</v>
      </c>
      <c r="BQ28" s="198">
        <f t="shared" si="13"/>
        <v>28</v>
      </c>
      <c r="BR28" s="198">
        <f t="shared" si="13"/>
        <v>30</v>
      </c>
      <c r="BS28" s="198">
        <f t="shared" si="13"/>
        <v>32</v>
      </c>
      <c r="BT28" s="198">
        <f t="shared" si="13"/>
        <v>34</v>
      </c>
      <c r="BU28" s="198">
        <f t="shared" si="13"/>
        <v>36</v>
      </c>
      <c r="BV28" s="198">
        <f t="shared" si="13"/>
        <v>38</v>
      </c>
      <c r="BW28" s="198">
        <f t="shared" si="13"/>
        <v>41</v>
      </c>
      <c r="BX28" s="198">
        <f t="shared" si="13"/>
        <v>44</v>
      </c>
      <c r="BY28" s="198">
        <f t="shared" si="13"/>
        <v>47</v>
      </c>
      <c r="BZ28" s="198">
        <f t="shared" si="13"/>
        <v>50</v>
      </c>
      <c r="CA28" s="198">
        <f t="shared" si="13"/>
        <v>53</v>
      </c>
      <c r="CB28" s="198">
        <f t="shared" si="13"/>
        <v>56</v>
      </c>
      <c r="CD28" s="133">
        <v>1.5</v>
      </c>
      <c r="CE28" s="687"/>
      <c r="CF28" s="382">
        <f t="shared" si="39"/>
        <v>1.25</v>
      </c>
      <c r="CG28" s="382">
        <f t="shared" si="21"/>
        <v>2.5</v>
      </c>
      <c r="CH28" s="382">
        <f t="shared" si="22"/>
        <v>3.75</v>
      </c>
      <c r="CI28" s="382">
        <f t="shared" si="23"/>
        <v>5</v>
      </c>
      <c r="CJ28" s="382">
        <f t="shared" si="24"/>
        <v>6.25</v>
      </c>
      <c r="CK28" s="382">
        <f t="shared" si="25"/>
        <v>7.5</v>
      </c>
      <c r="CL28" s="382">
        <f t="shared" si="26"/>
        <v>8.75</v>
      </c>
      <c r="CM28" s="382">
        <f t="shared" si="27"/>
        <v>10</v>
      </c>
      <c r="CN28" s="382">
        <f t="shared" si="28"/>
        <v>11.25</v>
      </c>
      <c r="CO28" s="382">
        <f t="shared" si="29"/>
        <v>12.5</v>
      </c>
      <c r="CP28" s="382">
        <f t="shared" si="30"/>
        <v>13.75</v>
      </c>
      <c r="CQ28" s="382">
        <f t="shared" si="31"/>
        <v>15</v>
      </c>
      <c r="CR28" s="382">
        <f t="shared" si="32"/>
        <v>16.25</v>
      </c>
      <c r="CS28" s="382">
        <f t="shared" si="33"/>
        <v>17.5</v>
      </c>
      <c r="CT28" s="382">
        <f t="shared" si="34"/>
        <v>18.75</v>
      </c>
      <c r="CU28" s="382">
        <f t="shared" si="35"/>
        <v>20</v>
      </c>
    </row>
    <row r="29" spans="1:99">
      <c r="A29" s="109">
        <v>8</v>
      </c>
      <c r="B29" s="110">
        <v>1.1777777777777778</v>
      </c>
      <c r="D29" s="109">
        <v>5</v>
      </c>
      <c r="E29" s="109">
        <v>1</v>
      </c>
      <c r="F29" s="110">
        <f t="shared" si="36"/>
        <v>3.75</v>
      </c>
      <c r="H29" s="109">
        <v>9</v>
      </c>
      <c r="I29" s="109">
        <v>1</v>
      </c>
      <c r="J29" s="138">
        <f t="shared" si="14"/>
        <v>3.375</v>
      </c>
      <c r="K29" s="138">
        <f t="shared" si="9"/>
        <v>1.5</v>
      </c>
      <c r="L29" s="138">
        <f t="shared" si="9"/>
        <v>3.375</v>
      </c>
      <c r="M29" s="138">
        <f t="shared" si="9"/>
        <v>3</v>
      </c>
      <c r="N29" s="138">
        <f t="shared" si="9"/>
        <v>3.75</v>
      </c>
      <c r="O29" s="138">
        <f t="shared" si="9"/>
        <v>4.125</v>
      </c>
      <c r="P29" s="138">
        <f t="shared" si="9"/>
        <v>2.8125</v>
      </c>
      <c r="Q29" s="138">
        <f t="shared" si="9"/>
        <v>3.1875</v>
      </c>
      <c r="R29" s="138">
        <f t="shared" si="9"/>
        <v>4.5</v>
      </c>
      <c r="S29" s="139"/>
      <c r="T29" s="109">
        <v>9</v>
      </c>
      <c r="U29" s="109">
        <v>1</v>
      </c>
      <c r="V29" s="138">
        <f t="shared" si="15"/>
        <v>4.21875</v>
      </c>
      <c r="W29" s="138">
        <f t="shared" si="16"/>
        <v>2.25</v>
      </c>
      <c r="X29" s="138">
        <f t="shared" si="16"/>
        <v>5.0625</v>
      </c>
      <c r="Y29" s="138">
        <f t="shared" si="16"/>
        <v>4.5</v>
      </c>
      <c r="Z29" s="138">
        <f t="shared" si="16"/>
        <v>11.25</v>
      </c>
      <c r="AA29" s="138">
        <f t="shared" si="16"/>
        <v>14.4375</v>
      </c>
      <c r="AB29" s="138">
        <f t="shared" si="16"/>
        <v>4.21875</v>
      </c>
      <c r="AC29" s="138">
        <f t="shared" si="16"/>
        <v>4.78125</v>
      </c>
      <c r="AD29" s="138">
        <f t="shared" si="16"/>
        <v>13.5</v>
      </c>
      <c r="AE29" s="139"/>
      <c r="AF29" s="109">
        <v>9</v>
      </c>
      <c r="AG29" s="109">
        <v>1</v>
      </c>
      <c r="AH29" s="138">
        <f t="shared" si="17"/>
        <v>5.2734375</v>
      </c>
      <c r="AI29" s="138">
        <f t="shared" si="11"/>
        <v>2.8125</v>
      </c>
      <c r="AJ29" s="138">
        <f t="shared" si="11"/>
        <v>5.0625</v>
      </c>
      <c r="AK29" s="138">
        <f t="shared" si="11"/>
        <v>4.5</v>
      </c>
      <c r="AL29" s="138">
        <f t="shared" si="11"/>
        <v>16.875</v>
      </c>
      <c r="AM29" s="138">
        <f t="shared" si="11"/>
        <v>21.65625</v>
      </c>
      <c r="AN29" s="138">
        <f t="shared" si="11"/>
        <v>4.21875</v>
      </c>
      <c r="AO29" s="138">
        <f t="shared" si="11"/>
        <v>1.5</v>
      </c>
      <c r="AP29" s="138">
        <f t="shared" si="11"/>
        <v>3.75</v>
      </c>
      <c r="AQ29" s="138">
        <f t="shared" si="11"/>
        <v>7.171875</v>
      </c>
      <c r="AR29" s="138">
        <f t="shared" si="11"/>
        <v>20.25</v>
      </c>
      <c r="AT29" s="133">
        <v>1.75</v>
      </c>
      <c r="AU29" s="110">
        <f t="shared" si="18"/>
        <v>15.261561332226563</v>
      </c>
      <c r="AW29" s="133">
        <v>1.75</v>
      </c>
      <c r="AX29" s="109">
        <v>1</v>
      </c>
      <c r="AY29" s="138">
        <f t="shared" si="19"/>
        <v>1.5</v>
      </c>
      <c r="AZ29" s="138">
        <f t="shared" si="12"/>
        <v>2.25</v>
      </c>
      <c r="BA29" s="138">
        <f t="shared" si="12"/>
        <v>3.75</v>
      </c>
      <c r="BB29" s="138">
        <f t="shared" si="12"/>
        <v>4.5</v>
      </c>
      <c r="BC29" s="138">
        <f t="shared" si="12"/>
        <v>22.5</v>
      </c>
      <c r="BD29" s="138">
        <f t="shared" si="12"/>
        <v>30</v>
      </c>
      <c r="BE29" s="138">
        <f t="shared" si="12"/>
        <v>15</v>
      </c>
      <c r="BF29" s="138">
        <f t="shared" si="12"/>
        <v>5.25</v>
      </c>
      <c r="BG29" s="138">
        <f t="shared" si="12"/>
        <v>7.5</v>
      </c>
      <c r="BI29" s="371">
        <v>9</v>
      </c>
      <c r="BJ29" s="110">
        <f t="shared" si="37"/>
        <v>19.897735433333338</v>
      </c>
      <c r="BL29" s="133">
        <f t="shared" si="38"/>
        <v>4.5</v>
      </c>
      <c r="BM29" s="198">
        <f t="shared" si="20"/>
        <v>22.5</v>
      </c>
      <c r="BN29" s="198">
        <f t="shared" si="13"/>
        <v>24.75</v>
      </c>
      <c r="BO29" s="198">
        <f t="shared" si="13"/>
        <v>27</v>
      </c>
      <c r="BP29" s="198">
        <f t="shared" si="13"/>
        <v>29.25</v>
      </c>
      <c r="BQ29" s="198">
        <f t="shared" si="13"/>
        <v>31.5</v>
      </c>
      <c r="BR29" s="198">
        <f t="shared" si="13"/>
        <v>33.75</v>
      </c>
      <c r="BS29" s="198">
        <f t="shared" si="13"/>
        <v>36</v>
      </c>
      <c r="BT29" s="198">
        <f t="shared" si="13"/>
        <v>38.25</v>
      </c>
      <c r="BU29" s="198">
        <f t="shared" si="13"/>
        <v>40.5</v>
      </c>
      <c r="BV29" s="198">
        <f t="shared" si="13"/>
        <v>42.75</v>
      </c>
      <c r="BW29" s="198">
        <f t="shared" si="13"/>
        <v>46.125</v>
      </c>
      <c r="BX29" s="198">
        <f t="shared" si="13"/>
        <v>49.5</v>
      </c>
      <c r="BY29" s="198">
        <f t="shared" si="13"/>
        <v>52.875</v>
      </c>
      <c r="BZ29" s="198">
        <f t="shared" si="13"/>
        <v>56.25</v>
      </c>
      <c r="CA29" s="198">
        <f t="shared" si="13"/>
        <v>59.625</v>
      </c>
      <c r="CB29" s="198">
        <f t="shared" si="13"/>
        <v>63</v>
      </c>
      <c r="CD29" s="133">
        <v>1.75</v>
      </c>
      <c r="CE29" s="687"/>
      <c r="CF29" s="382">
        <f t="shared" si="39"/>
        <v>1.4583333333333335</v>
      </c>
      <c r="CG29" s="382">
        <f t="shared" si="21"/>
        <v>2.916666666666667</v>
      </c>
      <c r="CH29" s="382">
        <f t="shared" si="22"/>
        <v>4.375</v>
      </c>
      <c r="CI29" s="382">
        <f t="shared" si="23"/>
        <v>5.8333333333333339</v>
      </c>
      <c r="CJ29" s="382">
        <f t="shared" si="24"/>
        <v>7.291666666666667</v>
      </c>
      <c r="CK29" s="382">
        <f t="shared" si="25"/>
        <v>8.75</v>
      </c>
      <c r="CL29" s="382">
        <f t="shared" si="26"/>
        <v>10.208333333333334</v>
      </c>
      <c r="CM29" s="382">
        <f t="shared" si="27"/>
        <v>11.666666666666668</v>
      </c>
      <c r="CN29" s="382">
        <f t="shared" si="28"/>
        <v>13.125</v>
      </c>
      <c r="CO29" s="382">
        <f t="shared" si="29"/>
        <v>14.583333333333334</v>
      </c>
      <c r="CP29" s="382">
        <f t="shared" si="30"/>
        <v>16.041666666666668</v>
      </c>
      <c r="CQ29" s="382">
        <f t="shared" si="31"/>
        <v>17.5</v>
      </c>
      <c r="CR29" s="382">
        <f t="shared" si="32"/>
        <v>18.958333333333336</v>
      </c>
      <c r="CS29" s="382">
        <f t="shared" si="33"/>
        <v>20.416666666666668</v>
      </c>
      <c r="CT29" s="382">
        <f t="shared" si="34"/>
        <v>21.875</v>
      </c>
      <c r="CU29" s="382">
        <f t="shared" si="35"/>
        <v>23.333333333333336</v>
      </c>
    </row>
    <row r="30" spans="1:99">
      <c r="A30" s="109">
        <v>9</v>
      </c>
      <c r="B30" s="110">
        <v>1.2</v>
      </c>
      <c r="D30" s="109">
        <v>6</v>
      </c>
      <c r="E30" s="109">
        <v>1</v>
      </c>
      <c r="F30" s="110">
        <f t="shared" si="36"/>
        <v>3.75</v>
      </c>
      <c r="H30" s="109">
        <v>10</v>
      </c>
      <c r="I30" s="109">
        <v>1</v>
      </c>
      <c r="J30" s="138">
        <f t="shared" si="14"/>
        <v>3.75</v>
      </c>
      <c r="K30" s="138">
        <f t="shared" si="9"/>
        <v>1.6666666666666667</v>
      </c>
      <c r="L30" s="138">
        <f t="shared" si="9"/>
        <v>3.75</v>
      </c>
      <c r="M30" s="138">
        <f t="shared" si="9"/>
        <v>3.3333333333333335</v>
      </c>
      <c r="N30" s="138">
        <f t="shared" si="9"/>
        <v>4.166666666666667</v>
      </c>
      <c r="O30" s="138">
        <f t="shared" si="9"/>
        <v>4.583333333333333</v>
      </c>
      <c r="P30" s="138">
        <f t="shared" si="9"/>
        <v>3.125</v>
      </c>
      <c r="Q30" s="138">
        <f t="shared" si="9"/>
        <v>3.5416666666666665</v>
      </c>
      <c r="R30" s="138">
        <f t="shared" si="9"/>
        <v>5</v>
      </c>
      <c r="S30" s="139"/>
      <c r="T30" s="109">
        <v>10</v>
      </c>
      <c r="U30" s="109">
        <v>1</v>
      </c>
      <c r="V30" s="138">
        <f t="shared" si="15"/>
        <v>4.6875</v>
      </c>
      <c r="W30" s="138">
        <f t="shared" si="16"/>
        <v>2.5</v>
      </c>
      <c r="X30" s="138">
        <f t="shared" si="16"/>
        <v>5.625</v>
      </c>
      <c r="Y30" s="138">
        <f t="shared" si="16"/>
        <v>5</v>
      </c>
      <c r="Z30" s="138">
        <f t="shared" si="16"/>
        <v>12.5</v>
      </c>
      <c r="AA30" s="138">
        <f t="shared" si="16"/>
        <v>16.041666666666668</v>
      </c>
      <c r="AB30" s="138">
        <f t="shared" si="16"/>
        <v>4.6875</v>
      </c>
      <c r="AC30" s="138">
        <f t="shared" si="16"/>
        <v>5.3125</v>
      </c>
      <c r="AD30" s="138">
        <f t="shared" si="16"/>
        <v>15</v>
      </c>
      <c r="AE30" s="139"/>
      <c r="AF30" s="109">
        <v>10</v>
      </c>
      <c r="AG30" s="109">
        <v>1</v>
      </c>
      <c r="AH30" s="138">
        <f t="shared" si="17"/>
        <v>5.859375</v>
      </c>
      <c r="AI30" s="138">
        <f t="shared" si="11"/>
        <v>3.125</v>
      </c>
      <c r="AJ30" s="138">
        <f t="shared" si="11"/>
        <v>5.625</v>
      </c>
      <c r="AK30" s="138">
        <f t="shared" si="11"/>
        <v>5</v>
      </c>
      <c r="AL30" s="138">
        <f t="shared" si="11"/>
        <v>18.75</v>
      </c>
      <c r="AM30" s="138">
        <f t="shared" si="11"/>
        <v>24.0625</v>
      </c>
      <c r="AN30" s="138">
        <f t="shared" si="11"/>
        <v>4.6875</v>
      </c>
      <c r="AO30" s="138">
        <f t="shared" si="11"/>
        <v>1.6666666666666667</v>
      </c>
      <c r="AP30" s="138">
        <f t="shared" si="11"/>
        <v>4.166666666666667</v>
      </c>
      <c r="AQ30" s="138">
        <f t="shared" si="11"/>
        <v>7.96875</v>
      </c>
      <c r="AR30" s="138">
        <f t="shared" si="11"/>
        <v>22.5</v>
      </c>
      <c r="AT30" s="133">
        <v>2</v>
      </c>
      <c r="AU30" s="110">
        <f t="shared" si="18"/>
        <v>17.877828989179687</v>
      </c>
      <c r="AW30" s="133">
        <v>2</v>
      </c>
      <c r="AX30" s="109">
        <v>1</v>
      </c>
      <c r="AY30" s="138">
        <f t="shared" si="19"/>
        <v>1.6666666666666667</v>
      </c>
      <c r="AZ30" s="138">
        <f t="shared" si="12"/>
        <v>2.5</v>
      </c>
      <c r="BA30" s="138">
        <f t="shared" si="12"/>
        <v>4.166666666666667</v>
      </c>
      <c r="BB30" s="138">
        <f t="shared" si="12"/>
        <v>5</v>
      </c>
      <c r="BC30" s="138">
        <f t="shared" si="12"/>
        <v>25</v>
      </c>
      <c r="BD30" s="138">
        <f t="shared" si="12"/>
        <v>33.333333333333336</v>
      </c>
      <c r="BE30" s="138">
        <f t="shared" si="12"/>
        <v>16.666666666666668</v>
      </c>
      <c r="BF30" s="138">
        <f t="shared" si="12"/>
        <v>5.833333333333333</v>
      </c>
      <c r="BG30" s="138">
        <f t="shared" si="12"/>
        <v>8.3333333333333339</v>
      </c>
      <c r="BI30" s="371">
        <v>10</v>
      </c>
      <c r="BJ30" s="110">
        <f t="shared" si="37"/>
        <v>24.319454418518525</v>
      </c>
      <c r="BL30" s="133">
        <f t="shared" si="38"/>
        <v>5</v>
      </c>
      <c r="BM30" s="198">
        <f t="shared" si="20"/>
        <v>25</v>
      </c>
      <c r="BN30" s="198">
        <f t="shared" si="13"/>
        <v>27.5</v>
      </c>
      <c r="BO30" s="198">
        <f t="shared" si="13"/>
        <v>30</v>
      </c>
      <c r="BP30" s="198">
        <f t="shared" si="13"/>
        <v>32.5</v>
      </c>
      <c r="BQ30" s="198">
        <f t="shared" si="13"/>
        <v>35</v>
      </c>
      <c r="BR30" s="198">
        <f t="shared" si="13"/>
        <v>37.5</v>
      </c>
      <c r="BS30" s="198">
        <f t="shared" si="13"/>
        <v>40</v>
      </c>
      <c r="BT30" s="198">
        <f t="shared" si="13"/>
        <v>42.5</v>
      </c>
      <c r="BU30" s="198">
        <f t="shared" si="13"/>
        <v>45</v>
      </c>
      <c r="BV30" s="198">
        <f t="shared" si="13"/>
        <v>47.5</v>
      </c>
      <c r="BW30" s="198">
        <f t="shared" si="13"/>
        <v>51.25</v>
      </c>
      <c r="BX30" s="198">
        <f t="shared" si="13"/>
        <v>55</v>
      </c>
      <c r="BY30" s="198">
        <f t="shared" si="13"/>
        <v>58.75</v>
      </c>
      <c r="BZ30" s="198">
        <f t="shared" si="13"/>
        <v>62.5</v>
      </c>
      <c r="CA30" s="198">
        <f t="shared" si="13"/>
        <v>66.25</v>
      </c>
      <c r="CB30" s="198">
        <f t="shared" si="13"/>
        <v>70</v>
      </c>
      <c r="CD30" s="133">
        <v>2</v>
      </c>
      <c r="CE30" s="687"/>
      <c r="CF30" s="382">
        <f t="shared" si="39"/>
        <v>1.6666666666666667</v>
      </c>
      <c r="CG30" s="382">
        <f t="shared" si="21"/>
        <v>3.3333333333333335</v>
      </c>
      <c r="CH30" s="382">
        <f t="shared" si="22"/>
        <v>5</v>
      </c>
      <c r="CI30" s="382">
        <f t="shared" si="23"/>
        <v>6.666666666666667</v>
      </c>
      <c r="CJ30" s="382">
        <f t="shared" si="24"/>
        <v>8.3333333333333339</v>
      </c>
      <c r="CK30" s="382">
        <f t="shared" si="25"/>
        <v>10</v>
      </c>
      <c r="CL30" s="382">
        <f t="shared" si="26"/>
        <v>11.666666666666668</v>
      </c>
      <c r="CM30" s="382">
        <f t="shared" si="27"/>
        <v>13.333333333333334</v>
      </c>
      <c r="CN30" s="382">
        <f t="shared" si="28"/>
        <v>15</v>
      </c>
      <c r="CO30" s="382">
        <f t="shared" si="29"/>
        <v>16.666666666666668</v>
      </c>
      <c r="CP30" s="382">
        <f t="shared" si="30"/>
        <v>18.333333333333336</v>
      </c>
      <c r="CQ30" s="382">
        <f t="shared" si="31"/>
        <v>20</v>
      </c>
      <c r="CR30" s="382">
        <f t="shared" si="32"/>
        <v>21.666666666666668</v>
      </c>
      <c r="CS30" s="382">
        <f t="shared" si="33"/>
        <v>23.333333333333336</v>
      </c>
      <c r="CT30" s="382">
        <f t="shared" si="34"/>
        <v>25</v>
      </c>
      <c r="CU30" s="382">
        <f t="shared" si="35"/>
        <v>26.666666666666668</v>
      </c>
    </row>
    <row r="31" spans="1:99">
      <c r="A31" s="109">
        <v>10</v>
      </c>
      <c r="B31" s="110">
        <v>1.2222222222222223</v>
      </c>
      <c r="D31" s="109">
        <v>8</v>
      </c>
      <c r="E31" s="109">
        <v>1</v>
      </c>
      <c r="F31" s="110">
        <f t="shared" si="36"/>
        <v>3.75</v>
      </c>
      <c r="H31" s="109">
        <v>11</v>
      </c>
      <c r="I31" s="109">
        <v>1</v>
      </c>
      <c r="J31" s="138">
        <f t="shared" si="14"/>
        <v>4.125</v>
      </c>
      <c r="K31" s="138">
        <f t="shared" si="9"/>
        <v>1.8333333333333333</v>
      </c>
      <c r="L31" s="138">
        <f t="shared" si="9"/>
        <v>4.125</v>
      </c>
      <c r="M31" s="138">
        <f t="shared" si="9"/>
        <v>3.6666666666666665</v>
      </c>
      <c r="N31" s="138">
        <f t="shared" si="9"/>
        <v>4.583333333333333</v>
      </c>
      <c r="O31" s="138">
        <f t="shared" si="9"/>
        <v>5.041666666666667</v>
      </c>
      <c r="P31" s="138">
        <f t="shared" si="9"/>
        <v>3.4375</v>
      </c>
      <c r="Q31" s="138">
        <f t="shared" si="9"/>
        <v>3.8958333333333335</v>
      </c>
      <c r="R31" s="138">
        <f t="shared" si="9"/>
        <v>5.5</v>
      </c>
      <c r="S31" s="139"/>
      <c r="T31" s="109">
        <v>11</v>
      </c>
      <c r="U31" s="109">
        <v>1</v>
      </c>
      <c r="V31" s="138">
        <f t="shared" si="15"/>
        <v>5.15625</v>
      </c>
      <c r="W31" s="138">
        <f t="shared" si="16"/>
        <v>2.75</v>
      </c>
      <c r="X31" s="138">
        <f t="shared" si="16"/>
        <v>6.1875</v>
      </c>
      <c r="Y31" s="138">
        <f t="shared" si="16"/>
        <v>5.5</v>
      </c>
      <c r="Z31" s="138">
        <f t="shared" si="16"/>
        <v>13.75</v>
      </c>
      <c r="AA31" s="138">
        <f t="shared" si="16"/>
        <v>17.645833333333332</v>
      </c>
      <c r="AB31" s="138">
        <f t="shared" si="16"/>
        <v>5.15625</v>
      </c>
      <c r="AC31" s="138">
        <f t="shared" si="16"/>
        <v>5.84375</v>
      </c>
      <c r="AD31" s="138">
        <f t="shared" si="16"/>
        <v>16.5</v>
      </c>
      <c r="AE31" s="139"/>
      <c r="AF31" s="109">
        <v>11</v>
      </c>
      <c r="AG31" s="109">
        <v>1</v>
      </c>
      <c r="AH31" s="138">
        <f t="shared" si="17"/>
        <v>6.4453125</v>
      </c>
      <c r="AI31" s="138">
        <f t="shared" si="11"/>
        <v>3.4375</v>
      </c>
      <c r="AJ31" s="138">
        <f t="shared" si="11"/>
        <v>6.1875</v>
      </c>
      <c r="AK31" s="138">
        <f t="shared" si="11"/>
        <v>5.5</v>
      </c>
      <c r="AL31" s="138">
        <f t="shared" si="11"/>
        <v>20.625</v>
      </c>
      <c r="AM31" s="138">
        <f t="shared" si="11"/>
        <v>26.46875</v>
      </c>
      <c r="AN31" s="138">
        <f t="shared" si="11"/>
        <v>5.15625</v>
      </c>
      <c r="AO31" s="138">
        <f t="shared" si="11"/>
        <v>1.8333333333333333</v>
      </c>
      <c r="AP31" s="138">
        <f t="shared" si="11"/>
        <v>4.583333333333333</v>
      </c>
      <c r="AQ31" s="138">
        <f t="shared" si="11"/>
        <v>8.765625</v>
      </c>
      <c r="AR31" s="138">
        <f t="shared" si="11"/>
        <v>24.75</v>
      </c>
      <c r="AT31" s="133">
        <v>2.25</v>
      </c>
      <c r="AU31" s="110">
        <f t="shared" si="18"/>
        <v>20.894712631103758</v>
      </c>
      <c r="AW31" s="133">
        <v>2.25</v>
      </c>
      <c r="AX31" s="109">
        <v>1</v>
      </c>
      <c r="AY31" s="138">
        <f t="shared" si="19"/>
        <v>1.8333333333333333</v>
      </c>
      <c r="AZ31" s="138">
        <f t="shared" si="12"/>
        <v>2.75</v>
      </c>
      <c r="BA31" s="138">
        <f t="shared" si="12"/>
        <v>4.583333333333333</v>
      </c>
      <c r="BB31" s="138">
        <f t="shared" si="12"/>
        <v>5.5</v>
      </c>
      <c r="BC31" s="138">
        <f t="shared" si="12"/>
        <v>27.5</v>
      </c>
      <c r="BD31" s="138">
        <f t="shared" si="12"/>
        <v>36.666666666666664</v>
      </c>
      <c r="BE31" s="138">
        <f t="shared" si="12"/>
        <v>18.333333333333332</v>
      </c>
      <c r="BF31" s="138">
        <f t="shared" si="12"/>
        <v>6.416666666666667</v>
      </c>
      <c r="BG31" s="138">
        <f t="shared" si="12"/>
        <v>9.1666666666666661</v>
      </c>
      <c r="BL31" s="133">
        <f t="shared" si="38"/>
        <v>5.5</v>
      </c>
      <c r="BM31" s="198">
        <f t="shared" si="20"/>
        <v>27.5</v>
      </c>
      <c r="BN31" s="198">
        <f t="shared" si="13"/>
        <v>30.25</v>
      </c>
      <c r="BO31" s="198">
        <f t="shared" si="13"/>
        <v>33</v>
      </c>
      <c r="BP31" s="198">
        <f t="shared" si="13"/>
        <v>35.75</v>
      </c>
      <c r="BQ31" s="198">
        <f t="shared" si="13"/>
        <v>38.5</v>
      </c>
      <c r="BR31" s="198">
        <f t="shared" si="13"/>
        <v>41.25</v>
      </c>
      <c r="BS31" s="198">
        <f t="shared" si="13"/>
        <v>44</v>
      </c>
      <c r="BT31" s="198">
        <f t="shared" si="13"/>
        <v>46.75</v>
      </c>
      <c r="BU31" s="198">
        <f t="shared" si="13"/>
        <v>49.5</v>
      </c>
      <c r="BV31" s="198">
        <f t="shared" si="13"/>
        <v>52.25</v>
      </c>
      <c r="BW31" s="198">
        <f t="shared" si="13"/>
        <v>56.375</v>
      </c>
      <c r="BX31" s="198">
        <f t="shared" si="13"/>
        <v>60.5</v>
      </c>
      <c r="BY31" s="198">
        <f t="shared" si="13"/>
        <v>64.625</v>
      </c>
      <c r="BZ31" s="198">
        <f t="shared" si="13"/>
        <v>68.75</v>
      </c>
      <c r="CA31" s="198">
        <f t="shared" si="13"/>
        <v>72.875</v>
      </c>
      <c r="CB31" s="198">
        <f t="shared" si="13"/>
        <v>77</v>
      </c>
      <c r="CD31" s="133">
        <v>2.25</v>
      </c>
      <c r="CE31" s="687"/>
      <c r="CF31" s="382">
        <f t="shared" si="39"/>
        <v>1.875</v>
      </c>
      <c r="CG31" s="382">
        <f t="shared" si="21"/>
        <v>3.75</v>
      </c>
      <c r="CH31" s="382">
        <f t="shared" si="22"/>
        <v>5.625</v>
      </c>
      <c r="CI31" s="382">
        <f t="shared" si="23"/>
        <v>7.5</v>
      </c>
      <c r="CJ31" s="382">
        <f t="shared" si="24"/>
        <v>9.375</v>
      </c>
      <c r="CK31" s="382">
        <f t="shared" si="25"/>
        <v>11.25</v>
      </c>
      <c r="CL31" s="382">
        <f t="shared" si="26"/>
        <v>13.125</v>
      </c>
      <c r="CM31" s="382">
        <f t="shared" si="27"/>
        <v>15</v>
      </c>
      <c r="CN31" s="382">
        <f t="shared" si="28"/>
        <v>16.875</v>
      </c>
      <c r="CO31" s="382">
        <f t="shared" si="29"/>
        <v>18.75</v>
      </c>
      <c r="CP31" s="382">
        <f t="shared" si="30"/>
        <v>20.625</v>
      </c>
      <c r="CQ31" s="382">
        <f t="shared" si="31"/>
        <v>22.5</v>
      </c>
      <c r="CR31" s="382">
        <f t="shared" si="32"/>
        <v>24.375</v>
      </c>
      <c r="CS31" s="382">
        <f t="shared" si="33"/>
        <v>26.25</v>
      </c>
      <c r="CT31" s="382">
        <f t="shared" si="34"/>
        <v>28.125</v>
      </c>
      <c r="CU31" s="382">
        <f t="shared" si="35"/>
        <v>30</v>
      </c>
    </row>
    <row r="32" spans="1:99">
      <c r="A32" s="109">
        <v>11</v>
      </c>
      <c r="B32" s="110">
        <v>1.2444444444444445</v>
      </c>
      <c r="D32" s="109">
        <v>10</v>
      </c>
      <c r="E32" s="109">
        <v>1</v>
      </c>
      <c r="F32" s="110">
        <f t="shared" si="36"/>
        <v>3.75</v>
      </c>
      <c r="H32" s="109">
        <v>12</v>
      </c>
      <c r="I32" s="109">
        <v>1</v>
      </c>
      <c r="J32" s="138">
        <f t="shared" si="14"/>
        <v>4.5</v>
      </c>
      <c r="K32" s="138">
        <f t="shared" si="9"/>
        <v>2</v>
      </c>
      <c r="L32" s="138">
        <f t="shared" si="9"/>
        <v>4.5</v>
      </c>
      <c r="M32" s="138">
        <f t="shared" si="9"/>
        <v>4</v>
      </c>
      <c r="N32" s="138">
        <f t="shared" si="9"/>
        <v>5</v>
      </c>
      <c r="O32" s="138">
        <f t="shared" si="9"/>
        <v>5.5</v>
      </c>
      <c r="P32" s="138">
        <f t="shared" si="9"/>
        <v>3.75</v>
      </c>
      <c r="Q32" s="138">
        <f t="shared" si="9"/>
        <v>4.25</v>
      </c>
      <c r="R32" s="138">
        <f t="shared" si="9"/>
        <v>6</v>
      </c>
      <c r="S32" s="139"/>
      <c r="T32" s="109">
        <v>12</v>
      </c>
      <c r="U32" s="109">
        <v>1</v>
      </c>
      <c r="V32" s="138">
        <f t="shared" si="15"/>
        <v>5.625</v>
      </c>
      <c r="W32" s="138">
        <f t="shared" si="16"/>
        <v>3</v>
      </c>
      <c r="X32" s="138">
        <f t="shared" si="16"/>
        <v>6.75</v>
      </c>
      <c r="Y32" s="138">
        <f t="shared" si="16"/>
        <v>6</v>
      </c>
      <c r="Z32" s="138">
        <f t="shared" si="16"/>
        <v>15</v>
      </c>
      <c r="AA32" s="138">
        <f t="shared" si="16"/>
        <v>19.25</v>
      </c>
      <c r="AB32" s="138">
        <f t="shared" si="16"/>
        <v>5.625</v>
      </c>
      <c r="AC32" s="138">
        <f t="shared" si="16"/>
        <v>6.375</v>
      </c>
      <c r="AD32" s="138">
        <f t="shared" si="16"/>
        <v>18</v>
      </c>
      <c r="AE32" s="139"/>
      <c r="AF32" s="109">
        <v>12</v>
      </c>
      <c r="AG32" s="109">
        <v>1</v>
      </c>
      <c r="AH32" s="138">
        <f t="shared" si="17"/>
        <v>7.03125</v>
      </c>
      <c r="AI32" s="138">
        <f t="shared" si="11"/>
        <v>3.75</v>
      </c>
      <c r="AJ32" s="138">
        <f t="shared" si="11"/>
        <v>6.75</v>
      </c>
      <c r="AK32" s="138">
        <f t="shared" si="11"/>
        <v>6</v>
      </c>
      <c r="AL32" s="138">
        <f t="shared" si="11"/>
        <v>22.5</v>
      </c>
      <c r="AM32" s="138">
        <f t="shared" si="11"/>
        <v>28.875</v>
      </c>
      <c r="AN32" s="138">
        <f t="shared" si="11"/>
        <v>5.625</v>
      </c>
      <c r="AO32" s="138">
        <f t="shared" si="11"/>
        <v>2</v>
      </c>
      <c r="AP32" s="138">
        <f t="shared" si="11"/>
        <v>5</v>
      </c>
      <c r="AQ32" s="138">
        <f t="shared" si="11"/>
        <v>9.5625</v>
      </c>
      <c r="AR32" s="138">
        <f t="shared" si="11"/>
        <v>27</v>
      </c>
      <c r="AT32" s="133">
        <v>2.5</v>
      </c>
      <c r="AU32" s="110">
        <f t="shared" si="18"/>
        <v>24.377164736287718</v>
      </c>
      <c r="AW32" s="133">
        <v>2.5</v>
      </c>
      <c r="AX32" s="109">
        <v>1</v>
      </c>
      <c r="AY32" s="138">
        <f t="shared" si="19"/>
        <v>2</v>
      </c>
      <c r="AZ32" s="138">
        <f t="shared" si="12"/>
        <v>3</v>
      </c>
      <c r="BA32" s="138">
        <f t="shared" si="12"/>
        <v>5</v>
      </c>
      <c r="BB32" s="138">
        <f t="shared" si="12"/>
        <v>6</v>
      </c>
      <c r="BC32" s="138">
        <f t="shared" si="12"/>
        <v>30</v>
      </c>
      <c r="BD32" s="138">
        <f t="shared" si="12"/>
        <v>40</v>
      </c>
      <c r="BE32" s="138">
        <f t="shared" si="12"/>
        <v>20</v>
      </c>
      <c r="BF32" s="138">
        <f t="shared" si="12"/>
        <v>7</v>
      </c>
      <c r="BG32" s="138">
        <f t="shared" si="12"/>
        <v>10</v>
      </c>
      <c r="BL32" s="133">
        <f t="shared" si="38"/>
        <v>6</v>
      </c>
      <c r="BM32" s="198">
        <f t="shared" si="20"/>
        <v>30</v>
      </c>
      <c r="BN32" s="198">
        <f t="shared" si="13"/>
        <v>33</v>
      </c>
      <c r="BO32" s="198">
        <f t="shared" si="13"/>
        <v>36</v>
      </c>
      <c r="BP32" s="198">
        <f t="shared" si="13"/>
        <v>39</v>
      </c>
      <c r="BQ32" s="198">
        <f t="shared" si="13"/>
        <v>42</v>
      </c>
      <c r="BR32" s="198">
        <f t="shared" si="13"/>
        <v>45</v>
      </c>
      <c r="BS32" s="198">
        <f t="shared" si="13"/>
        <v>48</v>
      </c>
      <c r="BT32" s="198">
        <f t="shared" si="13"/>
        <v>51</v>
      </c>
      <c r="BU32" s="198">
        <f t="shared" si="13"/>
        <v>54</v>
      </c>
      <c r="BV32" s="198">
        <f t="shared" si="13"/>
        <v>57</v>
      </c>
      <c r="BW32" s="198">
        <f t="shared" si="13"/>
        <v>61.5</v>
      </c>
      <c r="BX32" s="198">
        <f t="shared" si="13"/>
        <v>66</v>
      </c>
      <c r="BY32" s="198">
        <f t="shared" si="13"/>
        <v>70.5</v>
      </c>
      <c r="BZ32" s="198">
        <f t="shared" si="13"/>
        <v>75</v>
      </c>
      <c r="CA32" s="198">
        <f t="shared" si="13"/>
        <v>79.5</v>
      </c>
      <c r="CB32" s="198">
        <f t="shared" si="13"/>
        <v>84</v>
      </c>
      <c r="CD32" s="133">
        <v>2.5</v>
      </c>
      <c r="CE32" s="687"/>
      <c r="CF32" s="382">
        <f t="shared" si="39"/>
        <v>2.0833333333333335</v>
      </c>
      <c r="CG32" s="382">
        <f t="shared" si="21"/>
        <v>4.166666666666667</v>
      </c>
      <c r="CH32" s="382">
        <f t="shared" si="22"/>
        <v>6.25</v>
      </c>
      <c r="CI32" s="382">
        <f t="shared" si="23"/>
        <v>8.3333333333333339</v>
      </c>
      <c r="CJ32" s="382">
        <f t="shared" si="24"/>
        <v>10.416666666666668</v>
      </c>
      <c r="CK32" s="382">
        <f t="shared" si="25"/>
        <v>12.5</v>
      </c>
      <c r="CL32" s="382">
        <f t="shared" si="26"/>
        <v>14.583333333333334</v>
      </c>
      <c r="CM32" s="382">
        <f t="shared" si="27"/>
        <v>16.666666666666668</v>
      </c>
      <c r="CN32" s="382">
        <f t="shared" si="28"/>
        <v>18.75</v>
      </c>
      <c r="CO32" s="382">
        <f t="shared" ref="CO32:CO38" si="40">+($CO$20*CD32)*$CO$18/$CO$17</f>
        <v>19.841269841269842</v>
      </c>
      <c r="CP32" s="382">
        <f t="shared" ref="CP32:CP38" si="41">+($CP$20*CD32)*$CP$18/$CP$17</f>
        <v>20.833333333333332</v>
      </c>
      <c r="CQ32" s="382">
        <f>+($CQ$20*CD32)*$CQ$18/$CQ$17+1</f>
        <v>23.321428571428569</v>
      </c>
      <c r="CR32" s="382">
        <f>+($CR$20*CD32)*$CR$18/$CR$17+1</f>
        <v>24.757309941520472</v>
      </c>
      <c r="CS32" s="382">
        <f>+($CS$20*CD32)*$CS$18/$CS$17+1.5</f>
        <v>26.643678160919542</v>
      </c>
      <c r="CT32" s="382">
        <f>+($CT$20*CD32)*$CT$18/$CT$17+2</f>
        <v>28.70940170940171</v>
      </c>
      <c r="CU32" s="382">
        <f>+($CU$20*CD32)*$CU$18/$CU$17+2.5</f>
        <v>30.748587570621474</v>
      </c>
    </row>
    <row r="33" spans="1:99">
      <c r="A33" s="109">
        <v>12</v>
      </c>
      <c r="B33" s="110">
        <v>1.2666666666666666</v>
      </c>
      <c r="D33" s="109">
        <v>12</v>
      </c>
      <c r="E33" s="109">
        <v>1</v>
      </c>
      <c r="F33" s="110">
        <f t="shared" si="36"/>
        <v>3.75</v>
      </c>
      <c r="H33" s="109">
        <v>13</v>
      </c>
      <c r="I33" s="109">
        <v>1</v>
      </c>
      <c r="J33" s="138">
        <f t="shared" si="14"/>
        <v>4.875</v>
      </c>
      <c r="K33" s="138">
        <f t="shared" si="9"/>
        <v>2.1666666666666665</v>
      </c>
      <c r="L33" s="138">
        <f t="shared" si="9"/>
        <v>4.875</v>
      </c>
      <c r="M33" s="138">
        <f t="shared" si="9"/>
        <v>4.333333333333333</v>
      </c>
      <c r="N33" s="138">
        <f t="shared" si="9"/>
        <v>5.416666666666667</v>
      </c>
      <c r="O33" s="138">
        <f t="shared" si="9"/>
        <v>5.958333333333333</v>
      </c>
      <c r="P33" s="138">
        <f t="shared" si="9"/>
        <v>4.0625</v>
      </c>
      <c r="Q33" s="138">
        <f t="shared" si="9"/>
        <v>4.604166666666667</v>
      </c>
      <c r="R33" s="138">
        <f t="shared" si="9"/>
        <v>6.5</v>
      </c>
      <c r="S33" s="139"/>
      <c r="T33" s="109">
        <v>13</v>
      </c>
      <c r="U33" s="109">
        <v>1</v>
      </c>
      <c r="V33" s="138">
        <f t="shared" si="15"/>
        <v>6.09375</v>
      </c>
      <c r="W33" s="138">
        <f t="shared" si="16"/>
        <v>3.25</v>
      </c>
      <c r="X33" s="138">
        <f t="shared" si="16"/>
        <v>7.3125</v>
      </c>
      <c r="Y33" s="138">
        <f t="shared" si="16"/>
        <v>6.5</v>
      </c>
      <c r="Z33" s="138">
        <f t="shared" si="16"/>
        <v>16.25</v>
      </c>
      <c r="AA33" s="138">
        <f t="shared" si="16"/>
        <v>20.854166666666668</v>
      </c>
      <c r="AB33" s="138">
        <f t="shared" si="16"/>
        <v>6.09375</v>
      </c>
      <c r="AC33" s="138">
        <f t="shared" si="16"/>
        <v>6.90625</v>
      </c>
      <c r="AD33" s="138">
        <f t="shared" si="16"/>
        <v>19.5</v>
      </c>
      <c r="AE33" s="139"/>
      <c r="AF33" s="109">
        <v>13</v>
      </c>
      <c r="AG33" s="109">
        <v>1</v>
      </c>
      <c r="AH33" s="138">
        <f t="shared" si="17"/>
        <v>7.6171875</v>
      </c>
      <c r="AI33" s="138">
        <f t="shared" si="11"/>
        <v>4.0625</v>
      </c>
      <c r="AJ33" s="138">
        <f t="shared" si="11"/>
        <v>7.3125</v>
      </c>
      <c r="AK33" s="138">
        <f t="shared" si="11"/>
        <v>6.5</v>
      </c>
      <c r="AL33" s="138">
        <f t="shared" si="11"/>
        <v>24.375</v>
      </c>
      <c r="AM33" s="138">
        <f t="shared" si="11"/>
        <v>31.28125</v>
      </c>
      <c r="AN33" s="138">
        <f t="shared" si="11"/>
        <v>6.09375</v>
      </c>
      <c r="AO33" s="138">
        <f t="shared" si="11"/>
        <v>2.1666666666666665</v>
      </c>
      <c r="AP33" s="138">
        <f t="shared" si="11"/>
        <v>5.416666666666667</v>
      </c>
      <c r="AQ33" s="138">
        <f t="shared" si="11"/>
        <v>10.359375</v>
      </c>
      <c r="AR33" s="138">
        <f t="shared" si="11"/>
        <v>29.25</v>
      </c>
      <c r="AT33" s="133">
        <v>2.75</v>
      </c>
      <c r="AU33" s="110">
        <f t="shared" si="18"/>
        <v>28.399396917775192</v>
      </c>
      <c r="AW33" s="133">
        <v>2.75</v>
      </c>
      <c r="AX33" s="109">
        <v>1</v>
      </c>
      <c r="AY33" s="138">
        <f t="shared" si="19"/>
        <v>2.1666666666666665</v>
      </c>
      <c r="AZ33" s="138">
        <f t="shared" si="12"/>
        <v>3.25</v>
      </c>
      <c r="BA33" s="138">
        <f t="shared" si="12"/>
        <v>5.416666666666667</v>
      </c>
      <c r="BB33" s="138">
        <f t="shared" si="12"/>
        <v>6.5</v>
      </c>
      <c r="BC33" s="138">
        <f t="shared" si="12"/>
        <v>32.5</v>
      </c>
      <c r="BD33" s="138">
        <f t="shared" si="12"/>
        <v>43.333333333333336</v>
      </c>
      <c r="BE33" s="138">
        <f t="shared" si="12"/>
        <v>21.666666666666668</v>
      </c>
      <c r="BF33" s="138">
        <f t="shared" si="12"/>
        <v>7.583333333333333</v>
      </c>
      <c r="BG33" s="138">
        <f t="shared" si="12"/>
        <v>10.833333333333334</v>
      </c>
      <c r="BL33" s="133">
        <f t="shared" si="38"/>
        <v>6.5</v>
      </c>
      <c r="BM33" s="198">
        <f t="shared" si="20"/>
        <v>32.5</v>
      </c>
      <c r="BN33" s="198">
        <f t="shared" si="13"/>
        <v>35.75</v>
      </c>
      <c r="BO33" s="198">
        <f t="shared" si="13"/>
        <v>39</v>
      </c>
      <c r="BP33" s="198">
        <f t="shared" si="13"/>
        <v>42.25</v>
      </c>
      <c r="BQ33" s="198">
        <f t="shared" si="13"/>
        <v>45.5</v>
      </c>
      <c r="BR33" s="198">
        <f t="shared" si="13"/>
        <v>48.75</v>
      </c>
      <c r="BS33" s="198">
        <f t="shared" si="13"/>
        <v>52</v>
      </c>
      <c r="BT33" s="198">
        <f t="shared" si="13"/>
        <v>55.25</v>
      </c>
      <c r="BU33" s="198">
        <f t="shared" si="13"/>
        <v>58.5</v>
      </c>
      <c r="BV33" s="198">
        <f t="shared" si="13"/>
        <v>61.75</v>
      </c>
      <c r="BW33" s="198">
        <f t="shared" si="13"/>
        <v>66.625</v>
      </c>
      <c r="BX33" s="198">
        <f t="shared" si="13"/>
        <v>71.5</v>
      </c>
      <c r="BY33" s="198">
        <f t="shared" si="13"/>
        <v>76.375</v>
      </c>
      <c r="BZ33" s="198">
        <f t="shared" si="13"/>
        <v>81.25</v>
      </c>
      <c r="CA33" s="198">
        <f t="shared" si="13"/>
        <v>86.125</v>
      </c>
      <c r="CB33" s="198">
        <f t="shared" si="13"/>
        <v>91</v>
      </c>
      <c r="CD33" s="133">
        <v>2.75</v>
      </c>
      <c r="CE33" s="687"/>
      <c r="CF33" s="382">
        <f t="shared" si="39"/>
        <v>2.291666666666667</v>
      </c>
      <c r="CG33" s="382">
        <f t="shared" si="21"/>
        <v>4.5833333333333339</v>
      </c>
      <c r="CH33" s="382">
        <f t="shared" si="22"/>
        <v>6.875</v>
      </c>
      <c r="CI33" s="382">
        <f t="shared" si="23"/>
        <v>9.1666666666666679</v>
      </c>
      <c r="CJ33" s="382">
        <f t="shared" si="24"/>
        <v>11.458333333333334</v>
      </c>
      <c r="CK33" s="382">
        <f t="shared" si="25"/>
        <v>13.75</v>
      </c>
      <c r="CL33" s="382">
        <f t="shared" si="26"/>
        <v>16.041666666666668</v>
      </c>
      <c r="CM33" s="382">
        <f t="shared" si="27"/>
        <v>18.333333333333336</v>
      </c>
      <c r="CN33" s="382">
        <f t="shared" si="28"/>
        <v>20.625</v>
      </c>
      <c r="CO33" s="382">
        <f t="shared" si="40"/>
        <v>21.825396825396826</v>
      </c>
      <c r="CP33" s="382">
        <f t="shared" si="41"/>
        <v>22.916666666666668</v>
      </c>
      <c r="CQ33" s="382">
        <f t="shared" ref="CQ33:CQ38" si="42">+($CQ$20*CD33)*$CQ$18/$CQ$17</f>
        <v>24.553571428571427</v>
      </c>
      <c r="CR33" s="382">
        <f t="shared" ref="CR33:CR38" si="43">+($CR$20*CD33)*$CR$18/$CR$17</f>
        <v>26.133040935672518</v>
      </c>
      <c r="CS33" s="382">
        <f t="shared" ref="CS33:CS38" si="44">+($CS$20*CD33)*$CS$18/$CS$17</f>
        <v>27.658045977011497</v>
      </c>
      <c r="CT33" s="382">
        <f t="shared" ref="CT33:CT38" si="45">+($CT$20*CD33)*$CT$18/$CT$17</f>
        <v>29.380341880341881</v>
      </c>
      <c r="CU33" s="382">
        <f t="shared" ref="CU33:CU38" si="46">+($CU$20*CD33)*$CU$18/$CU$17</f>
        <v>31.073446327683623</v>
      </c>
    </row>
    <row r="34" spans="1:99">
      <c r="A34" s="109">
        <v>13</v>
      </c>
      <c r="B34" s="110">
        <v>1.288888888888889</v>
      </c>
      <c r="D34" s="109">
        <v>14</v>
      </c>
      <c r="E34" s="109">
        <v>1</v>
      </c>
      <c r="F34" s="110">
        <f t="shared" si="36"/>
        <v>3.75</v>
      </c>
      <c r="H34" s="109">
        <v>14</v>
      </c>
      <c r="I34" s="109">
        <v>1</v>
      </c>
      <c r="J34" s="138">
        <f t="shared" si="14"/>
        <v>5.25</v>
      </c>
      <c r="K34" s="138">
        <f t="shared" si="9"/>
        <v>2.3333333333333335</v>
      </c>
      <c r="L34" s="138">
        <f t="shared" si="9"/>
        <v>5.25</v>
      </c>
      <c r="M34" s="138">
        <f t="shared" si="9"/>
        <v>4.666666666666667</v>
      </c>
      <c r="N34" s="138">
        <f t="shared" si="9"/>
        <v>5.833333333333333</v>
      </c>
      <c r="O34" s="138">
        <f t="shared" si="9"/>
        <v>6.416666666666667</v>
      </c>
      <c r="P34" s="138">
        <f t="shared" si="9"/>
        <v>4.375</v>
      </c>
      <c r="Q34" s="138">
        <f t="shared" si="9"/>
        <v>4.958333333333333</v>
      </c>
      <c r="R34" s="138">
        <f t="shared" si="9"/>
        <v>7</v>
      </c>
      <c r="S34" s="139"/>
      <c r="T34" s="109">
        <v>14</v>
      </c>
      <c r="U34" s="109">
        <v>1</v>
      </c>
      <c r="V34" s="138">
        <f t="shared" si="15"/>
        <v>6.5625</v>
      </c>
      <c r="W34" s="138">
        <f t="shared" si="16"/>
        <v>3.5</v>
      </c>
      <c r="X34" s="138">
        <f t="shared" si="16"/>
        <v>7.875</v>
      </c>
      <c r="Y34" s="138">
        <f t="shared" si="16"/>
        <v>7</v>
      </c>
      <c r="Z34" s="138">
        <f t="shared" si="16"/>
        <v>17.5</v>
      </c>
      <c r="AA34" s="138">
        <f t="shared" si="16"/>
        <v>22.458333333333332</v>
      </c>
      <c r="AB34" s="138">
        <f t="shared" si="16"/>
        <v>6.5625</v>
      </c>
      <c r="AC34" s="138">
        <f t="shared" si="16"/>
        <v>7.4375</v>
      </c>
      <c r="AD34" s="138">
        <f t="shared" si="16"/>
        <v>21</v>
      </c>
      <c r="AE34" s="139"/>
      <c r="AF34" s="109">
        <v>14</v>
      </c>
      <c r="AG34" s="109">
        <v>1</v>
      </c>
      <c r="AH34" s="138">
        <f t="shared" si="17"/>
        <v>8.203125</v>
      </c>
      <c r="AI34" s="138">
        <f t="shared" si="11"/>
        <v>4.375</v>
      </c>
      <c r="AJ34" s="138">
        <f t="shared" si="11"/>
        <v>7.875</v>
      </c>
      <c r="AK34" s="138">
        <f t="shared" si="11"/>
        <v>7</v>
      </c>
      <c r="AL34" s="138">
        <f t="shared" si="11"/>
        <v>26.25</v>
      </c>
      <c r="AM34" s="138">
        <f t="shared" si="11"/>
        <v>33.6875</v>
      </c>
      <c r="AN34" s="138">
        <f t="shared" si="11"/>
        <v>6.5625</v>
      </c>
      <c r="AO34" s="138">
        <f t="shared" si="11"/>
        <v>2.3333333333333335</v>
      </c>
      <c r="AP34" s="138">
        <f t="shared" si="11"/>
        <v>5.833333333333333</v>
      </c>
      <c r="AQ34" s="138">
        <f t="shared" si="11"/>
        <v>11.15625</v>
      </c>
      <c r="AR34" s="138">
        <f t="shared" si="11"/>
        <v>31.5</v>
      </c>
      <c r="AT34" s="133">
        <v>3</v>
      </c>
      <c r="AU34" s="110">
        <f t="shared" si="18"/>
        <v>33.046570958865679</v>
      </c>
      <c r="AW34" s="133">
        <v>3</v>
      </c>
      <c r="AX34" s="109">
        <v>1</v>
      </c>
      <c r="AY34" s="138">
        <f t="shared" si="19"/>
        <v>2.3333333333333335</v>
      </c>
      <c r="AZ34" s="138">
        <f t="shared" si="12"/>
        <v>3.5</v>
      </c>
      <c r="BA34" s="138">
        <f t="shared" si="12"/>
        <v>5.833333333333333</v>
      </c>
      <c r="BB34" s="138">
        <f t="shared" si="12"/>
        <v>7</v>
      </c>
      <c r="BC34" s="138">
        <f t="shared" si="12"/>
        <v>35</v>
      </c>
      <c r="BD34" s="138">
        <f t="shared" si="12"/>
        <v>46.666666666666664</v>
      </c>
      <c r="BE34" s="138">
        <f t="shared" si="12"/>
        <v>23.333333333333332</v>
      </c>
      <c r="BF34" s="138">
        <f t="shared" si="12"/>
        <v>8.1666666666666661</v>
      </c>
      <c r="BG34" s="138">
        <f t="shared" si="12"/>
        <v>11.666666666666666</v>
      </c>
      <c r="BL34" s="133">
        <f t="shared" si="38"/>
        <v>7</v>
      </c>
      <c r="BM34" s="198">
        <f t="shared" si="20"/>
        <v>35</v>
      </c>
      <c r="BN34" s="198">
        <f t="shared" si="13"/>
        <v>38.5</v>
      </c>
      <c r="BO34" s="198">
        <f t="shared" si="13"/>
        <v>42</v>
      </c>
      <c r="BP34" s="198">
        <f t="shared" si="13"/>
        <v>45.5</v>
      </c>
      <c r="BQ34" s="198">
        <f t="shared" si="13"/>
        <v>49</v>
      </c>
      <c r="BR34" s="198">
        <f t="shared" si="13"/>
        <v>52.5</v>
      </c>
      <c r="BS34" s="198">
        <f t="shared" si="13"/>
        <v>56</v>
      </c>
      <c r="BT34" s="198">
        <f t="shared" si="13"/>
        <v>59.5</v>
      </c>
      <c r="BU34" s="198">
        <f t="shared" si="13"/>
        <v>63</v>
      </c>
      <c r="BV34" s="198">
        <f t="shared" si="13"/>
        <v>66.5</v>
      </c>
      <c r="BW34" s="198">
        <f t="shared" si="13"/>
        <v>71.75</v>
      </c>
      <c r="BX34" s="198">
        <f t="shared" si="13"/>
        <v>77</v>
      </c>
      <c r="BY34" s="198">
        <f t="shared" si="13"/>
        <v>82.25</v>
      </c>
      <c r="BZ34" s="198">
        <f t="shared" si="13"/>
        <v>87.5</v>
      </c>
      <c r="CA34" s="198">
        <f t="shared" si="13"/>
        <v>92.75</v>
      </c>
      <c r="CB34" s="198">
        <f t="shared" si="13"/>
        <v>98</v>
      </c>
      <c r="CD34" s="133">
        <v>3</v>
      </c>
      <c r="CE34" s="687"/>
      <c r="CF34" s="382">
        <f t="shared" si="39"/>
        <v>2.5</v>
      </c>
      <c r="CG34" s="382">
        <f t="shared" si="21"/>
        <v>5</v>
      </c>
      <c r="CH34" s="382">
        <f t="shared" si="22"/>
        <v>7.5</v>
      </c>
      <c r="CI34" s="382">
        <f t="shared" si="23"/>
        <v>10</v>
      </c>
      <c r="CJ34" s="382">
        <f t="shared" si="24"/>
        <v>12.5</v>
      </c>
      <c r="CK34" s="382">
        <f t="shared" si="25"/>
        <v>15</v>
      </c>
      <c r="CL34" s="382">
        <f t="shared" si="26"/>
        <v>17.5</v>
      </c>
      <c r="CM34" s="382">
        <f t="shared" si="27"/>
        <v>20</v>
      </c>
      <c r="CN34" s="382">
        <f t="shared" si="28"/>
        <v>22.5</v>
      </c>
      <c r="CO34" s="382">
        <f t="shared" si="40"/>
        <v>23.80952380952381</v>
      </c>
      <c r="CP34" s="382">
        <f t="shared" si="41"/>
        <v>24.999999999999996</v>
      </c>
      <c r="CQ34" s="382">
        <f t="shared" si="42"/>
        <v>26.785714285714285</v>
      </c>
      <c r="CR34" s="382">
        <f t="shared" si="43"/>
        <v>28.508771929824565</v>
      </c>
      <c r="CS34" s="382">
        <f t="shared" si="44"/>
        <v>30.172413793103452</v>
      </c>
      <c r="CT34" s="382">
        <f t="shared" si="45"/>
        <v>32.051282051282051</v>
      </c>
      <c r="CU34" s="382">
        <f t="shared" si="46"/>
        <v>33.898305084745765</v>
      </c>
    </row>
    <row r="35" spans="1:99">
      <c r="A35" s="109">
        <v>14</v>
      </c>
      <c r="B35" s="110">
        <v>1.3111111111111111</v>
      </c>
      <c r="D35" s="109">
        <v>16</v>
      </c>
      <c r="E35" s="109">
        <v>1</v>
      </c>
      <c r="F35" s="110">
        <f t="shared" si="36"/>
        <v>3.75</v>
      </c>
      <c r="H35" s="109">
        <v>15</v>
      </c>
      <c r="I35" s="109">
        <v>1</v>
      </c>
      <c r="J35" s="138">
        <f t="shared" si="14"/>
        <v>5.625</v>
      </c>
      <c r="K35" s="138">
        <f t="shared" si="9"/>
        <v>2.5</v>
      </c>
      <c r="L35" s="138">
        <f t="shared" si="9"/>
        <v>5.625</v>
      </c>
      <c r="M35" s="138">
        <f t="shared" si="9"/>
        <v>5</v>
      </c>
      <c r="N35" s="138">
        <f t="shared" si="9"/>
        <v>6.25</v>
      </c>
      <c r="O35" s="138">
        <f t="shared" si="9"/>
        <v>6.875</v>
      </c>
      <c r="P35" s="138">
        <f t="shared" si="9"/>
        <v>4.6875</v>
      </c>
      <c r="Q35" s="138">
        <f t="shared" si="9"/>
        <v>5.3125</v>
      </c>
      <c r="R35" s="138">
        <f t="shared" si="9"/>
        <v>7.5</v>
      </c>
      <c r="S35" s="139"/>
      <c r="T35" s="109">
        <v>15</v>
      </c>
      <c r="U35" s="109">
        <v>1</v>
      </c>
      <c r="V35" s="138">
        <f t="shared" si="15"/>
        <v>7.03125</v>
      </c>
      <c r="W35" s="138">
        <f t="shared" si="16"/>
        <v>3.75</v>
      </c>
      <c r="X35" s="138">
        <f t="shared" si="16"/>
        <v>8.4375</v>
      </c>
      <c r="Y35" s="138">
        <f t="shared" si="16"/>
        <v>7.5</v>
      </c>
      <c r="Z35" s="138">
        <f t="shared" si="16"/>
        <v>18.75</v>
      </c>
      <c r="AA35" s="138">
        <f t="shared" si="16"/>
        <v>24.0625</v>
      </c>
      <c r="AB35" s="138">
        <f t="shared" si="16"/>
        <v>7.03125</v>
      </c>
      <c r="AC35" s="138">
        <f t="shared" si="16"/>
        <v>7.96875</v>
      </c>
      <c r="AD35" s="138">
        <f t="shared" si="16"/>
        <v>22.5</v>
      </c>
      <c r="AE35" s="139"/>
      <c r="AF35" s="109">
        <v>15</v>
      </c>
      <c r="AG35" s="109">
        <v>1</v>
      </c>
      <c r="AH35" s="138">
        <f t="shared" si="17"/>
        <v>8.7890625</v>
      </c>
      <c r="AI35" s="138">
        <f t="shared" si="11"/>
        <v>4.6875</v>
      </c>
      <c r="AJ35" s="138">
        <f t="shared" si="11"/>
        <v>8.4375</v>
      </c>
      <c r="AK35" s="138">
        <f t="shared" si="11"/>
        <v>7.5</v>
      </c>
      <c r="AL35" s="138">
        <f t="shared" si="11"/>
        <v>28.125</v>
      </c>
      <c r="AM35" s="138">
        <f t="shared" si="11"/>
        <v>36.09375</v>
      </c>
      <c r="AN35" s="138">
        <f t="shared" si="11"/>
        <v>7.03125</v>
      </c>
      <c r="AO35" s="138">
        <f t="shared" si="11"/>
        <v>2.5</v>
      </c>
      <c r="AP35" s="138">
        <f t="shared" si="11"/>
        <v>6.25</v>
      </c>
      <c r="AQ35" s="138">
        <f t="shared" si="11"/>
        <v>11.953125</v>
      </c>
      <c r="AR35" s="138">
        <f t="shared" si="11"/>
        <v>33.75</v>
      </c>
      <c r="AT35" s="133">
        <f>+AT31+1</f>
        <v>3.25</v>
      </c>
      <c r="AU35" s="110">
        <f t="shared" si="18"/>
        <v>38.416638739681353</v>
      </c>
      <c r="AW35" s="133">
        <f>+AW31+1</f>
        <v>3.25</v>
      </c>
      <c r="AX35" s="109">
        <v>1</v>
      </c>
      <c r="AY35" s="138">
        <f t="shared" si="19"/>
        <v>2.5</v>
      </c>
      <c r="AZ35" s="138">
        <f t="shared" si="12"/>
        <v>3.75</v>
      </c>
      <c r="BA35" s="138">
        <f t="shared" si="12"/>
        <v>6.25</v>
      </c>
      <c r="BB35" s="138">
        <f t="shared" si="12"/>
        <v>7.5</v>
      </c>
      <c r="BC35" s="138">
        <f t="shared" si="12"/>
        <v>37.5</v>
      </c>
      <c r="BD35" s="138">
        <f t="shared" si="12"/>
        <v>50</v>
      </c>
      <c r="BE35" s="138">
        <f t="shared" si="12"/>
        <v>25</v>
      </c>
      <c r="BF35" s="138">
        <f t="shared" si="12"/>
        <v>8.75</v>
      </c>
      <c r="BG35" s="138">
        <f t="shared" si="12"/>
        <v>12.5</v>
      </c>
      <c r="BL35" s="133">
        <f t="shared" si="38"/>
        <v>7.5</v>
      </c>
      <c r="BM35" s="198">
        <f t="shared" si="20"/>
        <v>37.5</v>
      </c>
      <c r="BN35" s="198">
        <f t="shared" si="13"/>
        <v>41.25</v>
      </c>
      <c r="BO35" s="198">
        <f t="shared" si="13"/>
        <v>45</v>
      </c>
      <c r="BP35" s="198">
        <f t="shared" si="13"/>
        <v>48.75</v>
      </c>
      <c r="BQ35" s="198">
        <f t="shared" si="13"/>
        <v>52.5</v>
      </c>
      <c r="BR35" s="198">
        <f t="shared" si="13"/>
        <v>56.25</v>
      </c>
      <c r="BS35" s="198">
        <f t="shared" si="13"/>
        <v>60</v>
      </c>
      <c r="BT35" s="198">
        <f t="shared" si="13"/>
        <v>63.75</v>
      </c>
      <c r="BU35" s="198">
        <f t="shared" si="13"/>
        <v>67.5</v>
      </c>
      <c r="BV35" s="198">
        <f t="shared" si="13"/>
        <v>71.25</v>
      </c>
      <c r="BW35" s="198">
        <f t="shared" si="13"/>
        <v>76.875</v>
      </c>
      <c r="BX35" s="198">
        <f t="shared" si="13"/>
        <v>82.5</v>
      </c>
      <c r="BY35" s="198">
        <f t="shared" si="13"/>
        <v>88.125</v>
      </c>
      <c r="BZ35" s="198">
        <f t="shared" si="13"/>
        <v>93.75</v>
      </c>
      <c r="CA35" s="198">
        <f t="shared" si="13"/>
        <v>99.375</v>
      </c>
      <c r="CB35" s="198">
        <f t="shared" si="13"/>
        <v>105</v>
      </c>
      <c r="CD35" s="133">
        <v>3.25</v>
      </c>
      <c r="CE35" s="687"/>
      <c r="CF35" s="382">
        <f t="shared" si="39"/>
        <v>2.7083333333333335</v>
      </c>
      <c r="CG35" s="382">
        <f t="shared" si="21"/>
        <v>5.416666666666667</v>
      </c>
      <c r="CH35" s="382">
        <f t="shared" si="22"/>
        <v>8.125</v>
      </c>
      <c r="CI35" s="382">
        <f t="shared" si="23"/>
        <v>10.833333333333334</v>
      </c>
      <c r="CJ35" s="382">
        <f t="shared" si="24"/>
        <v>13.541666666666668</v>
      </c>
      <c r="CK35" s="382">
        <f t="shared" si="25"/>
        <v>16.25</v>
      </c>
      <c r="CL35" s="382">
        <f t="shared" si="26"/>
        <v>18.958333333333336</v>
      </c>
      <c r="CM35" s="382">
        <f t="shared" si="27"/>
        <v>21.666666666666668</v>
      </c>
      <c r="CN35" s="382">
        <f t="shared" si="28"/>
        <v>24.375</v>
      </c>
      <c r="CO35" s="382">
        <f t="shared" si="40"/>
        <v>25.793650793650794</v>
      </c>
      <c r="CP35" s="382">
        <f t="shared" si="41"/>
        <v>27.083333333333332</v>
      </c>
      <c r="CQ35" s="382">
        <f t="shared" si="42"/>
        <v>29.017857142857139</v>
      </c>
      <c r="CR35" s="382">
        <f t="shared" si="43"/>
        <v>30.884502923976612</v>
      </c>
      <c r="CS35" s="382">
        <f t="shared" si="44"/>
        <v>32.686781609195407</v>
      </c>
      <c r="CT35" s="382">
        <f t="shared" si="45"/>
        <v>34.722222222222221</v>
      </c>
      <c r="CU35" s="382">
        <f t="shared" si="46"/>
        <v>36.72316384180791</v>
      </c>
    </row>
    <row r="36" spans="1:99">
      <c r="A36" s="109">
        <v>15</v>
      </c>
      <c r="B36" s="110">
        <v>1.3333333333333333</v>
      </c>
      <c r="D36" s="109">
        <v>18</v>
      </c>
      <c r="E36" s="109">
        <v>1</v>
      </c>
      <c r="F36" s="110">
        <f t="shared" si="36"/>
        <v>3.75</v>
      </c>
      <c r="H36" s="109">
        <v>16</v>
      </c>
      <c r="I36" s="109">
        <v>1</v>
      </c>
      <c r="J36" s="138">
        <f t="shared" si="14"/>
        <v>6</v>
      </c>
      <c r="K36" s="138">
        <f t="shared" si="9"/>
        <v>2.6666666666666665</v>
      </c>
      <c r="L36" s="138">
        <f t="shared" si="9"/>
        <v>6</v>
      </c>
      <c r="M36" s="138">
        <f t="shared" si="9"/>
        <v>5.333333333333333</v>
      </c>
      <c r="N36" s="138">
        <f t="shared" si="9"/>
        <v>6.666666666666667</v>
      </c>
      <c r="O36" s="138">
        <f t="shared" si="9"/>
        <v>7.333333333333333</v>
      </c>
      <c r="P36" s="138">
        <f t="shared" si="9"/>
        <v>5</v>
      </c>
      <c r="Q36" s="138">
        <f t="shared" si="9"/>
        <v>5.666666666666667</v>
      </c>
      <c r="R36" s="138">
        <f t="shared" si="9"/>
        <v>8</v>
      </c>
      <c r="S36" s="139"/>
      <c r="T36" s="109">
        <v>16</v>
      </c>
      <c r="U36" s="109">
        <v>1</v>
      </c>
      <c r="V36" s="138">
        <f t="shared" si="15"/>
        <v>7.5</v>
      </c>
      <c r="W36" s="138">
        <f t="shared" si="16"/>
        <v>4</v>
      </c>
      <c r="X36" s="138">
        <f t="shared" si="16"/>
        <v>9</v>
      </c>
      <c r="Y36" s="138">
        <f t="shared" si="16"/>
        <v>8</v>
      </c>
      <c r="Z36" s="138">
        <f t="shared" si="16"/>
        <v>20</v>
      </c>
      <c r="AA36" s="138">
        <f t="shared" si="16"/>
        <v>25.666666666666668</v>
      </c>
      <c r="AB36" s="138">
        <f t="shared" si="16"/>
        <v>7.5</v>
      </c>
      <c r="AC36" s="138">
        <f t="shared" si="16"/>
        <v>8.5</v>
      </c>
      <c r="AD36" s="138">
        <f t="shared" si="16"/>
        <v>24</v>
      </c>
      <c r="AE36" s="139"/>
      <c r="AF36" s="109">
        <v>16</v>
      </c>
      <c r="AG36" s="109">
        <v>1</v>
      </c>
      <c r="AH36" s="138">
        <f t="shared" si="17"/>
        <v>9.375</v>
      </c>
      <c r="AI36" s="138">
        <f t="shared" si="11"/>
        <v>5</v>
      </c>
      <c r="AJ36" s="138">
        <f t="shared" si="11"/>
        <v>9</v>
      </c>
      <c r="AK36" s="138">
        <f t="shared" si="11"/>
        <v>8</v>
      </c>
      <c r="AL36" s="138">
        <f t="shared" si="11"/>
        <v>30</v>
      </c>
      <c r="AM36" s="138">
        <f t="shared" si="11"/>
        <v>38.5</v>
      </c>
      <c r="AN36" s="138">
        <f t="shared" si="11"/>
        <v>7.5</v>
      </c>
      <c r="AO36" s="138">
        <f t="shared" si="11"/>
        <v>2.6666666666666665</v>
      </c>
      <c r="AP36" s="138">
        <f t="shared" si="11"/>
        <v>6.666666666666667</v>
      </c>
      <c r="AQ36" s="138">
        <f t="shared" si="11"/>
        <v>12.75</v>
      </c>
      <c r="AR36" s="138">
        <f t="shared" si="11"/>
        <v>36</v>
      </c>
      <c r="AT36" s="133">
        <f>+AT32+1</f>
        <v>3.5</v>
      </c>
      <c r="AU36" s="110">
        <f t="shared" si="18"/>
        <v>44.622403459168339</v>
      </c>
      <c r="AW36" s="133">
        <f>+AW32+1</f>
        <v>3.5</v>
      </c>
      <c r="AX36" s="109">
        <v>1</v>
      </c>
      <c r="AY36" s="138">
        <f t="shared" si="19"/>
        <v>2.6666666666666665</v>
      </c>
      <c r="AZ36" s="138">
        <f t="shared" si="12"/>
        <v>4</v>
      </c>
      <c r="BA36" s="138">
        <f t="shared" si="12"/>
        <v>6.666666666666667</v>
      </c>
      <c r="BB36" s="138">
        <f t="shared" si="12"/>
        <v>8</v>
      </c>
      <c r="BC36" s="138">
        <f t="shared" si="12"/>
        <v>40</v>
      </c>
      <c r="BD36" s="138">
        <f t="shared" si="12"/>
        <v>53.333333333333336</v>
      </c>
      <c r="BE36" s="138">
        <f t="shared" si="12"/>
        <v>26.666666666666668</v>
      </c>
      <c r="BF36" s="138">
        <f t="shared" si="12"/>
        <v>9.3333333333333339</v>
      </c>
      <c r="BG36" s="138">
        <f t="shared" si="12"/>
        <v>13.333333333333334</v>
      </c>
      <c r="BL36" s="133">
        <f t="shared" si="38"/>
        <v>8</v>
      </c>
      <c r="BM36" s="198">
        <f>+BM$18*$BL36</f>
        <v>40</v>
      </c>
      <c r="BN36" s="198">
        <f t="shared" si="13"/>
        <v>44</v>
      </c>
      <c r="BO36" s="198">
        <f t="shared" si="13"/>
        <v>48</v>
      </c>
      <c r="BP36" s="198">
        <f t="shared" si="13"/>
        <v>52</v>
      </c>
      <c r="BQ36" s="198">
        <f t="shared" si="13"/>
        <v>56</v>
      </c>
      <c r="BR36" s="198">
        <f t="shared" si="13"/>
        <v>60</v>
      </c>
      <c r="BS36" s="198">
        <f t="shared" si="13"/>
        <v>64</v>
      </c>
      <c r="BT36" s="198">
        <f t="shared" si="13"/>
        <v>68</v>
      </c>
      <c r="BU36" s="198">
        <f t="shared" si="13"/>
        <v>72</v>
      </c>
      <c r="BV36" s="198">
        <f t="shared" si="13"/>
        <v>76</v>
      </c>
      <c r="BW36" s="198">
        <f t="shared" si="13"/>
        <v>82</v>
      </c>
      <c r="BX36" s="198">
        <f t="shared" si="13"/>
        <v>88</v>
      </c>
      <c r="BY36" s="198">
        <f t="shared" si="13"/>
        <v>94</v>
      </c>
      <c r="BZ36" s="198">
        <f t="shared" si="13"/>
        <v>100</v>
      </c>
      <c r="CA36" s="198">
        <f t="shared" si="13"/>
        <v>106</v>
      </c>
      <c r="CB36" s="198">
        <f t="shared" si="13"/>
        <v>112</v>
      </c>
      <c r="CD36" s="133">
        <v>3.5</v>
      </c>
      <c r="CE36" s="687"/>
      <c r="CF36" s="382">
        <f t="shared" si="39"/>
        <v>2.916666666666667</v>
      </c>
      <c r="CG36" s="382">
        <f t="shared" si="21"/>
        <v>5.8333333333333339</v>
      </c>
      <c r="CH36" s="382">
        <f t="shared" si="22"/>
        <v>8.75</v>
      </c>
      <c r="CI36" s="382">
        <f t="shared" si="23"/>
        <v>11.666666666666668</v>
      </c>
      <c r="CJ36" s="382">
        <f t="shared" si="24"/>
        <v>14.583333333333334</v>
      </c>
      <c r="CK36" s="382">
        <f t="shared" si="25"/>
        <v>17.5</v>
      </c>
      <c r="CL36" s="382">
        <f t="shared" si="26"/>
        <v>20.416666666666668</v>
      </c>
      <c r="CM36" s="382">
        <f t="shared" si="27"/>
        <v>23.333333333333336</v>
      </c>
      <c r="CN36" s="382">
        <f t="shared" si="28"/>
        <v>26.25</v>
      </c>
      <c r="CO36" s="382">
        <f t="shared" si="40"/>
        <v>27.777777777777779</v>
      </c>
      <c r="CP36" s="382">
        <f t="shared" si="41"/>
        <v>29.166666666666668</v>
      </c>
      <c r="CQ36" s="382">
        <f t="shared" si="42"/>
        <v>31.249999999999996</v>
      </c>
      <c r="CR36" s="382">
        <f t="shared" si="43"/>
        <v>33.260233918128662</v>
      </c>
      <c r="CS36" s="382">
        <f t="shared" si="44"/>
        <v>35.201149425287362</v>
      </c>
      <c r="CT36" s="382">
        <f t="shared" si="45"/>
        <v>37.393162393162399</v>
      </c>
      <c r="CU36" s="382">
        <f t="shared" si="46"/>
        <v>39.548022598870062</v>
      </c>
    </row>
    <row r="37" spans="1:99">
      <c r="A37" s="109">
        <v>16</v>
      </c>
      <c r="B37" s="110">
        <v>1.3555555555555556</v>
      </c>
      <c r="D37" s="109">
        <v>20</v>
      </c>
      <c r="E37" s="109">
        <v>1</v>
      </c>
      <c r="F37" s="110">
        <f t="shared" si="36"/>
        <v>3.75</v>
      </c>
      <c r="H37" s="109">
        <v>17</v>
      </c>
      <c r="I37" s="109">
        <v>1</v>
      </c>
      <c r="J37" s="138">
        <f t="shared" si="14"/>
        <v>6.375</v>
      </c>
      <c r="K37" s="138">
        <f t="shared" si="14"/>
        <v>2.8333333333333335</v>
      </c>
      <c r="L37" s="138">
        <f t="shared" si="14"/>
        <v>6.375</v>
      </c>
      <c r="M37" s="138">
        <f t="shared" si="14"/>
        <v>5.666666666666667</v>
      </c>
      <c r="N37" s="138">
        <f t="shared" si="14"/>
        <v>7.083333333333333</v>
      </c>
      <c r="O37" s="138">
        <f t="shared" si="14"/>
        <v>7.791666666666667</v>
      </c>
      <c r="P37" s="138">
        <f t="shared" si="14"/>
        <v>5.3125</v>
      </c>
      <c r="Q37" s="138">
        <f t="shared" si="14"/>
        <v>6.020833333333333</v>
      </c>
      <c r="R37" s="138">
        <f t="shared" si="14"/>
        <v>8.5</v>
      </c>
      <c r="S37" s="139"/>
      <c r="T37" s="109">
        <v>17</v>
      </c>
      <c r="U37" s="109">
        <v>1</v>
      </c>
      <c r="V37" s="138">
        <f t="shared" si="15"/>
        <v>7.96875</v>
      </c>
      <c r="W37" s="138">
        <f t="shared" si="15"/>
        <v>4.25</v>
      </c>
      <c r="X37" s="138">
        <f t="shared" si="15"/>
        <v>9.5625</v>
      </c>
      <c r="Y37" s="138">
        <f t="shared" si="15"/>
        <v>8.5</v>
      </c>
      <c r="Z37" s="138">
        <f t="shared" si="15"/>
        <v>21.25</v>
      </c>
      <c r="AA37" s="138">
        <f t="shared" si="15"/>
        <v>27.270833333333332</v>
      </c>
      <c r="AB37" s="138">
        <f t="shared" si="15"/>
        <v>7.96875</v>
      </c>
      <c r="AC37" s="138">
        <f t="shared" si="15"/>
        <v>9.03125</v>
      </c>
      <c r="AD37" s="138">
        <f t="shared" si="15"/>
        <v>25.5</v>
      </c>
      <c r="AE37" s="139"/>
      <c r="AF37" s="109">
        <v>17</v>
      </c>
      <c r="AG37" s="109">
        <v>1</v>
      </c>
      <c r="AH37" s="138">
        <f t="shared" si="17"/>
        <v>9.9609375</v>
      </c>
      <c r="AI37" s="138">
        <f t="shared" si="17"/>
        <v>5.3125</v>
      </c>
      <c r="AJ37" s="138">
        <f t="shared" si="17"/>
        <v>9.5625</v>
      </c>
      <c r="AK37" s="138">
        <f t="shared" si="17"/>
        <v>8.5</v>
      </c>
      <c r="AL37" s="138">
        <f t="shared" si="17"/>
        <v>31.875</v>
      </c>
      <c r="AM37" s="138">
        <f t="shared" si="17"/>
        <v>40.90625</v>
      </c>
      <c r="AN37" s="138">
        <f t="shared" si="17"/>
        <v>7.96875</v>
      </c>
      <c r="AO37" s="138">
        <f t="shared" si="17"/>
        <v>2.8333333333333335</v>
      </c>
      <c r="AP37" s="138">
        <f t="shared" si="17"/>
        <v>7.083333333333333</v>
      </c>
      <c r="AQ37" s="138">
        <f t="shared" si="17"/>
        <v>13.546875</v>
      </c>
      <c r="AR37" s="138">
        <f t="shared" si="17"/>
        <v>38.25</v>
      </c>
      <c r="AT37" s="133">
        <f>+AT33+1</f>
        <v>3.75</v>
      </c>
      <c r="AU37" s="110">
        <f t="shared" si="18"/>
        <v>51.793861157963249</v>
      </c>
      <c r="AW37" s="133">
        <f>+AW33+1</f>
        <v>3.75</v>
      </c>
      <c r="AX37" s="109">
        <v>1</v>
      </c>
      <c r="AY37" s="138">
        <f t="shared" si="19"/>
        <v>2.8333333333333335</v>
      </c>
      <c r="AZ37" s="138">
        <f t="shared" ref="AZ37:BG38" si="47">+AZ$18*$H37/12*$I37</f>
        <v>4.25</v>
      </c>
      <c r="BA37" s="138">
        <f t="shared" si="47"/>
        <v>7.083333333333333</v>
      </c>
      <c r="BB37" s="138">
        <f t="shared" si="47"/>
        <v>8.5</v>
      </c>
      <c r="BC37" s="138">
        <f t="shared" si="47"/>
        <v>42.5</v>
      </c>
      <c r="BD37" s="138">
        <f t="shared" si="47"/>
        <v>56.666666666666664</v>
      </c>
      <c r="BE37" s="138">
        <f t="shared" si="47"/>
        <v>28.333333333333332</v>
      </c>
      <c r="BF37" s="138">
        <f t="shared" si="47"/>
        <v>9.9166666666666661</v>
      </c>
      <c r="BG37" s="138">
        <f t="shared" si="47"/>
        <v>14.166666666666666</v>
      </c>
      <c r="CD37" s="133">
        <v>3.75</v>
      </c>
      <c r="CE37" s="687"/>
      <c r="CF37" s="382">
        <f t="shared" si="39"/>
        <v>3.125</v>
      </c>
      <c r="CG37" s="382">
        <f t="shared" si="21"/>
        <v>6.25</v>
      </c>
      <c r="CH37" s="382">
        <f t="shared" si="22"/>
        <v>9.375</v>
      </c>
      <c r="CI37" s="382">
        <f t="shared" si="23"/>
        <v>12.5</v>
      </c>
      <c r="CJ37" s="382">
        <f t="shared" si="24"/>
        <v>15.625</v>
      </c>
      <c r="CK37" s="382">
        <f t="shared" si="25"/>
        <v>18.75</v>
      </c>
      <c r="CL37" s="382">
        <f t="shared" si="26"/>
        <v>21.875</v>
      </c>
      <c r="CM37" s="382">
        <f t="shared" si="27"/>
        <v>25</v>
      </c>
      <c r="CN37" s="382">
        <f t="shared" si="28"/>
        <v>28.125</v>
      </c>
      <c r="CO37" s="382">
        <f t="shared" si="40"/>
        <v>29.761904761904759</v>
      </c>
      <c r="CP37" s="382">
        <f t="shared" si="41"/>
        <v>31.249999999999996</v>
      </c>
      <c r="CQ37" s="382">
        <f t="shared" si="42"/>
        <v>33.482142857142854</v>
      </c>
      <c r="CR37" s="382">
        <f t="shared" si="43"/>
        <v>35.635964912280706</v>
      </c>
      <c r="CS37" s="382">
        <f t="shared" si="44"/>
        <v>37.71551724137931</v>
      </c>
      <c r="CT37" s="382">
        <f t="shared" si="45"/>
        <v>40.064102564102569</v>
      </c>
      <c r="CU37" s="382">
        <f t="shared" si="46"/>
        <v>42.372881355932208</v>
      </c>
    </row>
    <row r="38" spans="1:99">
      <c r="A38" s="109">
        <v>16.5</v>
      </c>
      <c r="B38" s="110">
        <v>1.3666666666666667</v>
      </c>
      <c r="D38" s="109">
        <v>22</v>
      </c>
      <c r="E38" s="109">
        <v>1</v>
      </c>
      <c r="F38" s="110">
        <f t="shared" si="36"/>
        <v>3.75</v>
      </c>
      <c r="H38" s="109">
        <v>18</v>
      </c>
      <c r="I38" s="109">
        <v>1</v>
      </c>
      <c r="J38" s="138">
        <f t="shared" si="14"/>
        <v>6.75</v>
      </c>
      <c r="K38" s="138">
        <f t="shared" si="14"/>
        <v>3</v>
      </c>
      <c r="L38" s="138">
        <f t="shared" si="14"/>
        <v>6.75</v>
      </c>
      <c r="M38" s="138">
        <f t="shared" si="14"/>
        <v>6</v>
      </c>
      <c r="N38" s="138">
        <f t="shared" si="14"/>
        <v>7.5</v>
      </c>
      <c r="O38" s="138">
        <f t="shared" si="14"/>
        <v>8.25</v>
      </c>
      <c r="P38" s="138">
        <f t="shared" si="14"/>
        <v>5.625</v>
      </c>
      <c r="Q38" s="138">
        <f t="shared" si="14"/>
        <v>6.375</v>
      </c>
      <c r="R38" s="138">
        <f t="shared" si="14"/>
        <v>9</v>
      </c>
      <c r="S38" s="139"/>
      <c r="T38" s="109">
        <v>18</v>
      </c>
      <c r="U38" s="109">
        <v>1</v>
      </c>
      <c r="V38" s="138">
        <f t="shared" si="15"/>
        <v>8.4375</v>
      </c>
      <c r="W38" s="138">
        <f t="shared" si="15"/>
        <v>4.5</v>
      </c>
      <c r="X38" s="138">
        <f t="shared" si="15"/>
        <v>10.125</v>
      </c>
      <c r="Y38" s="138">
        <f t="shared" si="15"/>
        <v>9</v>
      </c>
      <c r="Z38" s="138">
        <f t="shared" si="15"/>
        <v>22.5</v>
      </c>
      <c r="AA38" s="138">
        <f t="shared" si="15"/>
        <v>28.875</v>
      </c>
      <c r="AB38" s="138">
        <f t="shared" si="15"/>
        <v>8.4375</v>
      </c>
      <c r="AC38" s="138">
        <f t="shared" si="15"/>
        <v>9.5625</v>
      </c>
      <c r="AD38" s="138">
        <f t="shared" si="15"/>
        <v>27</v>
      </c>
      <c r="AE38" s="139"/>
      <c r="AF38" s="109">
        <v>18</v>
      </c>
      <c r="AG38" s="109">
        <v>1</v>
      </c>
      <c r="AH38" s="138">
        <f t="shared" si="17"/>
        <v>10.546875</v>
      </c>
      <c r="AI38" s="138">
        <f t="shared" si="17"/>
        <v>5.625</v>
      </c>
      <c r="AJ38" s="138">
        <f t="shared" si="17"/>
        <v>10.125</v>
      </c>
      <c r="AK38" s="138">
        <f t="shared" si="17"/>
        <v>9</v>
      </c>
      <c r="AL38" s="138">
        <f t="shared" si="17"/>
        <v>33.75</v>
      </c>
      <c r="AM38" s="138">
        <f t="shared" si="17"/>
        <v>43.3125</v>
      </c>
      <c r="AN38" s="138">
        <f t="shared" si="17"/>
        <v>8.4375</v>
      </c>
      <c r="AO38" s="138">
        <f t="shared" si="17"/>
        <v>3</v>
      </c>
      <c r="AP38" s="138">
        <f t="shared" si="17"/>
        <v>7.5</v>
      </c>
      <c r="AQ38" s="138">
        <f t="shared" si="17"/>
        <v>14.34375</v>
      </c>
      <c r="AR38" s="138">
        <f t="shared" si="17"/>
        <v>40.5</v>
      </c>
      <c r="AT38" s="133">
        <f>+AT34+1</f>
        <v>4</v>
      </c>
      <c r="AU38" s="110">
        <f t="shared" si="18"/>
        <v>60.080878943237366</v>
      </c>
      <c r="AW38" s="133">
        <f>+AW34+1</f>
        <v>4</v>
      </c>
      <c r="AX38" s="109">
        <v>1</v>
      </c>
      <c r="AY38" s="138">
        <f t="shared" si="19"/>
        <v>3</v>
      </c>
      <c r="AZ38" s="138">
        <f t="shared" si="47"/>
        <v>4.5</v>
      </c>
      <c r="BA38" s="138">
        <f t="shared" si="47"/>
        <v>7.5</v>
      </c>
      <c r="BB38" s="138">
        <f t="shared" si="47"/>
        <v>9</v>
      </c>
      <c r="BC38" s="138">
        <f t="shared" si="47"/>
        <v>45</v>
      </c>
      <c r="BD38" s="138">
        <f t="shared" si="47"/>
        <v>60</v>
      </c>
      <c r="BE38" s="138">
        <f t="shared" si="47"/>
        <v>30</v>
      </c>
      <c r="BF38" s="138">
        <f t="shared" si="47"/>
        <v>10.5</v>
      </c>
      <c r="BG38" s="138">
        <f t="shared" si="47"/>
        <v>15</v>
      </c>
      <c r="CD38" s="133">
        <v>4</v>
      </c>
      <c r="CE38" s="688"/>
      <c r="CF38" s="382">
        <f t="shared" si="39"/>
        <v>3.3333333333333335</v>
      </c>
      <c r="CG38" s="382">
        <f t="shared" si="21"/>
        <v>6.666666666666667</v>
      </c>
      <c r="CH38" s="382">
        <f t="shared" si="22"/>
        <v>10</v>
      </c>
      <c r="CI38" s="382">
        <f t="shared" si="23"/>
        <v>13.333333333333334</v>
      </c>
      <c r="CJ38" s="382">
        <f t="shared" si="24"/>
        <v>16.666666666666668</v>
      </c>
      <c r="CK38" s="382">
        <f t="shared" si="25"/>
        <v>20</v>
      </c>
      <c r="CL38" s="382">
        <f t="shared" si="26"/>
        <v>23.333333333333336</v>
      </c>
      <c r="CM38" s="382">
        <f t="shared" si="27"/>
        <v>26.666666666666668</v>
      </c>
      <c r="CN38" s="382">
        <f t="shared" si="28"/>
        <v>30</v>
      </c>
      <c r="CO38" s="382">
        <f t="shared" si="40"/>
        <v>31.746031746031747</v>
      </c>
      <c r="CP38" s="382">
        <f t="shared" si="41"/>
        <v>33.333333333333336</v>
      </c>
      <c r="CQ38" s="382">
        <f t="shared" si="42"/>
        <v>35.714285714285708</v>
      </c>
      <c r="CR38" s="382">
        <f t="shared" si="43"/>
        <v>38.011695906432756</v>
      </c>
      <c r="CS38" s="382">
        <f t="shared" si="44"/>
        <v>40.229885057471272</v>
      </c>
      <c r="CT38" s="382">
        <f t="shared" si="45"/>
        <v>42.73504273504274</v>
      </c>
      <c r="CU38" s="382">
        <f t="shared" si="46"/>
        <v>45.197740112994353</v>
      </c>
    </row>
    <row r="39" spans="1:99">
      <c r="A39" s="109">
        <v>17</v>
      </c>
      <c r="B39" s="110">
        <v>1.3777777777777778</v>
      </c>
      <c r="D39" s="109">
        <v>24</v>
      </c>
      <c r="E39" s="109">
        <v>1</v>
      </c>
      <c r="F39" s="110">
        <f t="shared" si="36"/>
        <v>3.75</v>
      </c>
      <c r="H39" s="109">
        <v>19</v>
      </c>
      <c r="I39" s="109">
        <v>1</v>
      </c>
      <c r="J39" s="138">
        <f t="shared" si="14"/>
        <v>7.125</v>
      </c>
      <c r="K39" s="138">
        <f t="shared" si="14"/>
        <v>3.1666666666666665</v>
      </c>
      <c r="L39" s="138">
        <f t="shared" si="14"/>
        <v>7.125</v>
      </c>
      <c r="M39" s="138">
        <f t="shared" si="14"/>
        <v>6.333333333333333</v>
      </c>
      <c r="N39" s="138">
        <f t="shared" si="14"/>
        <v>7.916666666666667</v>
      </c>
      <c r="O39" s="138">
        <f t="shared" si="14"/>
        <v>8.7083333333333339</v>
      </c>
      <c r="P39" s="138">
        <f t="shared" si="14"/>
        <v>5.9375</v>
      </c>
      <c r="Q39" s="138">
        <f t="shared" si="14"/>
        <v>6.729166666666667</v>
      </c>
      <c r="R39" s="138">
        <f t="shared" si="14"/>
        <v>9.5</v>
      </c>
      <c r="S39" s="139"/>
      <c r="T39" s="109">
        <v>19</v>
      </c>
      <c r="U39" s="109">
        <v>1</v>
      </c>
      <c r="V39" s="138">
        <f t="shared" si="15"/>
        <v>8.90625</v>
      </c>
      <c r="W39" s="138">
        <f t="shared" si="15"/>
        <v>4.75</v>
      </c>
      <c r="X39" s="138">
        <f t="shared" si="15"/>
        <v>10.6875</v>
      </c>
      <c r="Y39" s="138">
        <f t="shared" si="15"/>
        <v>9.5</v>
      </c>
      <c r="Z39" s="138">
        <f t="shared" si="15"/>
        <v>23.75</v>
      </c>
      <c r="AA39" s="138">
        <f t="shared" si="15"/>
        <v>30.479166666666668</v>
      </c>
      <c r="AB39" s="138">
        <f t="shared" si="15"/>
        <v>8.90625</v>
      </c>
      <c r="AC39" s="138">
        <f t="shared" si="15"/>
        <v>10.09375</v>
      </c>
      <c r="AD39" s="138">
        <f t="shared" si="15"/>
        <v>28.5</v>
      </c>
      <c r="AE39" s="139"/>
      <c r="AF39" s="109">
        <v>19</v>
      </c>
      <c r="AG39" s="109">
        <v>1</v>
      </c>
      <c r="AH39" s="138">
        <f t="shared" si="17"/>
        <v>11.1328125</v>
      </c>
      <c r="AI39" s="138">
        <f t="shared" si="17"/>
        <v>5.9375</v>
      </c>
      <c r="AJ39" s="138">
        <f t="shared" si="17"/>
        <v>10.6875</v>
      </c>
      <c r="AK39" s="138">
        <f t="shared" si="17"/>
        <v>9.5</v>
      </c>
      <c r="AL39" s="138">
        <f t="shared" si="17"/>
        <v>35.625</v>
      </c>
      <c r="AM39" s="138">
        <f t="shared" si="17"/>
        <v>45.71875</v>
      </c>
      <c r="AN39" s="138">
        <f t="shared" si="17"/>
        <v>8.90625</v>
      </c>
      <c r="AO39" s="138">
        <f t="shared" si="17"/>
        <v>3.1666666666666665</v>
      </c>
      <c r="AP39" s="138">
        <f t="shared" si="17"/>
        <v>7.916666666666667</v>
      </c>
      <c r="AQ39" s="138">
        <f t="shared" si="17"/>
        <v>15.140625</v>
      </c>
      <c r="AR39" s="138">
        <f t="shared" si="17"/>
        <v>42.75</v>
      </c>
      <c r="AW39" s="140"/>
      <c r="AX39" s="140"/>
      <c r="AY39" s="139"/>
      <c r="AZ39" s="139"/>
      <c r="BA39" s="139"/>
      <c r="BB39" s="139"/>
      <c r="BC39" s="139"/>
      <c r="BD39" s="139"/>
      <c r="BE39" s="139"/>
    </row>
    <row r="40" spans="1:99">
      <c r="A40" s="109">
        <v>17.5</v>
      </c>
      <c r="B40" s="110">
        <v>1.3888888888888888</v>
      </c>
      <c r="D40" s="109">
        <v>26</v>
      </c>
      <c r="E40" s="109">
        <v>1</v>
      </c>
      <c r="F40" s="110">
        <f t="shared" si="36"/>
        <v>3.75</v>
      </c>
      <c r="H40" s="109">
        <v>20</v>
      </c>
      <c r="I40" s="109">
        <v>1</v>
      </c>
      <c r="J40" s="138">
        <f t="shared" si="14"/>
        <v>7.5</v>
      </c>
      <c r="K40" s="138">
        <f t="shared" si="14"/>
        <v>3.3333333333333335</v>
      </c>
      <c r="L40" s="138">
        <f t="shared" si="14"/>
        <v>7.5</v>
      </c>
      <c r="M40" s="138">
        <f t="shared" si="14"/>
        <v>6.666666666666667</v>
      </c>
      <c r="N40" s="138">
        <f t="shared" si="14"/>
        <v>8.3333333333333339</v>
      </c>
      <c r="O40" s="138">
        <f t="shared" si="14"/>
        <v>9.1666666666666661</v>
      </c>
      <c r="P40" s="138">
        <f t="shared" si="14"/>
        <v>6.25</v>
      </c>
      <c r="Q40" s="138">
        <f t="shared" si="14"/>
        <v>7.083333333333333</v>
      </c>
      <c r="R40" s="138">
        <f t="shared" si="14"/>
        <v>10</v>
      </c>
      <c r="S40" s="139"/>
      <c r="T40" s="109">
        <v>20</v>
      </c>
      <c r="U40" s="109">
        <v>1</v>
      </c>
      <c r="V40" s="138">
        <f t="shared" si="15"/>
        <v>9.375</v>
      </c>
      <c r="W40" s="138">
        <f t="shared" si="15"/>
        <v>5</v>
      </c>
      <c r="X40" s="138">
        <f t="shared" si="15"/>
        <v>11.25</v>
      </c>
      <c r="Y40" s="138">
        <f t="shared" si="15"/>
        <v>10</v>
      </c>
      <c r="Z40" s="138">
        <f t="shared" si="15"/>
        <v>25</v>
      </c>
      <c r="AA40" s="138">
        <f t="shared" si="15"/>
        <v>32.083333333333336</v>
      </c>
      <c r="AB40" s="138">
        <f t="shared" si="15"/>
        <v>9.375</v>
      </c>
      <c r="AC40" s="138">
        <f t="shared" si="15"/>
        <v>10.625</v>
      </c>
      <c r="AD40" s="138">
        <f t="shared" si="15"/>
        <v>30</v>
      </c>
      <c r="AE40" s="139"/>
      <c r="AF40" s="109">
        <v>20</v>
      </c>
      <c r="AG40" s="109">
        <v>1</v>
      </c>
      <c r="AH40" s="138">
        <f t="shared" si="17"/>
        <v>11.71875</v>
      </c>
      <c r="AI40" s="138">
        <f t="shared" si="17"/>
        <v>6.25</v>
      </c>
      <c r="AJ40" s="138">
        <f t="shared" si="17"/>
        <v>11.25</v>
      </c>
      <c r="AK40" s="138">
        <f t="shared" si="17"/>
        <v>10</v>
      </c>
      <c r="AL40" s="138">
        <f t="shared" si="17"/>
        <v>37.5</v>
      </c>
      <c r="AM40" s="138">
        <f t="shared" si="17"/>
        <v>48.125</v>
      </c>
      <c r="AN40" s="138">
        <f t="shared" si="17"/>
        <v>9.375</v>
      </c>
      <c r="AO40" s="138">
        <f t="shared" si="17"/>
        <v>3.3333333333333335</v>
      </c>
      <c r="AP40" s="138">
        <f t="shared" si="17"/>
        <v>8.3333333333333339</v>
      </c>
      <c r="AQ40" s="138">
        <f t="shared" si="17"/>
        <v>15.9375</v>
      </c>
      <c r="AR40" s="138">
        <f t="shared" si="17"/>
        <v>45</v>
      </c>
      <c r="AW40" s="140"/>
      <c r="AX40" s="140"/>
      <c r="AY40" s="139"/>
      <c r="AZ40" s="139"/>
      <c r="BA40" s="139"/>
      <c r="BB40" s="139"/>
      <c r="BC40" s="139"/>
      <c r="BD40" s="139"/>
      <c r="BE40" s="139"/>
    </row>
    <row r="41" spans="1:99">
      <c r="A41" s="109">
        <v>18</v>
      </c>
      <c r="B41" s="110">
        <v>1.4</v>
      </c>
      <c r="D41" s="109">
        <v>28</v>
      </c>
      <c r="E41" s="109">
        <v>1</v>
      </c>
      <c r="F41" s="110">
        <f t="shared" si="36"/>
        <v>3.75</v>
      </c>
      <c r="H41" s="109">
        <v>21</v>
      </c>
      <c r="I41" s="109">
        <v>1</v>
      </c>
      <c r="J41" s="138">
        <f t="shared" si="14"/>
        <v>7.875</v>
      </c>
      <c r="K41" s="138">
        <f t="shared" si="14"/>
        <v>3.5</v>
      </c>
      <c r="L41" s="138">
        <f t="shared" si="14"/>
        <v>7.875</v>
      </c>
      <c r="M41" s="138">
        <f t="shared" si="14"/>
        <v>7</v>
      </c>
      <c r="N41" s="138">
        <f t="shared" si="14"/>
        <v>8.75</v>
      </c>
      <c r="O41" s="138">
        <f t="shared" si="14"/>
        <v>9.625</v>
      </c>
      <c r="P41" s="138">
        <f t="shared" si="14"/>
        <v>6.5625</v>
      </c>
      <c r="Q41" s="138">
        <f t="shared" si="14"/>
        <v>7.4375</v>
      </c>
      <c r="R41" s="138">
        <f t="shared" si="14"/>
        <v>10.5</v>
      </c>
      <c r="S41" s="139"/>
      <c r="T41" s="109">
        <v>21</v>
      </c>
      <c r="U41" s="109">
        <v>1</v>
      </c>
      <c r="V41" s="138">
        <f t="shared" si="15"/>
        <v>9.84375</v>
      </c>
      <c r="W41" s="138">
        <f t="shared" si="15"/>
        <v>5.25</v>
      </c>
      <c r="X41" s="138">
        <f t="shared" si="15"/>
        <v>11.8125</v>
      </c>
      <c r="Y41" s="138">
        <f t="shared" si="15"/>
        <v>10.5</v>
      </c>
      <c r="Z41" s="138">
        <f t="shared" si="15"/>
        <v>26.25</v>
      </c>
      <c r="AA41" s="138">
        <f t="shared" si="15"/>
        <v>33.6875</v>
      </c>
      <c r="AB41" s="138">
        <f t="shared" si="15"/>
        <v>9.84375</v>
      </c>
      <c r="AC41" s="138">
        <f t="shared" si="15"/>
        <v>11.15625</v>
      </c>
      <c r="AD41" s="138">
        <f t="shared" si="15"/>
        <v>31.5</v>
      </c>
      <c r="AE41" s="139"/>
      <c r="AF41" s="109">
        <v>21</v>
      </c>
      <c r="AG41" s="109">
        <v>1</v>
      </c>
      <c r="AH41" s="138">
        <f t="shared" si="17"/>
        <v>12.3046875</v>
      </c>
      <c r="AI41" s="138">
        <f t="shared" si="17"/>
        <v>6.5625</v>
      </c>
      <c r="AJ41" s="138">
        <f t="shared" si="17"/>
        <v>11.8125</v>
      </c>
      <c r="AK41" s="138">
        <f t="shared" si="17"/>
        <v>10.5</v>
      </c>
      <c r="AL41" s="138">
        <f t="shared" si="17"/>
        <v>39.375</v>
      </c>
      <c r="AM41" s="138">
        <f t="shared" si="17"/>
        <v>50.53125</v>
      </c>
      <c r="AN41" s="138">
        <f t="shared" si="17"/>
        <v>9.84375</v>
      </c>
      <c r="AO41" s="138">
        <f t="shared" si="17"/>
        <v>3.5</v>
      </c>
      <c r="AP41" s="138">
        <f t="shared" si="17"/>
        <v>8.75</v>
      </c>
      <c r="AQ41" s="138">
        <f t="shared" si="17"/>
        <v>16.734375</v>
      </c>
      <c r="AR41" s="138">
        <f t="shared" si="17"/>
        <v>47.25</v>
      </c>
      <c r="AW41" s="140"/>
      <c r="AX41" s="140"/>
      <c r="AY41" s="139"/>
      <c r="AZ41" s="139"/>
      <c r="BA41" s="139"/>
      <c r="BB41" s="139"/>
      <c r="BC41" s="139"/>
      <c r="BD41" s="139"/>
      <c r="BE41" s="139"/>
    </row>
    <row r="42" spans="1:99">
      <c r="A42" s="109">
        <v>18.5</v>
      </c>
      <c r="B42" s="110">
        <v>1.4111111111111112</v>
      </c>
      <c r="D42" s="109">
        <v>30</v>
      </c>
      <c r="E42" s="109">
        <v>1</v>
      </c>
      <c r="F42" s="110">
        <f t="shared" si="36"/>
        <v>3.75</v>
      </c>
      <c r="H42" s="109">
        <v>22</v>
      </c>
      <c r="I42" s="109">
        <v>1</v>
      </c>
      <c r="J42" s="138">
        <f t="shared" si="14"/>
        <v>8.25</v>
      </c>
      <c r="K42" s="138">
        <f t="shared" si="14"/>
        <v>3.6666666666666665</v>
      </c>
      <c r="L42" s="138">
        <f t="shared" si="14"/>
        <v>8.25</v>
      </c>
      <c r="M42" s="138">
        <f t="shared" si="14"/>
        <v>7.333333333333333</v>
      </c>
      <c r="N42" s="138">
        <f t="shared" si="14"/>
        <v>9.1666666666666661</v>
      </c>
      <c r="O42" s="138">
        <f t="shared" si="14"/>
        <v>10.083333333333334</v>
      </c>
      <c r="P42" s="138">
        <f t="shared" si="14"/>
        <v>6.875</v>
      </c>
      <c r="Q42" s="138">
        <f t="shared" si="14"/>
        <v>7.791666666666667</v>
      </c>
      <c r="R42" s="138">
        <f t="shared" si="14"/>
        <v>11</v>
      </c>
      <c r="S42" s="139"/>
      <c r="T42" s="109">
        <v>22</v>
      </c>
      <c r="U42" s="109">
        <v>1</v>
      </c>
      <c r="V42" s="138">
        <f t="shared" si="15"/>
        <v>10.3125</v>
      </c>
      <c r="W42" s="138">
        <f t="shared" si="15"/>
        <v>5.5</v>
      </c>
      <c r="X42" s="138">
        <f t="shared" si="15"/>
        <v>12.375</v>
      </c>
      <c r="Y42" s="138">
        <f t="shared" si="15"/>
        <v>11</v>
      </c>
      <c r="Z42" s="138">
        <f t="shared" si="15"/>
        <v>27.5</v>
      </c>
      <c r="AA42" s="138">
        <f t="shared" si="15"/>
        <v>35.291666666666664</v>
      </c>
      <c r="AB42" s="138">
        <f t="shared" si="15"/>
        <v>10.3125</v>
      </c>
      <c r="AC42" s="138">
        <f t="shared" si="15"/>
        <v>11.6875</v>
      </c>
      <c r="AD42" s="138">
        <f t="shared" si="15"/>
        <v>33</v>
      </c>
      <c r="AE42" s="139"/>
      <c r="AF42" s="109">
        <v>22</v>
      </c>
      <c r="AG42" s="109">
        <v>1</v>
      </c>
      <c r="AH42" s="138">
        <f t="shared" si="17"/>
        <v>12.890625</v>
      </c>
      <c r="AI42" s="138">
        <f t="shared" si="17"/>
        <v>6.875</v>
      </c>
      <c r="AJ42" s="138">
        <f t="shared" si="17"/>
        <v>12.375</v>
      </c>
      <c r="AK42" s="138">
        <f t="shared" si="17"/>
        <v>11</v>
      </c>
      <c r="AL42" s="138">
        <f t="shared" si="17"/>
        <v>41.25</v>
      </c>
      <c r="AM42" s="138">
        <f t="shared" si="17"/>
        <v>52.9375</v>
      </c>
      <c r="AN42" s="138">
        <f t="shared" si="17"/>
        <v>10.3125</v>
      </c>
      <c r="AO42" s="138">
        <f t="shared" si="17"/>
        <v>3.6666666666666665</v>
      </c>
      <c r="AP42" s="138">
        <f t="shared" si="17"/>
        <v>9.1666666666666661</v>
      </c>
      <c r="AQ42" s="138">
        <f t="shared" si="17"/>
        <v>17.53125</v>
      </c>
      <c r="AR42" s="138">
        <f t="shared" si="17"/>
        <v>49.5</v>
      </c>
      <c r="AW42" s="140"/>
      <c r="AX42" s="140"/>
      <c r="AY42" s="139"/>
      <c r="AZ42" s="139"/>
      <c r="BA42" s="139"/>
      <c r="BB42" s="139"/>
      <c r="BC42" s="139"/>
      <c r="BD42" s="139"/>
      <c r="BE42" s="139"/>
    </row>
    <row r="43" spans="1:99">
      <c r="A43" s="109">
        <v>19</v>
      </c>
      <c r="B43" s="110">
        <v>1.4222222222222223</v>
      </c>
      <c r="D43" s="109">
        <v>32</v>
      </c>
      <c r="E43" s="109">
        <v>1</v>
      </c>
      <c r="F43" s="110">
        <f t="shared" si="36"/>
        <v>3.75</v>
      </c>
      <c r="H43" s="109">
        <v>23</v>
      </c>
      <c r="I43" s="109">
        <v>1</v>
      </c>
      <c r="J43" s="138">
        <f t="shared" si="14"/>
        <v>8.625</v>
      </c>
      <c r="K43" s="138">
        <f t="shared" si="14"/>
        <v>3.8333333333333335</v>
      </c>
      <c r="L43" s="138">
        <f t="shared" si="14"/>
        <v>8.625</v>
      </c>
      <c r="M43" s="138">
        <f t="shared" si="14"/>
        <v>7.666666666666667</v>
      </c>
      <c r="N43" s="138">
        <f t="shared" si="14"/>
        <v>9.5833333333333339</v>
      </c>
      <c r="O43" s="138">
        <f t="shared" si="14"/>
        <v>10.541666666666666</v>
      </c>
      <c r="P43" s="138">
        <f t="shared" si="14"/>
        <v>7.1875</v>
      </c>
      <c r="Q43" s="138">
        <f t="shared" si="14"/>
        <v>8.1458333333333339</v>
      </c>
      <c r="R43" s="138">
        <f t="shared" si="14"/>
        <v>11.5</v>
      </c>
      <c r="S43" s="139"/>
      <c r="T43" s="109">
        <v>23</v>
      </c>
      <c r="U43" s="109">
        <v>1</v>
      </c>
      <c r="V43" s="138">
        <f t="shared" si="15"/>
        <v>10.78125</v>
      </c>
      <c r="W43" s="138">
        <f t="shared" si="15"/>
        <v>5.75</v>
      </c>
      <c r="X43" s="138">
        <f t="shared" si="15"/>
        <v>12.9375</v>
      </c>
      <c r="Y43" s="138">
        <f t="shared" si="15"/>
        <v>11.5</v>
      </c>
      <c r="Z43" s="138">
        <f t="shared" si="15"/>
        <v>28.75</v>
      </c>
      <c r="AA43" s="138">
        <f t="shared" si="15"/>
        <v>36.895833333333336</v>
      </c>
      <c r="AB43" s="138">
        <f t="shared" si="15"/>
        <v>10.78125</v>
      </c>
      <c r="AC43" s="138">
        <f t="shared" si="15"/>
        <v>12.21875</v>
      </c>
      <c r="AD43" s="138">
        <f t="shared" si="15"/>
        <v>34.5</v>
      </c>
      <c r="AE43" s="139"/>
      <c r="AF43" s="109">
        <v>23</v>
      </c>
      <c r="AG43" s="109">
        <v>1</v>
      </c>
      <c r="AH43" s="138">
        <f t="shared" si="17"/>
        <v>13.4765625</v>
      </c>
      <c r="AI43" s="138">
        <f t="shared" si="17"/>
        <v>7.1875</v>
      </c>
      <c r="AJ43" s="138">
        <f t="shared" si="17"/>
        <v>12.9375</v>
      </c>
      <c r="AK43" s="138">
        <f t="shared" si="17"/>
        <v>11.5</v>
      </c>
      <c r="AL43" s="138">
        <f t="shared" si="17"/>
        <v>43.125</v>
      </c>
      <c r="AM43" s="138">
        <f t="shared" si="17"/>
        <v>55.34375</v>
      </c>
      <c r="AN43" s="138">
        <f t="shared" si="17"/>
        <v>10.78125</v>
      </c>
      <c r="AO43" s="138">
        <f t="shared" si="17"/>
        <v>3.8333333333333335</v>
      </c>
      <c r="AP43" s="138">
        <f t="shared" si="17"/>
        <v>9.5833333333333339</v>
      </c>
      <c r="AQ43" s="138">
        <f t="shared" si="17"/>
        <v>18.328125</v>
      </c>
      <c r="AR43" s="138">
        <f t="shared" si="17"/>
        <v>51.75</v>
      </c>
      <c r="AW43" s="140"/>
      <c r="AX43" s="140"/>
      <c r="AY43" s="139"/>
      <c r="AZ43" s="139"/>
      <c r="BA43" s="139"/>
      <c r="BB43" s="139"/>
      <c r="BC43" s="139"/>
      <c r="BD43" s="139"/>
      <c r="BE43" s="139"/>
    </row>
    <row r="44" spans="1:99">
      <c r="A44" s="109">
        <v>19.5</v>
      </c>
      <c r="B44" s="110">
        <v>1.4333333333333333</v>
      </c>
      <c r="D44" s="109">
        <v>34</v>
      </c>
      <c r="E44" s="109">
        <v>1</v>
      </c>
      <c r="F44" s="110">
        <f t="shared" si="36"/>
        <v>3.75</v>
      </c>
      <c r="H44" s="109">
        <v>24</v>
      </c>
      <c r="I44" s="109">
        <v>1</v>
      </c>
      <c r="J44" s="138">
        <f t="shared" si="14"/>
        <v>9</v>
      </c>
      <c r="K44" s="138">
        <f t="shared" si="14"/>
        <v>4</v>
      </c>
      <c r="L44" s="138">
        <f t="shared" si="14"/>
        <v>9</v>
      </c>
      <c r="M44" s="138">
        <f t="shared" si="14"/>
        <v>8</v>
      </c>
      <c r="N44" s="138">
        <f t="shared" si="14"/>
        <v>10</v>
      </c>
      <c r="O44" s="138">
        <f t="shared" si="14"/>
        <v>11</v>
      </c>
      <c r="P44" s="138">
        <f t="shared" si="14"/>
        <v>7.5</v>
      </c>
      <c r="Q44" s="138">
        <f t="shared" si="14"/>
        <v>8.5</v>
      </c>
      <c r="R44" s="138">
        <f t="shared" si="14"/>
        <v>12</v>
      </c>
      <c r="S44" s="139"/>
      <c r="T44" s="109">
        <v>24</v>
      </c>
      <c r="U44" s="109">
        <v>1</v>
      </c>
      <c r="V44" s="138">
        <f t="shared" si="15"/>
        <v>11.25</v>
      </c>
      <c r="W44" s="138">
        <f t="shared" si="15"/>
        <v>6</v>
      </c>
      <c r="X44" s="138">
        <f t="shared" si="15"/>
        <v>13.5</v>
      </c>
      <c r="Y44" s="138">
        <f t="shared" si="15"/>
        <v>12</v>
      </c>
      <c r="Z44" s="138">
        <f t="shared" si="15"/>
        <v>30</v>
      </c>
      <c r="AA44" s="138">
        <f t="shared" si="15"/>
        <v>38.5</v>
      </c>
      <c r="AB44" s="138">
        <f t="shared" si="15"/>
        <v>11.25</v>
      </c>
      <c r="AC44" s="138">
        <f t="shared" si="15"/>
        <v>12.75</v>
      </c>
      <c r="AD44" s="138">
        <f t="shared" si="15"/>
        <v>36</v>
      </c>
      <c r="AE44" s="139"/>
      <c r="AF44" s="109">
        <v>24</v>
      </c>
      <c r="AG44" s="109">
        <v>1</v>
      </c>
      <c r="AH44" s="138">
        <f t="shared" si="17"/>
        <v>14.0625</v>
      </c>
      <c r="AI44" s="138">
        <f t="shared" si="17"/>
        <v>7.5</v>
      </c>
      <c r="AJ44" s="138">
        <f t="shared" si="17"/>
        <v>13.5</v>
      </c>
      <c r="AK44" s="138">
        <f t="shared" si="17"/>
        <v>12</v>
      </c>
      <c r="AL44" s="138">
        <f t="shared" si="17"/>
        <v>45</v>
      </c>
      <c r="AM44" s="138">
        <f t="shared" si="17"/>
        <v>57.75</v>
      </c>
      <c r="AN44" s="138">
        <f t="shared" si="17"/>
        <v>11.25</v>
      </c>
      <c r="AO44" s="138">
        <f t="shared" si="17"/>
        <v>4</v>
      </c>
      <c r="AP44" s="138">
        <f t="shared" si="17"/>
        <v>10</v>
      </c>
      <c r="AQ44" s="138">
        <f t="shared" si="17"/>
        <v>19.125</v>
      </c>
      <c r="AR44" s="138">
        <f t="shared" si="17"/>
        <v>54</v>
      </c>
      <c r="AW44" s="140"/>
      <c r="AX44" s="140"/>
      <c r="AY44" s="139"/>
      <c r="AZ44" s="139"/>
      <c r="BA44" s="139"/>
      <c r="BB44" s="139"/>
      <c r="BC44" s="139"/>
      <c r="BD44" s="139"/>
      <c r="BE44" s="139"/>
    </row>
    <row r="45" spans="1:99">
      <c r="A45" s="109">
        <v>20</v>
      </c>
      <c r="B45" s="110">
        <v>1.4444444444444444</v>
      </c>
      <c r="D45" s="109">
        <v>36</v>
      </c>
      <c r="E45" s="109">
        <v>1</v>
      </c>
      <c r="F45" s="110">
        <f t="shared" si="36"/>
        <v>3.75</v>
      </c>
      <c r="H45" s="109">
        <v>25</v>
      </c>
      <c r="I45" s="109">
        <v>1</v>
      </c>
      <c r="J45" s="138">
        <f t="shared" si="14"/>
        <v>9.375</v>
      </c>
      <c r="K45" s="138">
        <f t="shared" si="14"/>
        <v>4.166666666666667</v>
      </c>
      <c r="L45" s="138">
        <f t="shared" si="14"/>
        <v>9.375</v>
      </c>
      <c r="M45" s="138">
        <f t="shared" si="14"/>
        <v>8.3333333333333339</v>
      </c>
      <c r="N45" s="138">
        <f t="shared" si="14"/>
        <v>10.416666666666666</v>
      </c>
      <c r="O45" s="138">
        <f t="shared" si="14"/>
        <v>11.458333333333334</v>
      </c>
      <c r="P45" s="138">
        <f t="shared" si="14"/>
        <v>7.8125</v>
      </c>
      <c r="Q45" s="138">
        <f t="shared" si="14"/>
        <v>8.8541666666666661</v>
      </c>
      <c r="R45" s="138">
        <f t="shared" si="14"/>
        <v>12.5</v>
      </c>
      <c r="S45" s="139"/>
      <c r="T45" s="109">
        <v>25</v>
      </c>
      <c r="U45" s="109">
        <v>1</v>
      </c>
      <c r="V45" s="138">
        <f t="shared" si="15"/>
        <v>11.71875</v>
      </c>
      <c r="W45" s="138">
        <f t="shared" si="15"/>
        <v>6.25</v>
      </c>
      <c r="X45" s="138">
        <f t="shared" si="15"/>
        <v>14.0625</v>
      </c>
      <c r="Y45" s="138">
        <f t="shared" si="15"/>
        <v>12.5</v>
      </c>
      <c r="Z45" s="138">
        <f t="shared" si="15"/>
        <v>31.25</v>
      </c>
      <c r="AA45" s="138">
        <f t="shared" si="15"/>
        <v>40.104166666666664</v>
      </c>
      <c r="AB45" s="138">
        <f t="shared" si="15"/>
        <v>11.71875</v>
      </c>
      <c r="AC45" s="138">
        <f t="shared" si="15"/>
        <v>13.28125</v>
      </c>
      <c r="AD45" s="138">
        <f t="shared" si="15"/>
        <v>37.5</v>
      </c>
      <c r="AE45" s="139"/>
      <c r="AF45" s="109">
        <v>25</v>
      </c>
      <c r="AG45" s="109">
        <v>1</v>
      </c>
      <c r="AH45" s="138">
        <f t="shared" si="17"/>
        <v>14.6484375</v>
      </c>
      <c r="AI45" s="138">
        <f t="shared" si="17"/>
        <v>7.8125</v>
      </c>
      <c r="AJ45" s="138">
        <f t="shared" si="17"/>
        <v>14.0625</v>
      </c>
      <c r="AK45" s="138">
        <f t="shared" si="17"/>
        <v>12.5</v>
      </c>
      <c r="AL45" s="138">
        <f t="shared" si="17"/>
        <v>46.875</v>
      </c>
      <c r="AM45" s="138">
        <f t="shared" si="17"/>
        <v>60.15625</v>
      </c>
      <c r="AN45" s="138">
        <f t="shared" si="17"/>
        <v>11.71875</v>
      </c>
      <c r="AO45" s="138">
        <f t="shared" si="17"/>
        <v>4.166666666666667</v>
      </c>
      <c r="AP45" s="138">
        <f t="shared" si="17"/>
        <v>10.416666666666666</v>
      </c>
      <c r="AQ45" s="138">
        <f t="shared" si="17"/>
        <v>19.921875</v>
      </c>
      <c r="AR45" s="138">
        <f t="shared" si="17"/>
        <v>56.25</v>
      </c>
      <c r="AW45" s="140"/>
      <c r="AX45" s="140"/>
      <c r="AY45" s="139"/>
      <c r="AZ45" s="139"/>
      <c r="BA45" s="139"/>
      <c r="BB45" s="139"/>
      <c r="BC45" s="139"/>
      <c r="BD45" s="139"/>
      <c r="BE45" s="139"/>
    </row>
    <row r="46" spans="1:99">
      <c r="A46" s="109">
        <v>21</v>
      </c>
      <c r="B46" s="110">
        <v>1.4666666666666668</v>
      </c>
      <c r="D46" s="109">
        <v>38</v>
      </c>
      <c r="E46" s="109">
        <v>1</v>
      </c>
      <c r="F46" s="110">
        <f t="shared" si="36"/>
        <v>3.75</v>
      </c>
      <c r="H46" s="109">
        <v>26</v>
      </c>
      <c r="I46" s="109">
        <v>1</v>
      </c>
      <c r="J46" s="138">
        <f t="shared" si="14"/>
        <v>9.75</v>
      </c>
      <c r="K46" s="138">
        <f t="shared" si="14"/>
        <v>4.333333333333333</v>
      </c>
      <c r="L46" s="138">
        <f t="shared" si="14"/>
        <v>9.75</v>
      </c>
      <c r="M46" s="138">
        <f t="shared" si="14"/>
        <v>8.6666666666666661</v>
      </c>
      <c r="N46" s="138">
        <f t="shared" si="14"/>
        <v>10.833333333333334</v>
      </c>
      <c r="O46" s="138">
        <f t="shared" si="14"/>
        <v>11.916666666666666</v>
      </c>
      <c r="P46" s="138">
        <f t="shared" si="14"/>
        <v>8.125</v>
      </c>
      <c r="Q46" s="138">
        <f t="shared" si="14"/>
        <v>9.2083333333333339</v>
      </c>
      <c r="R46" s="138">
        <f t="shared" si="14"/>
        <v>13</v>
      </c>
      <c r="S46" s="139"/>
      <c r="T46" s="109">
        <v>26</v>
      </c>
      <c r="U46" s="109">
        <v>1</v>
      </c>
      <c r="V46" s="138">
        <f t="shared" si="15"/>
        <v>12.1875</v>
      </c>
      <c r="W46" s="138">
        <f t="shared" si="15"/>
        <v>6.5</v>
      </c>
      <c r="X46" s="138">
        <f t="shared" si="15"/>
        <v>14.625</v>
      </c>
      <c r="Y46" s="138">
        <f t="shared" si="15"/>
        <v>13</v>
      </c>
      <c r="Z46" s="138">
        <f t="shared" si="15"/>
        <v>32.5</v>
      </c>
      <c r="AA46" s="138">
        <f t="shared" si="15"/>
        <v>41.708333333333336</v>
      </c>
      <c r="AB46" s="138">
        <f t="shared" si="15"/>
        <v>12.1875</v>
      </c>
      <c r="AC46" s="138">
        <f t="shared" si="15"/>
        <v>13.8125</v>
      </c>
      <c r="AD46" s="138">
        <f t="shared" si="15"/>
        <v>39</v>
      </c>
      <c r="AE46" s="139"/>
      <c r="AF46" s="109">
        <v>26</v>
      </c>
      <c r="AG46" s="109">
        <v>1</v>
      </c>
      <c r="AH46" s="138">
        <f t="shared" si="17"/>
        <v>15.234375</v>
      </c>
      <c r="AI46" s="138">
        <f t="shared" si="17"/>
        <v>8.125</v>
      </c>
      <c r="AJ46" s="138">
        <f t="shared" si="17"/>
        <v>14.625</v>
      </c>
      <c r="AK46" s="138">
        <f t="shared" si="17"/>
        <v>13</v>
      </c>
      <c r="AL46" s="138">
        <f t="shared" si="17"/>
        <v>48.75</v>
      </c>
      <c r="AM46" s="138">
        <f t="shared" si="17"/>
        <v>62.5625</v>
      </c>
      <c r="AN46" s="138">
        <f t="shared" si="17"/>
        <v>12.1875</v>
      </c>
      <c r="AO46" s="138">
        <f t="shared" si="17"/>
        <v>4.333333333333333</v>
      </c>
      <c r="AP46" s="138">
        <f t="shared" si="17"/>
        <v>10.833333333333334</v>
      </c>
      <c r="AQ46" s="138">
        <f t="shared" si="17"/>
        <v>20.71875</v>
      </c>
      <c r="AR46" s="138">
        <f t="shared" si="17"/>
        <v>58.5</v>
      </c>
      <c r="AW46" s="140"/>
      <c r="AX46" s="140"/>
      <c r="AY46" s="139"/>
      <c r="AZ46" s="139"/>
      <c r="BA46" s="139"/>
      <c r="BB46" s="139"/>
      <c r="BC46" s="139"/>
      <c r="BD46" s="139"/>
      <c r="BE46" s="139"/>
    </row>
    <row r="47" spans="1:99">
      <c r="A47" s="109">
        <v>22</v>
      </c>
      <c r="B47" s="110">
        <v>1.4888888888888889</v>
      </c>
      <c r="D47" s="109">
        <v>40</v>
      </c>
      <c r="E47" s="109">
        <v>1</v>
      </c>
      <c r="F47" s="110">
        <f t="shared" si="36"/>
        <v>3.75</v>
      </c>
      <c r="H47" s="109">
        <v>27</v>
      </c>
      <c r="I47" s="109">
        <v>1</v>
      </c>
      <c r="J47" s="138">
        <f t="shared" si="14"/>
        <v>10.125</v>
      </c>
      <c r="K47" s="138">
        <f t="shared" si="14"/>
        <v>4.5</v>
      </c>
      <c r="L47" s="138">
        <f t="shared" si="14"/>
        <v>10.125</v>
      </c>
      <c r="M47" s="138">
        <f t="shared" si="14"/>
        <v>9</v>
      </c>
      <c r="N47" s="138">
        <f t="shared" si="14"/>
        <v>11.25</v>
      </c>
      <c r="O47" s="138">
        <f t="shared" si="14"/>
        <v>12.375</v>
      </c>
      <c r="P47" s="138">
        <f t="shared" si="14"/>
        <v>8.4375</v>
      </c>
      <c r="Q47" s="138">
        <f t="shared" si="14"/>
        <v>9.5625</v>
      </c>
      <c r="R47" s="138">
        <f t="shared" si="14"/>
        <v>13.5</v>
      </c>
      <c r="S47" s="139"/>
      <c r="T47" s="109">
        <v>27</v>
      </c>
      <c r="U47" s="109">
        <v>1</v>
      </c>
      <c r="V47" s="138">
        <f t="shared" si="15"/>
        <v>12.65625</v>
      </c>
      <c r="W47" s="138">
        <f t="shared" si="15"/>
        <v>6.75</v>
      </c>
      <c r="X47" s="138">
        <f t="shared" si="15"/>
        <v>15.1875</v>
      </c>
      <c r="Y47" s="138">
        <f t="shared" si="15"/>
        <v>13.5</v>
      </c>
      <c r="Z47" s="138">
        <f t="shared" si="15"/>
        <v>33.75</v>
      </c>
      <c r="AA47" s="138">
        <f t="shared" si="15"/>
        <v>43.3125</v>
      </c>
      <c r="AB47" s="138">
        <f t="shared" si="15"/>
        <v>12.65625</v>
      </c>
      <c r="AC47" s="138">
        <f t="shared" si="15"/>
        <v>14.34375</v>
      </c>
      <c r="AD47" s="138">
        <f t="shared" si="15"/>
        <v>40.5</v>
      </c>
      <c r="AE47" s="139"/>
      <c r="AF47" s="109">
        <v>27</v>
      </c>
      <c r="AG47" s="109">
        <v>1</v>
      </c>
      <c r="AH47" s="138">
        <f t="shared" si="17"/>
        <v>15.8203125</v>
      </c>
      <c r="AI47" s="138">
        <f t="shared" si="17"/>
        <v>8.4375</v>
      </c>
      <c r="AJ47" s="138">
        <f t="shared" si="17"/>
        <v>15.1875</v>
      </c>
      <c r="AK47" s="138">
        <f t="shared" si="17"/>
        <v>13.5</v>
      </c>
      <c r="AL47" s="138">
        <f t="shared" si="17"/>
        <v>50.625</v>
      </c>
      <c r="AM47" s="138">
        <f t="shared" si="17"/>
        <v>64.96875</v>
      </c>
      <c r="AN47" s="138">
        <f t="shared" si="17"/>
        <v>12.65625</v>
      </c>
      <c r="AO47" s="138">
        <f t="shared" si="17"/>
        <v>4.5</v>
      </c>
      <c r="AP47" s="138">
        <f t="shared" si="17"/>
        <v>11.25</v>
      </c>
      <c r="AQ47" s="138">
        <f t="shared" si="17"/>
        <v>21.515625</v>
      </c>
      <c r="AR47" s="138">
        <f t="shared" si="17"/>
        <v>60.75</v>
      </c>
      <c r="AW47" s="140"/>
      <c r="AX47" s="140"/>
      <c r="AY47" s="139"/>
      <c r="AZ47" s="139"/>
      <c r="BA47" s="139"/>
      <c r="BB47" s="139"/>
      <c r="BC47" s="139"/>
      <c r="BD47" s="139"/>
      <c r="BE47" s="139"/>
    </row>
    <row r="48" spans="1:99">
      <c r="A48" s="109">
        <v>22.5</v>
      </c>
      <c r="B48" s="110">
        <v>1.5</v>
      </c>
      <c r="D48" s="109">
        <v>42</v>
      </c>
      <c r="E48" s="109">
        <v>1</v>
      </c>
      <c r="F48" s="110">
        <f t="shared" si="36"/>
        <v>3.75</v>
      </c>
      <c r="H48" s="109">
        <v>28</v>
      </c>
      <c r="I48" s="109">
        <v>1</v>
      </c>
      <c r="J48" s="138">
        <f t="shared" si="14"/>
        <v>10.5</v>
      </c>
      <c r="K48" s="138">
        <f t="shared" si="14"/>
        <v>4.666666666666667</v>
      </c>
      <c r="L48" s="138">
        <f t="shared" si="14"/>
        <v>10.5</v>
      </c>
      <c r="M48" s="138">
        <f t="shared" si="14"/>
        <v>9.3333333333333339</v>
      </c>
      <c r="N48" s="138">
        <f t="shared" si="14"/>
        <v>11.666666666666666</v>
      </c>
      <c r="O48" s="138">
        <f t="shared" si="14"/>
        <v>12.833333333333334</v>
      </c>
      <c r="P48" s="138">
        <f t="shared" si="14"/>
        <v>8.75</v>
      </c>
      <c r="Q48" s="138">
        <f t="shared" si="14"/>
        <v>9.9166666666666661</v>
      </c>
      <c r="R48" s="138">
        <f t="shared" si="14"/>
        <v>14</v>
      </c>
      <c r="S48" s="139"/>
      <c r="T48" s="109">
        <v>28</v>
      </c>
      <c r="U48" s="109">
        <v>1</v>
      </c>
      <c r="V48" s="138">
        <f t="shared" si="15"/>
        <v>13.125</v>
      </c>
      <c r="W48" s="138">
        <f t="shared" si="15"/>
        <v>7</v>
      </c>
      <c r="X48" s="138">
        <f t="shared" si="15"/>
        <v>15.75</v>
      </c>
      <c r="Y48" s="138">
        <f t="shared" si="15"/>
        <v>14</v>
      </c>
      <c r="Z48" s="138">
        <f t="shared" si="15"/>
        <v>35</v>
      </c>
      <c r="AA48" s="138">
        <f t="shared" si="15"/>
        <v>44.916666666666664</v>
      </c>
      <c r="AB48" s="138">
        <f t="shared" si="15"/>
        <v>13.125</v>
      </c>
      <c r="AC48" s="138">
        <f t="shared" si="15"/>
        <v>14.875</v>
      </c>
      <c r="AD48" s="138">
        <f t="shared" si="15"/>
        <v>42</v>
      </c>
      <c r="AE48" s="139"/>
      <c r="AF48" s="109">
        <v>28</v>
      </c>
      <c r="AG48" s="109">
        <v>1</v>
      </c>
      <c r="AH48" s="138">
        <f t="shared" si="17"/>
        <v>16.40625</v>
      </c>
      <c r="AI48" s="138">
        <f t="shared" si="17"/>
        <v>8.75</v>
      </c>
      <c r="AJ48" s="138">
        <f t="shared" si="17"/>
        <v>15.75</v>
      </c>
      <c r="AK48" s="138">
        <f t="shared" si="17"/>
        <v>14</v>
      </c>
      <c r="AL48" s="138">
        <f t="shared" si="17"/>
        <v>52.5</v>
      </c>
      <c r="AM48" s="138">
        <f t="shared" si="17"/>
        <v>67.375</v>
      </c>
      <c r="AN48" s="138">
        <f t="shared" si="17"/>
        <v>13.125</v>
      </c>
      <c r="AO48" s="138">
        <f t="shared" si="17"/>
        <v>4.666666666666667</v>
      </c>
      <c r="AP48" s="138">
        <f t="shared" si="17"/>
        <v>11.666666666666666</v>
      </c>
      <c r="AQ48" s="138">
        <f t="shared" si="17"/>
        <v>22.3125</v>
      </c>
      <c r="AR48" s="138">
        <f t="shared" si="17"/>
        <v>63</v>
      </c>
      <c r="AW48" s="140"/>
      <c r="AX48" s="140"/>
      <c r="AY48" s="139"/>
      <c r="AZ48" s="139"/>
      <c r="BA48" s="139"/>
      <c r="BB48" s="139"/>
      <c r="BC48" s="139"/>
      <c r="BD48" s="139"/>
      <c r="BE48" s="139"/>
    </row>
    <row r="49" spans="1:57">
      <c r="A49" s="109">
        <v>23</v>
      </c>
      <c r="B49" s="110">
        <v>1.5111111111111111</v>
      </c>
      <c r="D49" s="109">
        <v>44</v>
      </c>
      <c r="E49" s="109">
        <v>1</v>
      </c>
      <c r="F49" s="110">
        <f t="shared" si="36"/>
        <v>3.75</v>
      </c>
      <c r="H49" s="109">
        <v>29</v>
      </c>
      <c r="I49" s="109">
        <v>1</v>
      </c>
      <c r="J49" s="138">
        <f t="shared" si="14"/>
        <v>10.875</v>
      </c>
      <c r="K49" s="138">
        <f t="shared" si="14"/>
        <v>4.833333333333333</v>
      </c>
      <c r="L49" s="138">
        <f t="shared" si="14"/>
        <v>10.875</v>
      </c>
      <c r="M49" s="138">
        <f t="shared" si="14"/>
        <v>9.6666666666666661</v>
      </c>
      <c r="N49" s="138">
        <f t="shared" si="14"/>
        <v>12.083333333333334</v>
      </c>
      <c r="O49" s="138">
        <f t="shared" si="14"/>
        <v>13.291666666666666</v>
      </c>
      <c r="P49" s="138">
        <f t="shared" si="14"/>
        <v>9.0625</v>
      </c>
      <c r="Q49" s="138">
        <f t="shared" si="14"/>
        <v>10.270833333333334</v>
      </c>
      <c r="R49" s="138">
        <f t="shared" si="14"/>
        <v>14.5</v>
      </c>
      <c r="S49" s="139"/>
      <c r="T49" s="109">
        <v>29</v>
      </c>
      <c r="U49" s="109">
        <v>1</v>
      </c>
      <c r="V49" s="138">
        <f t="shared" si="15"/>
        <v>13.59375</v>
      </c>
      <c r="W49" s="138">
        <f t="shared" si="15"/>
        <v>7.25</v>
      </c>
      <c r="X49" s="138">
        <f t="shared" si="15"/>
        <v>16.3125</v>
      </c>
      <c r="Y49" s="138">
        <f t="shared" si="15"/>
        <v>14.5</v>
      </c>
      <c r="Z49" s="138">
        <f t="shared" si="15"/>
        <v>36.25</v>
      </c>
      <c r="AA49" s="138">
        <f t="shared" si="15"/>
        <v>46.520833333333336</v>
      </c>
      <c r="AB49" s="138">
        <f t="shared" si="15"/>
        <v>13.59375</v>
      </c>
      <c r="AC49" s="138">
        <f t="shared" si="15"/>
        <v>15.40625</v>
      </c>
      <c r="AD49" s="138">
        <f t="shared" si="15"/>
        <v>43.5</v>
      </c>
      <c r="AE49" s="139"/>
      <c r="AF49" s="109">
        <v>29</v>
      </c>
      <c r="AG49" s="109">
        <v>1</v>
      </c>
      <c r="AH49" s="138">
        <f t="shared" si="17"/>
        <v>16.9921875</v>
      </c>
      <c r="AI49" s="138">
        <f t="shared" si="17"/>
        <v>9.0625</v>
      </c>
      <c r="AJ49" s="138">
        <f t="shared" si="17"/>
        <v>16.3125</v>
      </c>
      <c r="AK49" s="138">
        <f t="shared" si="17"/>
        <v>14.5</v>
      </c>
      <c r="AL49" s="138">
        <f t="shared" si="17"/>
        <v>54.375</v>
      </c>
      <c r="AM49" s="138">
        <f t="shared" si="17"/>
        <v>69.78125</v>
      </c>
      <c r="AN49" s="138">
        <f t="shared" si="17"/>
        <v>13.59375</v>
      </c>
      <c r="AO49" s="138">
        <f t="shared" si="17"/>
        <v>4.833333333333333</v>
      </c>
      <c r="AP49" s="138">
        <f t="shared" si="17"/>
        <v>12.083333333333334</v>
      </c>
      <c r="AQ49" s="138">
        <f t="shared" si="17"/>
        <v>23.109375</v>
      </c>
      <c r="AR49" s="138">
        <f t="shared" si="17"/>
        <v>65.25</v>
      </c>
      <c r="AW49" s="140"/>
      <c r="AX49" s="140"/>
      <c r="AY49" s="139"/>
      <c r="AZ49" s="139"/>
      <c r="BA49" s="139"/>
      <c r="BB49" s="139"/>
      <c r="BC49" s="139"/>
      <c r="BD49" s="139"/>
      <c r="BE49" s="139"/>
    </row>
    <row r="50" spans="1:57">
      <c r="A50" s="109">
        <v>24</v>
      </c>
      <c r="B50" s="110">
        <v>1.5333333333333334</v>
      </c>
      <c r="D50" s="109">
        <v>46</v>
      </c>
      <c r="E50" s="109">
        <v>1</v>
      </c>
      <c r="F50" s="110">
        <f t="shared" si="36"/>
        <v>3.75</v>
      </c>
      <c r="H50" s="109">
        <v>30</v>
      </c>
      <c r="I50" s="109">
        <v>1</v>
      </c>
      <c r="J50" s="138">
        <f t="shared" si="14"/>
        <v>11.25</v>
      </c>
      <c r="K50" s="138">
        <f t="shared" si="14"/>
        <v>5</v>
      </c>
      <c r="L50" s="138">
        <f t="shared" si="14"/>
        <v>11.25</v>
      </c>
      <c r="M50" s="138">
        <f t="shared" si="14"/>
        <v>10</v>
      </c>
      <c r="N50" s="138">
        <f t="shared" si="14"/>
        <v>12.5</v>
      </c>
      <c r="O50" s="138">
        <f t="shared" si="14"/>
        <v>13.75</v>
      </c>
      <c r="P50" s="138">
        <f t="shared" si="14"/>
        <v>9.375</v>
      </c>
      <c r="Q50" s="138">
        <f t="shared" si="14"/>
        <v>10.625</v>
      </c>
      <c r="R50" s="138">
        <f t="shared" si="14"/>
        <v>15</v>
      </c>
      <c r="S50" s="139"/>
      <c r="T50" s="109">
        <v>30</v>
      </c>
      <c r="U50" s="109">
        <v>1</v>
      </c>
      <c r="V50" s="138">
        <f t="shared" si="15"/>
        <v>14.0625</v>
      </c>
      <c r="W50" s="138">
        <f t="shared" si="15"/>
        <v>7.5</v>
      </c>
      <c r="X50" s="138">
        <f t="shared" si="15"/>
        <v>16.875</v>
      </c>
      <c r="Y50" s="138">
        <f t="shared" si="15"/>
        <v>15</v>
      </c>
      <c r="Z50" s="138">
        <f t="shared" si="15"/>
        <v>37.5</v>
      </c>
      <c r="AA50" s="138">
        <f t="shared" si="15"/>
        <v>48.125</v>
      </c>
      <c r="AB50" s="138">
        <f t="shared" si="15"/>
        <v>14.0625</v>
      </c>
      <c r="AC50" s="138">
        <f t="shared" si="15"/>
        <v>15.9375</v>
      </c>
      <c r="AD50" s="138">
        <f t="shared" si="15"/>
        <v>45</v>
      </c>
      <c r="AE50" s="139"/>
      <c r="AF50" s="109">
        <v>30</v>
      </c>
      <c r="AG50" s="109">
        <v>1</v>
      </c>
      <c r="AH50" s="138">
        <f t="shared" si="17"/>
        <v>17.578125</v>
      </c>
      <c r="AI50" s="138">
        <f t="shared" si="17"/>
        <v>9.375</v>
      </c>
      <c r="AJ50" s="138">
        <f t="shared" si="17"/>
        <v>16.875</v>
      </c>
      <c r="AK50" s="138">
        <f t="shared" si="17"/>
        <v>15</v>
      </c>
      <c r="AL50" s="138">
        <f t="shared" si="17"/>
        <v>56.25</v>
      </c>
      <c r="AM50" s="138">
        <f t="shared" si="17"/>
        <v>72.1875</v>
      </c>
      <c r="AN50" s="138">
        <f t="shared" si="17"/>
        <v>14.0625</v>
      </c>
      <c r="AO50" s="138">
        <f t="shared" si="17"/>
        <v>5</v>
      </c>
      <c r="AP50" s="138">
        <f t="shared" si="17"/>
        <v>12.5</v>
      </c>
      <c r="AQ50" s="138">
        <f t="shared" si="17"/>
        <v>23.90625</v>
      </c>
      <c r="AR50" s="138">
        <f t="shared" si="17"/>
        <v>67.5</v>
      </c>
      <c r="AW50" s="140"/>
      <c r="AX50" s="140"/>
      <c r="AY50" s="139"/>
      <c r="AZ50" s="139"/>
      <c r="BA50" s="139"/>
      <c r="BB50" s="139"/>
      <c r="BC50" s="139"/>
      <c r="BD50" s="139"/>
      <c r="BE50" s="139"/>
    </row>
    <row r="51" spans="1:57">
      <c r="H51" s="109">
        <v>31</v>
      </c>
      <c r="I51" s="109">
        <v>1</v>
      </c>
      <c r="J51" s="138">
        <f t="shared" si="14"/>
        <v>11.625</v>
      </c>
      <c r="K51" s="138">
        <f t="shared" si="14"/>
        <v>5.166666666666667</v>
      </c>
      <c r="L51" s="138">
        <f t="shared" si="14"/>
        <v>11.625</v>
      </c>
      <c r="M51" s="138">
        <f t="shared" si="14"/>
        <v>10.333333333333334</v>
      </c>
      <c r="N51" s="138">
        <f t="shared" si="14"/>
        <v>12.916666666666666</v>
      </c>
      <c r="O51" s="138">
        <f t="shared" si="14"/>
        <v>14.208333333333334</v>
      </c>
      <c r="P51" s="138">
        <f t="shared" si="14"/>
        <v>9.6875</v>
      </c>
      <c r="Q51" s="138">
        <f t="shared" si="14"/>
        <v>10.979166666666666</v>
      </c>
      <c r="R51" s="138">
        <f t="shared" si="14"/>
        <v>15.5</v>
      </c>
      <c r="S51" s="139"/>
      <c r="T51" s="109">
        <v>31</v>
      </c>
      <c r="U51" s="109">
        <v>1</v>
      </c>
      <c r="V51" s="138">
        <f t="shared" si="15"/>
        <v>14.53125</v>
      </c>
      <c r="W51" s="138">
        <f t="shared" si="15"/>
        <v>7.75</v>
      </c>
      <c r="X51" s="138">
        <f t="shared" si="15"/>
        <v>17.4375</v>
      </c>
      <c r="Y51" s="138">
        <f t="shared" si="15"/>
        <v>15.5</v>
      </c>
      <c r="Z51" s="138">
        <f t="shared" si="15"/>
        <v>38.75</v>
      </c>
      <c r="AA51" s="138">
        <f t="shared" si="15"/>
        <v>49.729166666666664</v>
      </c>
      <c r="AB51" s="138">
        <f t="shared" si="15"/>
        <v>14.53125</v>
      </c>
      <c r="AC51" s="138">
        <f t="shared" si="15"/>
        <v>16.46875</v>
      </c>
      <c r="AD51" s="138">
        <f t="shared" si="15"/>
        <v>46.5</v>
      </c>
      <c r="AE51" s="139"/>
      <c r="AF51" s="109">
        <v>31</v>
      </c>
      <c r="AG51" s="109">
        <v>1</v>
      </c>
      <c r="AH51" s="138">
        <f t="shared" si="17"/>
        <v>18.1640625</v>
      </c>
      <c r="AI51" s="138">
        <f t="shared" si="17"/>
        <v>9.6875</v>
      </c>
      <c r="AJ51" s="138">
        <f t="shared" si="17"/>
        <v>17.4375</v>
      </c>
      <c r="AK51" s="138">
        <f t="shared" si="17"/>
        <v>15.5</v>
      </c>
      <c r="AL51" s="138">
        <f t="shared" si="17"/>
        <v>58.125</v>
      </c>
      <c r="AM51" s="138">
        <f t="shared" si="17"/>
        <v>74.59375</v>
      </c>
      <c r="AN51" s="138">
        <f t="shared" si="17"/>
        <v>14.53125</v>
      </c>
      <c r="AO51" s="138">
        <f t="shared" si="17"/>
        <v>5.166666666666667</v>
      </c>
      <c r="AP51" s="138">
        <f t="shared" si="17"/>
        <v>12.916666666666666</v>
      </c>
      <c r="AQ51" s="138">
        <f t="shared" si="17"/>
        <v>24.703125</v>
      </c>
      <c r="AR51" s="138">
        <f t="shared" si="17"/>
        <v>69.75</v>
      </c>
      <c r="AW51" s="140"/>
      <c r="AX51" s="140"/>
      <c r="AY51" s="139"/>
      <c r="AZ51" s="139"/>
      <c r="BA51" s="139"/>
      <c r="BB51" s="139"/>
      <c r="BC51" s="139"/>
      <c r="BD51" s="139"/>
      <c r="BE51" s="139"/>
    </row>
    <row r="52" spans="1:57">
      <c r="H52" s="109">
        <v>32</v>
      </c>
      <c r="I52" s="109">
        <v>1</v>
      </c>
      <c r="J52" s="138">
        <f t="shared" si="14"/>
        <v>12</v>
      </c>
      <c r="K52" s="138">
        <f t="shared" si="14"/>
        <v>5.333333333333333</v>
      </c>
      <c r="L52" s="138">
        <f t="shared" si="14"/>
        <v>12</v>
      </c>
      <c r="M52" s="138">
        <f t="shared" si="14"/>
        <v>10.666666666666666</v>
      </c>
      <c r="N52" s="138">
        <f t="shared" si="14"/>
        <v>13.333333333333334</v>
      </c>
      <c r="O52" s="138">
        <f t="shared" si="14"/>
        <v>14.666666666666666</v>
      </c>
      <c r="P52" s="138">
        <f t="shared" si="14"/>
        <v>10</v>
      </c>
      <c r="Q52" s="138">
        <f t="shared" si="14"/>
        <v>11.333333333333334</v>
      </c>
      <c r="R52" s="138">
        <f t="shared" si="14"/>
        <v>16</v>
      </c>
      <c r="S52" s="139"/>
      <c r="T52" s="109">
        <v>32</v>
      </c>
      <c r="U52" s="109">
        <v>1</v>
      </c>
      <c r="V52" s="138">
        <f t="shared" si="15"/>
        <v>15</v>
      </c>
      <c r="W52" s="138">
        <f t="shared" si="15"/>
        <v>8</v>
      </c>
      <c r="X52" s="138">
        <f t="shared" si="15"/>
        <v>18</v>
      </c>
      <c r="Y52" s="138">
        <f t="shared" si="15"/>
        <v>16</v>
      </c>
      <c r="Z52" s="138">
        <f t="shared" si="15"/>
        <v>40</v>
      </c>
      <c r="AA52" s="138">
        <f t="shared" si="15"/>
        <v>51.333333333333336</v>
      </c>
      <c r="AB52" s="138">
        <f t="shared" si="15"/>
        <v>15</v>
      </c>
      <c r="AC52" s="138">
        <f t="shared" si="15"/>
        <v>17</v>
      </c>
      <c r="AD52" s="138">
        <f t="shared" si="15"/>
        <v>48</v>
      </c>
      <c r="AE52" s="139"/>
      <c r="AF52" s="109">
        <v>32</v>
      </c>
      <c r="AG52" s="109">
        <v>1</v>
      </c>
      <c r="AH52" s="138">
        <f t="shared" si="17"/>
        <v>18.75</v>
      </c>
      <c r="AI52" s="138">
        <f t="shared" si="17"/>
        <v>10</v>
      </c>
      <c r="AJ52" s="138">
        <f t="shared" si="17"/>
        <v>18</v>
      </c>
      <c r="AK52" s="138">
        <f t="shared" si="17"/>
        <v>16</v>
      </c>
      <c r="AL52" s="138">
        <f t="shared" si="17"/>
        <v>60</v>
      </c>
      <c r="AM52" s="138">
        <f t="shared" si="17"/>
        <v>77</v>
      </c>
      <c r="AN52" s="138">
        <f t="shared" si="17"/>
        <v>15</v>
      </c>
      <c r="AO52" s="138">
        <f t="shared" si="17"/>
        <v>5.333333333333333</v>
      </c>
      <c r="AP52" s="138">
        <f t="shared" si="17"/>
        <v>13.333333333333334</v>
      </c>
      <c r="AQ52" s="138">
        <f t="shared" si="17"/>
        <v>25.5</v>
      </c>
      <c r="AR52" s="138">
        <f t="shared" si="17"/>
        <v>72</v>
      </c>
      <c r="AW52" s="140"/>
      <c r="AX52" s="140"/>
      <c r="AY52" s="139"/>
      <c r="AZ52" s="139"/>
      <c r="BA52" s="139"/>
      <c r="BB52" s="139"/>
      <c r="BC52" s="139"/>
      <c r="BD52" s="139"/>
      <c r="BE52" s="139"/>
    </row>
    <row r="53" spans="1:57">
      <c r="H53" s="109">
        <v>33</v>
      </c>
      <c r="I53" s="109">
        <v>1</v>
      </c>
      <c r="J53" s="138">
        <f t="shared" si="14"/>
        <v>12.375</v>
      </c>
      <c r="K53" s="138">
        <f t="shared" si="14"/>
        <v>5.5</v>
      </c>
      <c r="L53" s="138">
        <f t="shared" si="14"/>
        <v>12.375</v>
      </c>
      <c r="M53" s="138">
        <f t="shared" si="14"/>
        <v>11</v>
      </c>
      <c r="N53" s="138">
        <f t="shared" si="14"/>
        <v>13.75</v>
      </c>
      <c r="O53" s="138">
        <f t="shared" si="14"/>
        <v>15.125</v>
      </c>
      <c r="P53" s="138">
        <f t="shared" si="14"/>
        <v>10.3125</v>
      </c>
      <c r="Q53" s="138">
        <f t="shared" si="14"/>
        <v>11.6875</v>
      </c>
      <c r="R53" s="138">
        <f t="shared" si="14"/>
        <v>16.5</v>
      </c>
      <c r="S53" s="139"/>
      <c r="T53" s="109">
        <v>33</v>
      </c>
      <c r="U53" s="109">
        <v>1</v>
      </c>
      <c r="V53" s="138">
        <f t="shared" si="15"/>
        <v>15.46875</v>
      </c>
      <c r="W53" s="138">
        <f t="shared" si="15"/>
        <v>8.25</v>
      </c>
      <c r="X53" s="138">
        <f t="shared" si="15"/>
        <v>18.5625</v>
      </c>
      <c r="Y53" s="138">
        <f t="shared" si="15"/>
        <v>16.5</v>
      </c>
      <c r="Z53" s="138">
        <f t="shared" si="15"/>
        <v>41.25</v>
      </c>
      <c r="AA53" s="138">
        <f t="shared" si="15"/>
        <v>52.9375</v>
      </c>
      <c r="AB53" s="138">
        <f t="shared" si="15"/>
        <v>15.46875</v>
      </c>
      <c r="AC53" s="138">
        <f t="shared" si="15"/>
        <v>17.53125</v>
      </c>
      <c r="AD53" s="138">
        <f t="shared" si="15"/>
        <v>49.5</v>
      </c>
      <c r="AE53" s="139"/>
      <c r="AF53" s="109">
        <v>33</v>
      </c>
      <c r="AG53" s="109">
        <v>1</v>
      </c>
      <c r="AH53" s="138">
        <f t="shared" si="17"/>
        <v>19.3359375</v>
      </c>
      <c r="AI53" s="138">
        <f t="shared" si="17"/>
        <v>10.3125</v>
      </c>
      <c r="AJ53" s="138">
        <f t="shared" si="17"/>
        <v>18.5625</v>
      </c>
      <c r="AK53" s="138">
        <f t="shared" si="17"/>
        <v>16.5</v>
      </c>
      <c r="AL53" s="138">
        <f t="shared" si="17"/>
        <v>61.875</v>
      </c>
      <c r="AM53" s="138">
        <f t="shared" si="17"/>
        <v>79.40625</v>
      </c>
      <c r="AN53" s="138">
        <f t="shared" si="17"/>
        <v>15.46875</v>
      </c>
      <c r="AO53" s="138">
        <f t="shared" si="17"/>
        <v>5.5</v>
      </c>
      <c r="AP53" s="138">
        <f t="shared" si="17"/>
        <v>13.75</v>
      </c>
      <c r="AQ53" s="138">
        <f t="shared" si="17"/>
        <v>26.296875</v>
      </c>
      <c r="AR53" s="138">
        <f t="shared" si="17"/>
        <v>74.25</v>
      </c>
      <c r="AW53" s="140"/>
      <c r="AX53" s="140"/>
      <c r="AY53" s="139"/>
      <c r="AZ53" s="139"/>
      <c r="BA53" s="139"/>
      <c r="BB53" s="139"/>
      <c r="BC53" s="139"/>
      <c r="BD53" s="139"/>
      <c r="BE53" s="139"/>
    </row>
    <row r="54" spans="1:57">
      <c r="H54" s="109">
        <v>34</v>
      </c>
      <c r="I54" s="109">
        <v>1</v>
      </c>
      <c r="J54" s="138">
        <f t="shared" ref="J54:R85" si="48">+J$18*$H54/12*$I54</f>
        <v>12.75</v>
      </c>
      <c r="K54" s="138">
        <f t="shared" si="48"/>
        <v>5.666666666666667</v>
      </c>
      <c r="L54" s="138">
        <f t="shared" si="48"/>
        <v>12.75</v>
      </c>
      <c r="M54" s="138">
        <f t="shared" si="48"/>
        <v>11.333333333333334</v>
      </c>
      <c r="N54" s="138">
        <f t="shared" si="48"/>
        <v>14.166666666666666</v>
      </c>
      <c r="O54" s="138">
        <f t="shared" si="48"/>
        <v>15.583333333333334</v>
      </c>
      <c r="P54" s="138">
        <f t="shared" si="48"/>
        <v>10.625</v>
      </c>
      <c r="Q54" s="138">
        <f t="shared" si="48"/>
        <v>12.041666666666666</v>
      </c>
      <c r="R54" s="138">
        <f t="shared" si="48"/>
        <v>17</v>
      </c>
      <c r="S54" s="139"/>
      <c r="T54" s="109">
        <v>34</v>
      </c>
      <c r="U54" s="109">
        <v>1</v>
      </c>
      <c r="V54" s="138">
        <f t="shared" ref="V54:AC85" si="49">+V$18*$H54/12*$I54</f>
        <v>15.9375</v>
      </c>
      <c r="W54" s="138">
        <f t="shared" si="49"/>
        <v>8.5</v>
      </c>
      <c r="X54" s="138">
        <f t="shared" si="49"/>
        <v>19.125</v>
      </c>
      <c r="Y54" s="138">
        <f t="shared" si="49"/>
        <v>17</v>
      </c>
      <c r="Z54" s="138">
        <f t="shared" si="49"/>
        <v>42.5</v>
      </c>
      <c r="AA54" s="138">
        <f t="shared" si="49"/>
        <v>54.541666666666664</v>
      </c>
      <c r="AB54" s="138">
        <f t="shared" si="49"/>
        <v>15.9375</v>
      </c>
      <c r="AC54" s="138">
        <f t="shared" si="49"/>
        <v>18.0625</v>
      </c>
      <c r="AD54" s="138">
        <f t="shared" ref="AD54:AD84" si="50">+AD$18*$H54/12*$I54</f>
        <v>51</v>
      </c>
      <c r="AE54" s="139"/>
      <c r="AF54" s="109">
        <v>34</v>
      </c>
      <c r="AG54" s="109">
        <v>1</v>
      </c>
      <c r="AH54" s="138">
        <f t="shared" ref="AH54:AP82" si="51">+AH$18*$AF54/12*$AG54</f>
        <v>19.921875</v>
      </c>
      <c r="AI54" s="138">
        <f t="shared" si="51"/>
        <v>10.625</v>
      </c>
      <c r="AJ54" s="138">
        <f t="shared" si="51"/>
        <v>19.125</v>
      </c>
      <c r="AK54" s="138">
        <f t="shared" si="51"/>
        <v>17</v>
      </c>
      <c r="AL54" s="138">
        <f t="shared" si="51"/>
        <v>63.75</v>
      </c>
      <c r="AM54" s="138">
        <f t="shared" si="51"/>
        <v>81.8125</v>
      </c>
      <c r="AN54" s="138">
        <f t="shared" si="51"/>
        <v>15.9375</v>
      </c>
      <c r="AO54" s="138">
        <f t="shared" si="51"/>
        <v>5.666666666666667</v>
      </c>
      <c r="AP54" s="138">
        <f t="shared" si="51"/>
        <v>14.166666666666666</v>
      </c>
      <c r="AQ54" s="138">
        <f t="shared" ref="AQ54:AR113" si="52">+AQ$18*$AF54/12*$AG54</f>
        <v>27.09375</v>
      </c>
      <c r="AR54" s="138">
        <f t="shared" si="52"/>
        <v>76.5</v>
      </c>
      <c r="AW54" s="140"/>
      <c r="AX54" s="140"/>
      <c r="AY54" s="139"/>
      <c r="AZ54" s="139"/>
      <c r="BA54" s="139"/>
      <c r="BB54" s="139"/>
      <c r="BC54" s="139"/>
      <c r="BD54" s="139"/>
      <c r="BE54" s="139"/>
    </row>
    <row r="55" spans="1:57">
      <c r="H55" s="109">
        <v>35</v>
      </c>
      <c r="I55" s="109">
        <v>1</v>
      </c>
      <c r="J55" s="138">
        <f t="shared" si="48"/>
        <v>13.125</v>
      </c>
      <c r="K55" s="138">
        <f t="shared" si="48"/>
        <v>5.833333333333333</v>
      </c>
      <c r="L55" s="138">
        <f t="shared" si="48"/>
        <v>13.125</v>
      </c>
      <c r="M55" s="138">
        <f t="shared" si="48"/>
        <v>11.666666666666666</v>
      </c>
      <c r="N55" s="138">
        <f t="shared" si="48"/>
        <v>14.583333333333334</v>
      </c>
      <c r="O55" s="138">
        <f t="shared" si="48"/>
        <v>16.041666666666668</v>
      </c>
      <c r="P55" s="138">
        <f t="shared" si="48"/>
        <v>10.9375</v>
      </c>
      <c r="Q55" s="138">
        <f t="shared" si="48"/>
        <v>12.395833333333334</v>
      </c>
      <c r="R55" s="138">
        <f t="shared" si="48"/>
        <v>17.5</v>
      </c>
      <c r="S55" s="139"/>
      <c r="T55" s="109">
        <v>35</v>
      </c>
      <c r="U55" s="109">
        <v>1</v>
      </c>
      <c r="V55" s="138">
        <f t="shared" si="49"/>
        <v>16.40625</v>
      </c>
      <c r="W55" s="138">
        <f t="shared" si="49"/>
        <v>8.75</v>
      </c>
      <c r="X55" s="138">
        <f t="shared" si="49"/>
        <v>19.6875</v>
      </c>
      <c r="Y55" s="138">
        <f t="shared" si="49"/>
        <v>17.5</v>
      </c>
      <c r="Z55" s="138">
        <f t="shared" si="49"/>
        <v>43.75</v>
      </c>
      <c r="AA55" s="138">
        <f t="shared" si="49"/>
        <v>56.145833333333336</v>
      </c>
      <c r="AB55" s="138">
        <f t="shared" si="49"/>
        <v>16.40625</v>
      </c>
      <c r="AC55" s="138">
        <f t="shared" si="49"/>
        <v>18.59375</v>
      </c>
      <c r="AD55" s="138">
        <f t="shared" si="50"/>
        <v>52.5</v>
      </c>
      <c r="AE55" s="139"/>
      <c r="AF55" s="109">
        <v>35</v>
      </c>
      <c r="AG55" s="109">
        <v>1</v>
      </c>
      <c r="AH55" s="138">
        <f t="shared" si="51"/>
        <v>20.5078125</v>
      </c>
      <c r="AI55" s="138">
        <f t="shared" si="51"/>
        <v>10.9375</v>
      </c>
      <c r="AJ55" s="138">
        <f t="shared" si="51"/>
        <v>19.6875</v>
      </c>
      <c r="AK55" s="138">
        <f t="shared" si="51"/>
        <v>17.5</v>
      </c>
      <c r="AL55" s="138">
        <f t="shared" si="51"/>
        <v>65.625</v>
      </c>
      <c r="AM55" s="138">
        <f t="shared" si="51"/>
        <v>84.21875</v>
      </c>
      <c r="AN55" s="138">
        <f t="shared" si="51"/>
        <v>16.40625</v>
      </c>
      <c r="AO55" s="138">
        <f t="shared" si="51"/>
        <v>5.833333333333333</v>
      </c>
      <c r="AP55" s="138">
        <f t="shared" si="51"/>
        <v>14.583333333333334</v>
      </c>
      <c r="AQ55" s="138">
        <f t="shared" si="52"/>
        <v>27.890625</v>
      </c>
      <c r="AR55" s="138">
        <f t="shared" si="52"/>
        <v>78.75</v>
      </c>
      <c r="AW55" s="140"/>
      <c r="AX55" s="140"/>
      <c r="AY55" s="139"/>
      <c r="AZ55" s="139"/>
      <c r="BA55" s="139"/>
      <c r="BB55" s="139"/>
      <c r="BC55" s="139"/>
      <c r="BD55" s="139"/>
      <c r="BE55" s="139"/>
    </row>
    <row r="56" spans="1:57">
      <c r="A56" t="s">
        <v>93</v>
      </c>
      <c r="H56" s="109">
        <v>36</v>
      </c>
      <c r="I56" s="109">
        <v>1</v>
      </c>
      <c r="J56" s="138">
        <f t="shared" si="48"/>
        <v>13.5</v>
      </c>
      <c r="K56" s="138">
        <f t="shared" si="48"/>
        <v>6</v>
      </c>
      <c r="L56" s="138">
        <f t="shared" si="48"/>
        <v>13.5</v>
      </c>
      <c r="M56" s="138">
        <f t="shared" si="48"/>
        <v>12</v>
      </c>
      <c r="N56" s="138">
        <f t="shared" si="48"/>
        <v>15</v>
      </c>
      <c r="O56" s="138">
        <f t="shared" si="48"/>
        <v>16.5</v>
      </c>
      <c r="P56" s="138">
        <f t="shared" si="48"/>
        <v>11.25</v>
      </c>
      <c r="Q56" s="138">
        <f t="shared" si="48"/>
        <v>12.75</v>
      </c>
      <c r="R56" s="138">
        <f t="shared" si="48"/>
        <v>18</v>
      </c>
      <c r="S56" s="139"/>
      <c r="T56" s="109">
        <v>36</v>
      </c>
      <c r="U56" s="109">
        <v>1</v>
      </c>
      <c r="V56" s="138">
        <f t="shared" si="49"/>
        <v>16.875</v>
      </c>
      <c r="W56" s="138">
        <f t="shared" si="49"/>
        <v>9</v>
      </c>
      <c r="X56" s="138">
        <f t="shared" si="49"/>
        <v>20.25</v>
      </c>
      <c r="Y56" s="138">
        <f t="shared" si="49"/>
        <v>18</v>
      </c>
      <c r="Z56" s="138">
        <f t="shared" si="49"/>
        <v>45</v>
      </c>
      <c r="AA56" s="138">
        <f t="shared" si="49"/>
        <v>57.75</v>
      </c>
      <c r="AB56" s="138">
        <f t="shared" si="49"/>
        <v>16.875</v>
      </c>
      <c r="AC56" s="138">
        <f t="shared" si="49"/>
        <v>19.125</v>
      </c>
      <c r="AD56" s="138">
        <f t="shared" si="50"/>
        <v>54</v>
      </c>
      <c r="AE56" s="139"/>
      <c r="AF56" s="109">
        <v>36</v>
      </c>
      <c r="AG56" s="109">
        <v>1</v>
      </c>
      <c r="AH56" s="138">
        <f t="shared" si="51"/>
        <v>21.09375</v>
      </c>
      <c r="AI56" s="138">
        <f t="shared" si="51"/>
        <v>11.25</v>
      </c>
      <c r="AJ56" s="138">
        <f t="shared" si="51"/>
        <v>20.25</v>
      </c>
      <c r="AK56" s="138">
        <f t="shared" si="51"/>
        <v>18</v>
      </c>
      <c r="AL56" s="138">
        <f t="shared" si="51"/>
        <v>67.5</v>
      </c>
      <c r="AM56" s="138">
        <f t="shared" si="51"/>
        <v>86.625</v>
      </c>
      <c r="AN56" s="138">
        <f t="shared" si="51"/>
        <v>16.875</v>
      </c>
      <c r="AO56" s="138">
        <f t="shared" si="51"/>
        <v>6</v>
      </c>
      <c r="AP56" s="138">
        <f t="shared" si="51"/>
        <v>15</v>
      </c>
      <c r="AQ56" s="138">
        <f t="shared" si="52"/>
        <v>28.6875</v>
      </c>
      <c r="AR56" s="138">
        <f t="shared" si="52"/>
        <v>81</v>
      </c>
      <c r="AW56" s="140"/>
      <c r="AX56" s="140"/>
      <c r="AY56" s="139"/>
      <c r="AZ56" s="139"/>
      <c r="BA56" s="139"/>
      <c r="BB56" s="139"/>
      <c r="BC56" s="139"/>
      <c r="BD56" s="139"/>
      <c r="BE56" s="139"/>
    </row>
    <row r="57" spans="1:57">
      <c r="B57" s="141"/>
      <c r="H57" s="109">
        <v>37</v>
      </c>
      <c r="I57" s="109">
        <v>1</v>
      </c>
      <c r="J57" s="138">
        <f t="shared" si="48"/>
        <v>13.875</v>
      </c>
      <c r="K57" s="138">
        <f t="shared" si="48"/>
        <v>6.166666666666667</v>
      </c>
      <c r="L57" s="138">
        <f t="shared" si="48"/>
        <v>13.875</v>
      </c>
      <c r="M57" s="138">
        <f t="shared" si="48"/>
        <v>12.333333333333334</v>
      </c>
      <c r="N57" s="138">
        <f t="shared" si="48"/>
        <v>15.416666666666666</v>
      </c>
      <c r="O57" s="138">
        <f t="shared" si="48"/>
        <v>16.958333333333332</v>
      </c>
      <c r="P57" s="138">
        <f t="shared" si="48"/>
        <v>11.5625</v>
      </c>
      <c r="Q57" s="138">
        <f t="shared" si="48"/>
        <v>13.104166666666666</v>
      </c>
      <c r="R57" s="138">
        <f t="shared" si="48"/>
        <v>18.5</v>
      </c>
      <c r="S57" s="139"/>
      <c r="T57" s="109">
        <v>37</v>
      </c>
      <c r="U57" s="109">
        <v>1</v>
      </c>
      <c r="V57" s="138">
        <f t="shared" si="49"/>
        <v>17.34375</v>
      </c>
      <c r="W57" s="138">
        <f t="shared" si="49"/>
        <v>9.25</v>
      </c>
      <c r="X57" s="138">
        <f t="shared" si="49"/>
        <v>20.8125</v>
      </c>
      <c r="Y57" s="138">
        <f t="shared" si="49"/>
        <v>18.5</v>
      </c>
      <c r="Z57" s="138">
        <f t="shared" si="49"/>
        <v>46.25</v>
      </c>
      <c r="AA57" s="138">
        <f t="shared" si="49"/>
        <v>59.354166666666664</v>
      </c>
      <c r="AB57" s="138">
        <f t="shared" si="49"/>
        <v>17.34375</v>
      </c>
      <c r="AC57" s="138">
        <f t="shared" si="49"/>
        <v>19.65625</v>
      </c>
      <c r="AD57" s="138">
        <f t="shared" si="50"/>
        <v>55.5</v>
      </c>
      <c r="AE57" s="139"/>
      <c r="AF57" s="109">
        <v>37</v>
      </c>
      <c r="AG57" s="109">
        <v>1</v>
      </c>
      <c r="AH57" s="138">
        <f t="shared" si="51"/>
        <v>21.6796875</v>
      </c>
      <c r="AI57" s="138">
        <f t="shared" si="51"/>
        <v>11.5625</v>
      </c>
      <c r="AJ57" s="138">
        <f t="shared" si="51"/>
        <v>20.8125</v>
      </c>
      <c r="AK57" s="138">
        <f t="shared" si="51"/>
        <v>18.5</v>
      </c>
      <c r="AL57" s="138">
        <f t="shared" si="51"/>
        <v>69.375</v>
      </c>
      <c r="AM57" s="138">
        <f t="shared" si="51"/>
        <v>89.03125</v>
      </c>
      <c r="AN57" s="138">
        <f t="shared" si="51"/>
        <v>17.34375</v>
      </c>
      <c r="AO57" s="138">
        <f t="shared" si="51"/>
        <v>6.166666666666667</v>
      </c>
      <c r="AP57" s="138">
        <f t="shared" si="51"/>
        <v>15.416666666666666</v>
      </c>
      <c r="AQ57" s="138">
        <f t="shared" si="52"/>
        <v>29.484375</v>
      </c>
      <c r="AR57" s="138">
        <f t="shared" si="52"/>
        <v>83.25</v>
      </c>
      <c r="AW57" s="140"/>
      <c r="AX57" s="140"/>
      <c r="AY57" s="139"/>
      <c r="AZ57" s="139"/>
      <c r="BA57" s="139"/>
      <c r="BB57" s="139"/>
      <c r="BC57" s="139"/>
      <c r="BD57" s="139"/>
      <c r="BE57" s="139"/>
    </row>
    <row r="58" spans="1:57">
      <c r="B58" s="141"/>
      <c r="H58" s="109">
        <v>38</v>
      </c>
      <c r="I58" s="109">
        <v>1</v>
      </c>
      <c r="J58" s="138">
        <f t="shared" si="48"/>
        <v>14.25</v>
      </c>
      <c r="K58" s="138">
        <f t="shared" si="48"/>
        <v>6.333333333333333</v>
      </c>
      <c r="L58" s="138">
        <f t="shared" si="48"/>
        <v>14.25</v>
      </c>
      <c r="M58" s="138">
        <f t="shared" si="48"/>
        <v>12.666666666666666</v>
      </c>
      <c r="N58" s="138">
        <f t="shared" si="48"/>
        <v>15.833333333333334</v>
      </c>
      <c r="O58" s="138">
        <f t="shared" si="48"/>
        <v>17.416666666666668</v>
      </c>
      <c r="P58" s="138">
        <f t="shared" si="48"/>
        <v>11.875</v>
      </c>
      <c r="Q58" s="138">
        <f t="shared" si="48"/>
        <v>13.458333333333334</v>
      </c>
      <c r="R58" s="138">
        <f t="shared" si="48"/>
        <v>19</v>
      </c>
      <c r="S58" s="139"/>
      <c r="T58" s="109">
        <v>38</v>
      </c>
      <c r="U58" s="109">
        <v>1</v>
      </c>
      <c r="V58" s="138">
        <f t="shared" si="49"/>
        <v>17.8125</v>
      </c>
      <c r="W58" s="138">
        <f t="shared" si="49"/>
        <v>9.5</v>
      </c>
      <c r="X58" s="138">
        <f t="shared" si="49"/>
        <v>21.375</v>
      </c>
      <c r="Y58" s="138">
        <f t="shared" si="49"/>
        <v>19</v>
      </c>
      <c r="Z58" s="138">
        <f t="shared" si="49"/>
        <v>47.5</v>
      </c>
      <c r="AA58" s="138">
        <f t="shared" si="49"/>
        <v>60.958333333333336</v>
      </c>
      <c r="AB58" s="138">
        <f t="shared" si="49"/>
        <v>17.8125</v>
      </c>
      <c r="AC58" s="138">
        <f t="shared" si="49"/>
        <v>20.1875</v>
      </c>
      <c r="AD58" s="138">
        <f t="shared" si="50"/>
        <v>57</v>
      </c>
      <c r="AE58" s="139"/>
      <c r="AF58" s="109">
        <v>38</v>
      </c>
      <c r="AG58" s="109">
        <v>1</v>
      </c>
      <c r="AH58" s="138">
        <f t="shared" si="51"/>
        <v>22.265625</v>
      </c>
      <c r="AI58" s="138">
        <f t="shared" si="51"/>
        <v>11.875</v>
      </c>
      <c r="AJ58" s="138">
        <f t="shared" si="51"/>
        <v>21.375</v>
      </c>
      <c r="AK58" s="138">
        <f t="shared" si="51"/>
        <v>19</v>
      </c>
      <c r="AL58" s="138">
        <f t="shared" si="51"/>
        <v>71.25</v>
      </c>
      <c r="AM58" s="138">
        <f t="shared" si="51"/>
        <v>91.4375</v>
      </c>
      <c r="AN58" s="138">
        <f t="shared" si="51"/>
        <v>17.8125</v>
      </c>
      <c r="AO58" s="138">
        <f t="shared" si="51"/>
        <v>6.333333333333333</v>
      </c>
      <c r="AP58" s="138">
        <f t="shared" si="51"/>
        <v>15.833333333333334</v>
      </c>
      <c r="AQ58" s="138">
        <f t="shared" si="52"/>
        <v>30.28125</v>
      </c>
      <c r="AR58" s="138">
        <f t="shared" si="52"/>
        <v>85.5</v>
      </c>
      <c r="AW58" s="140"/>
      <c r="AX58" s="140"/>
      <c r="AY58" s="139"/>
      <c r="AZ58" s="139"/>
      <c r="BA58" s="139"/>
      <c r="BB58" s="139"/>
      <c r="BC58" s="139"/>
      <c r="BD58" s="139"/>
      <c r="BE58" s="139"/>
    </row>
    <row r="59" spans="1:57">
      <c r="B59" s="141"/>
      <c r="H59" s="109">
        <v>39</v>
      </c>
      <c r="I59" s="109">
        <v>1</v>
      </c>
      <c r="J59" s="138">
        <f t="shared" si="48"/>
        <v>14.625</v>
      </c>
      <c r="K59" s="138">
        <f t="shared" si="48"/>
        <v>6.5</v>
      </c>
      <c r="L59" s="138">
        <f t="shared" si="48"/>
        <v>14.625</v>
      </c>
      <c r="M59" s="138">
        <f t="shared" si="48"/>
        <v>13</v>
      </c>
      <c r="N59" s="138">
        <f t="shared" si="48"/>
        <v>16.25</v>
      </c>
      <c r="O59" s="138">
        <f t="shared" si="48"/>
        <v>17.875</v>
      </c>
      <c r="P59" s="138">
        <f t="shared" si="48"/>
        <v>12.1875</v>
      </c>
      <c r="Q59" s="138">
        <f t="shared" si="48"/>
        <v>13.8125</v>
      </c>
      <c r="R59" s="138">
        <f t="shared" si="48"/>
        <v>19.5</v>
      </c>
      <c r="S59" s="139"/>
      <c r="T59" s="109">
        <v>39</v>
      </c>
      <c r="U59" s="109">
        <v>1</v>
      </c>
      <c r="V59" s="138">
        <f t="shared" si="49"/>
        <v>18.28125</v>
      </c>
      <c r="W59" s="138">
        <f t="shared" si="49"/>
        <v>9.75</v>
      </c>
      <c r="X59" s="138">
        <f t="shared" si="49"/>
        <v>21.9375</v>
      </c>
      <c r="Y59" s="138">
        <f t="shared" si="49"/>
        <v>19.5</v>
      </c>
      <c r="Z59" s="138">
        <f t="shared" si="49"/>
        <v>48.75</v>
      </c>
      <c r="AA59" s="138">
        <f t="shared" si="49"/>
        <v>62.5625</v>
      </c>
      <c r="AB59" s="138">
        <f t="shared" si="49"/>
        <v>18.28125</v>
      </c>
      <c r="AC59" s="138">
        <f t="shared" si="49"/>
        <v>20.71875</v>
      </c>
      <c r="AD59" s="138">
        <f t="shared" si="50"/>
        <v>58.5</v>
      </c>
      <c r="AE59" s="139"/>
      <c r="AF59" s="109">
        <v>39</v>
      </c>
      <c r="AG59" s="109">
        <v>1</v>
      </c>
      <c r="AH59" s="138">
        <f t="shared" si="51"/>
        <v>22.8515625</v>
      </c>
      <c r="AI59" s="138">
        <f t="shared" si="51"/>
        <v>12.1875</v>
      </c>
      <c r="AJ59" s="138">
        <f t="shared" si="51"/>
        <v>21.9375</v>
      </c>
      <c r="AK59" s="138">
        <f t="shared" si="51"/>
        <v>19.5</v>
      </c>
      <c r="AL59" s="138">
        <f t="shared" si="51"/>
        <v>73.125</v>
      </c>
      <c r="AM59" s="138">
        <f t="shared" si="51"/>
        <v>93.84375</v>
      </c>
      <c r="AN59" s="138">
        <f t="shared" si="51"/>
        <v>18.28125</v>
      </c>
      <c r="AO59" s="138">
        <f t="shared" si="51"/>
        <v>6.5</v>
      </c>
      <c r="AP59" s="138">
        <f t="shared" si="51"/>
        <v>16.25</v>
      </c>
      <c r="AQ59" s="138">
        <f t="shared" si="52"/>
        <v>31.078125</v>
      </c>
      <c r="AR59" s="138">
        <f t="shared" si="52"/>
        <v>87.75</v>
      </c>
      <c r="AW59" s="140"/>
      <c r="AX59" s="140"/>
      <c r="AY59" s="139"/>
      <c r="AZ59" s="139"/>
      <c r="BA59" s="139"/>
      <c r="BB59" s="139"/>
      <c r="BC59" s="139"/>
      <c r="BD59" s="139"/>
      <c r="BE59" s="139"/>
    </row>
    <row r="60" spans="1:57">
      <c r="B60" s="141"/>
      <c r="H60" s="109">
        <v>40</v>
      </c>
      <c r="I60" s="109">
        <v>1</v>
      </c>
      <c r="J60" s="138">
        <f t="shared" si="48"/>
        <v>15</v>
      </c>
      <c r="K60" s="138">
        <f t="shared" si="48"/>
        <v>6.666666666666667</v>
      </c>
      <c r="L60" s="138">
        <f t="shared" si="48"/>
        <v>15</v>
      </c>
      <c r="M60" s="138">
        <f t="shared" si="48"/>
        <v>13.333333333333334</v>
      </c>
      <c r="N60" s="138">
        <f t="shared" si="48"/>
        <v>16.666666666666668</v>
      </c>
      <c r="O60" s="138">
        <f t="shared" si="48"/>
        <v>18.333333333333332</v>
      </c>
      <c r="P60" s="138">
        <f t="shared" si="48"/>
        <v>12.5</v>
      </c>
      <c r="Q60" s="138">
        <f t="shared" si="48"/>
        <v>14.166666666666666</v>
      </c>
      <c r="R60" s="138">
        <f t="shared" si="48"/>
        <v>20</v>
      </c>
      <c r="S60" s="139"/>
      <c r="T60" s="109">
        <v>40</v>
      </c>
      <c r="U60" s="109">
        <v>1</v>
      </c>
      <c r="V60" s="138">
        <f t="shared" si="49"/>
        <v>18.75</v>
      </c>
      <c r="W60" s="138">
        <f t="shared" si="49"/>
        <v>10</v>
      </c>
      <c r="X60" s="138">
        <f t="shared" si="49"/>
        <v>22.5</v>
      </c>
      <c r="Y60" s="138">
        <f t="shared" si="49"/>
        <v>20</v>
      </c>
      <c r="Z60" s="138">
        <f t="shared" si="49"/>
        <v>50</v>
      </c>
      <c r="AA60" s="138">
        <f t="shared" si="49"/>
        <v>64.166666666666671</v>
      </c>
      <c r="AB60" s="138">
        <f t="shared" si="49"/>
        <v>18.75</v>
      </c>
      <c r="AC60" s="138">
        <f t="shared" si="49"/>
        <v>21.25</v>
      </c>
      <c r="AD60" s="138">
        <f t="shared" si="50"/>
        <v>60</v>
      </c>
      <c r="AE60" s="139"/>
      <c r="AF60" s="109">
        <v>40</v>
      </c>
      <c r="AG60" s="109">
        <v>1</v>
      </c>
      <c r="AH60" s="138">
        <f t="shared" si="51"/>
        <v>23.4375</v>
      </c>
      <c r="AI60" s="138">
        <f t="shared" si="51"/>
        <v>12.5</v>
      </c>
      <c r="AJ60" s="138">
        <f t="shared" si="51"/>
        <v>22.5</v>
      </c>
      <c r="AK60" s="138">
        <f t="shared" si="51"/>
        <v>20</v>
      </c>
      <c r="AL60" s="138">
        <f t="shared" si="51"/>
        <v>75</v>
      </c>
      <c r="AM60" s="138">
        <f t="shared" si="51"/>
        <v>96.25</v>
      </c>
      <c r="AN60" s="138">
        <f t="shared" si="51"/>
        <v>18.75</v>
      </c>
      <c r="AO60" s="138">
        <f t="shared" si="51"/>
        <v>6.666666666666667</v>
      </c>
      <c r="AP60" s="138">
        <f t="shared" si="51"/>
        <v>16.666666666666668</v>
      </c>
      <c r="AQ60" s="138">
        <f t="shared" si="52"/>
        <v>31.875</v>
      </c>
      <c r="AR60" s="138">
        <f t="shared" si="52"/>
        <v>90</v>
      </c>
      <c r="AW60" s="140"/>
      <c r="AX60" s="140"/>
      <c r="AY60" s="139"/>
      <c r="AZ60" s="139"/>
      <c r="BA60" s="139"/>
      <c r="BB60" s="139"/>
      <c r="BC60" s="139"/>
      <c r="BD60" s="139"/>
      <c r="BE60" s="139"/>
    </row>
    <row r="61" spans="1:57">
      <c r="B61" s="141"/>
      <c r="H61" s="109">
        <v>41</v>
      </c>
      <c r="I61" s="109">
        <v>1</v>
      </c>
      <c r="J61" s="138">
        <f t="shared" si="48"/>
        <v>15.375</v>
      </c>
      <c r="K61" s="138">
        <f t="shared" si="48"/>
        <v>6.833333333333333</v>
      </c>
      <c r="L61" s="138">
        <f t="shared" si="48"/>
        <v>15.375</v>
      </c>
      <c r="M61" s="138">
        <f t="shared" si="48"/>
        <v>13.666666666666666</v>
      </c>
      <c r="N61" s="138">
        <f t="shared" si="48"/>
        <v>17.083333333333332</v>
      </c>
      <c r="O61" s="138">
        <f t="shared" si="48"/>
        <v>18.791666666666668</v>
      </c>
      <c r="P61" s="138">
        <f t="shared" si="48"/>
        <v>12.8125</v>
      </c>
      <c r="Q61" s="138">
        <f t="shared" si="48"/>
        <v>14.520833333333334</v>
      </c>
      <c r="R61" s="138">
        <f t="shared" si="48"/>
        <v>20.5</v>
      </c>
      <c r="S61" s="139"/>
      <c r="T61" s="109">
        <v>41</v>
      </c>
      <c r="U61" s="109">
        <v>1</v>
      </c>
      <c r="V61" s="138">
        <f t="shared" si="49"/>
        <v>19.21875</v>
      </c>
      <c r="W61" s="138">
        <f t="shared" si="49"/>
        <v>10.25</v>
      </c>
      <c r="X61" s="138">
        <f t="shared" si="49"/>
        <v>23.0625</v>
      </c>
      <c r="Y61" s="138">
        <f t="shared" si="49"/>
        <v>20.5</v>
      </c>
      <c r="Z61" s="138">
        <f t="shared" si="49"/>
        <v>51.25</v>
      </c>
      <c r="AA61" s="138">
        <f t="shared" si="49"/>
        <v>65.770833333333329</v>
      </c>
      <c r="AB61" s="138">
        <f t="shared" si="49"/>
        <v>19.21875</v>
      </c>
      <c r="AC61" s="138">
        <f t="shared" si="49"/>
        <v>21.78125</v>
      </c>
      <c r="AD61" s="138">
        <f t="shared" si="50"/>
        <v>61.5</v>
      </c>
      <c r="AE61" s="139"/>
      <c r="AF61" s="109">
        <v>41</v>
      </c>
      <c r="AG61" s="109">
        <v>1</v>
      </c>
      <c r="AH61" s="138">
        <f t="shared" si="51"/>
        <v>24.0234375</v>
      </c>
      <c r="AI61" s="138">
        <f t="shared" si="51"/>
        <v>12.8125</v>
      </c>
      <c r="AJ61" s="138">
        <f t="shared" si="51"/>
        <v>23.0625</v>
      </c>
      <c r="AK61" s="138">
        <f t="shared" si="51"/>
        <v>20.5</v>
      </c>
      <c r="AL61" s="138">
        <f t="shared" si="51"/>
        <v>76.875</v>
      </c>
      <c r="AM61" s="138">
        <f t="shared" si="51"/>
        <v>98.65625</v>
      </c>
      <c r="AN61" s="138">
        <f t="shared" si="51"/>
        <v>19.21875</v>
      </c>
      <c r="AO61" s="138">
        <f t="shared" si="51"/>
        <v>6.833333333333333</v>
      </c>
      <c r="AP61" s="138">
        <f t="shared" si="51"/>
        <v>17.083333333333332</v>
      </c>
      <c r="AQ61" s="138">
        <f t="shared" si="52"/>
        <v>32.671875</v>
      </c>
      <c r="AR61" s="138">
        <f t="shared" si="52"/>
        <v>92.25</v>
      </c>
      <c r="AW61" s="140"/>
      <c r="AX61" s="140"/>
      <c r="AY61" s="139"/>
      <c r="AZ61" s="139"/>
      <c r="BA61" s="139"/>
      <c r="BB61" s="139"/>
      <c r="BC61" s="139"/>
      <c r="BD61" s="139"/>
      <c r="BE61" s="139"/>
    </row>
    <row r="62" spans="1:57">
      <c r="B62" s="141"/>
      <c r="H62" s="109">
        <v>42</v>
      </c>
      <c r="I62" s="109">
        <v>1</v>
      </c>
      <c r="J62" s="138">
        <f t="shared" si="48"/>
        <v>15.75</v>
      </c>
      <c r="K62" s="138">
        <f t="shared" si="48"/>
        <v>7</v>
      </c>
      <c r="L62" s="138">
        <f t="shared" si="48"/>
        <v>15.75</v>
      </c>
      <c r="M62" s="138">
        <f t="shared" si="48"/>
        <v>14</v>
      </c>
      <c r="N62" s="138">
        <f t="shared" si="48"/>
        <v>17.5</v>
      </c>
      <c r="O62" s="138">
        <f t="shared" si="48"/>
        <v>19.25</v>
      </c>
      <c r="P62" s="138">
        <f t="shared" si="48"/>
        <v>13.125</v>
      </c>
      <c r="Q62" s="138">
        <f t="shared" si="48"/>
        <v>14.875</v>
      </c>
      <c r="R62" s="138">
        <f t="shared" si="48"/>
        <v>21</v>
      </c>
      <c r="S62" s="139"/>
      <c r="T62" s="109">
        <v>42</v>
      </c>
      <c r="U62" s="109">
        <v>1</v>
      </c>
      <c r="V62" s="138">
        <f t="shared" si="49"/>
        <v>19.6875</v>
      </c>
      <c r="W62" s="138">
        <f t="shared" si="49"/>
        <v>10.5</v>
      </c>
      <c r="X62" s="138">
        <f t="shared" si="49"/>
        <v>23.625</v>
      </c>
      <c r="Y62" s="138">
        <f t="shared" si="49"/>
        <v>21</v>
      </c>
      <c r="Z62" s="138">
        <f t="shared" si="49"/>
        <v>52.5</v>
      </c>
      <c r="AA62" s="138">
        <f t="shared" si="49"/>
        <v>67.375</v>
      </c>
      <c r="AB62" s="138">
        <f t="shared" si="49"/>
        <v>19.6875</v>
      </c>
      <c r="AC62" s="138">
        <f t="shared" si="49"/>
        <v>22.3125</v>
      </c>
      <c r="AD62" s="138">
        <f t="shared" si="50"/>
        <v>63</v>
      </c>
      <c r="AE62" s="139"/>
      <c r="AF62" s="109">
        <v>42</v>
      </c>
      <c r="AG62" s="109">
        <v>1</v>
      </c>
      <c r="AH62" s="138">
        <f t="shared" si="51"/>
        <v>24.609375</v>
      </c>
      <c r="AI62" s="138">
        <f t="shared" si="51"/>
        <v>13.125</v>
      </c>
      <c r="AJ62" s="138">
        <f t="shared" si="51"/>
        <v>23.625</v>
      </c>
      <c r="AK62" s="138">
        <f t="shared" si="51"/>
        <v>21</v>
      </c>
      <c r="AL62" s="138">
        <f t="shared" si="51"/>
        <v>78.75</v>
      </c>
      <c r="AM62" s="138">
        <f t="shared" si="51"/>
        <v>101.0625</v>
      </c>
      <c r="AN62" s="138">
        <f t="shared" si="51"/>
        <v>19.6875</v>
      </c>
      <c r="AO62" s="138">
        <f t="shared" si="51"/>
        <v>7</v>
      </c>
      <c r="AP62" s="138">
        <f t="shared" si="51"/>
        <v>17.5</v>
      </c>
      <c r="AQ62" s="138">
        <f t="shared" si="52"/>
        <v>33.46875</v>
      </c>
      <c r="AR62" s="138">
        <f t="shared" si="52"/>
        <v>94.5</v>
      </c>
      <c r="AW62" s="140"/>
      <c r="AX62" s="140"/>
      <c r="AY62" s="139"/>
      <c r="AZ62" s="139"/>
      <c r="BA62" s="139"/>
      <c r="BB62" s="139"/>
      <c r="BC62" s="139"/>
      <c r="BD62" s="139"/>
      <c r="BE62" s="139"/>
    </row>
    <row r="63" spans="1:57">
      <c r="A63" s="59"/>
      <c r="H63" s="109">
        <v>43</v>
      </c>
      <c r="I63" s="109">
        <v>1</v>
      </c>
      <c r="J63" s="138">
        <f t="shared" si="48"/>
        <v>16.125</v>
      </c>
      <c r="K63" s="138">
        <f t="shared" si="48"/>
        <v>7.166666666666667</v>
      </c>
      <c r="L63" s="138">
        <f t="shared" si="48"/>
        <v>16.125</v>
      </c>
      <c r="M63" s="138">
        <f t="shared" si="48"/>
        <v>14.333333333333334</v>
      </c>
      <c r="N63" s="138">
        <f t="shared" si="48"/>
        <v>17.916666666666668</v>
      </c>
      <c r="O63" s="138">
        <f t="shared" si="48"/>
        <v>19.708333333333332</v>
      </c>
      <c r="P63" s="138">
        <f t="shared" si="48"/>
        <v>13.4375</v>
      </c>
      <c r="Q63" s="138">
        <f t="shared" si="48"/>
        <v>15.229166666666666</v>
      </c>
      <c r="R63" s="138">
        <f t="shared" si="48"/>
        <v>21.5</v>
      </c>
      <c r="S63" s="139"/>
      <c r="T63" s="109">
        <v>43</v>
      </c>
      <c r="U63" s="109">
        <v>1</v>
      </c>
      <c r="V63" s="138">
        <f t="shared" si="49"/>
        <v>20.15625</v>
      </c>
      <c r="W63" s="138">
        <f t="shared" si="49"/>
        <v>10.75</v>
      </c>
      <c r="X63" s="138">
        <f t="shared" si="49"/>
        <v>24.1875</v>
      </c>
      <c r="Y63" s="138">
        <f t="shared" si="49"/>
        <v>21.5</v>
      </c>
      <c r="Z63" s="138">
        <f t="shared" si="49"/>
        <v>53.75</v>
      </c>
      <c r="AA63" s="138">
        <f t="shared" si="49"/>
        <v>68.979166666666671</v>
      </c>
      <c r="AB63" s="138">
        <f t="shared" si="49"/>
        <v>20.15625</v>
      </c>
      <c r="AC63" s="138">
        <f t="shared" si="49"/>
        <v>22.84375</v>
      </c>
      <c r="AD63" s="138">
        <f t="shared" si="50"/>
        <v>64.5</v>
      </c>
      <c r="AE63" s="139"/>
      <c r="AF63" s="109">
        <v>43</v>
      </c>
      <c r="AG63" s="109">
        <v>1</v>
      </c>
      <c r="AH63" s="138">
        <f t="shared" si="51"/>
        <v>25.1953125</v>
      </c>
      <c r="AI63" s="138">
        <f t="shared" si="51"/>
        <v>13.4375</v>
      </c>
      <c r="AJ63" s="138">
        <f t="shared" si="51"/>
        <v>24.1875</v>
      </c>
      <c r="AK63" s="138">
        <f t="shared" si="51"/>
        <v>21.5</v>
      </c>
      <c r="AL63" s="138">
        <f t="shared" si="51"/>
        <v>80.625</v>
      </c>
      <c r="AM63" s="138">
        <f t="shared" si="51"/>
        <v>103.46875</v>
      </c>
      <c r="AN63" s="138">
        <f t="shared" si="51"/>
        <v>20.15625</v>
      </c>
      <c r="AO63" s="138">
        <f t="shared" si="51"/>
        <v>7.166666666666667</v>
      </c>
      <c r="AP63" s="138">
        <f t="shared" si="51"/>
        <v>17.916666666666668</v>
      </c>
      <c r="AQ63" s="138">
        <f t="shared" si="52"/>
        <v>34.265625</v>
      </c>
      <c r="AR63" s="138">
        <f t="shared" si="52"/>
        <v>96.75</v>
      </c>
      <c r="AW63" s="140"/>
      <c r="AX63" s="140"/>
      <c r="AY63" s="139"/>
      <c r="AZ63" s="139"/>
      <c r="BA63" s="139"/>
      <c r="BB63" s="139"/>
      <c r="BC63" s="139"/>
      <c r="BD63" s="139"/>
      <c r="BE63" s="139"/>
    </row>
    <row r="64" spans="1:57">
      <c r="H64" s="109">
        <v>44</v>
      </c>
      <c r="I64" s="109">
        <v>1</v>
      </c>
      <c r="J64" s="138">
        <f t="shared" si="48"/>
        <v>16.5</v>
      </c>
      <c r="K64" s="138">
        <f t="shared" si="48"/>
        <v>7.333333333333333</v>
      </c>
      <c r="L64" s="138">
        <f t="shared" si="48"/>
        <v>16.5</v>
      </c>
      <c r="M64" s="138">
        <f t="shared" si="48"/>
        <v>14.666666666666666</v>
      </c>
      <c r="N64" s="138">
        <f t="shared" si="48"/>
        <v>18.333333333333332</v>
      </c>
      <c r="O64" s="138">
        <f t="shared" si="48"/>
        <v>20.166666666666668</v>
      </c>
      <c r="P64" s="138">
        <f t="shared" si="48"/>
        <v>13.75</v>
      </c>
      <c r="Q64" s="138">
        <f t="shared" si="48"/>
        <v>15.583333333333334</v>
      </c>
      <c r="R64" s="138">
        <f t="shared" si="48"/>
        <v>22</v>
      </c>
      <c r="S64" s="139"/>
      <c r="T64" s="109">
        <v>44</v>
      </c>
      <c r="U64" s="109">
        <v>1</v>
      </c>
      <c r="V64" s="138">
        <f t="shared" si="49"/>
        <v>20.625</v>
      </c>
      <c r="W64" s="138">
        <f t="shared" si="49"/>
        <v>11</v>
      </c>
      <c r="X64" s="138">
        <f t="shared" si="49"/>
        <v>24.75</v>
      </c>
      <c r="Y64" s="138">
        <f t="shared" si="49"/>
        <v>22</v>
      </c>
      <c r="Z64" s="138">
        <f t="shared" si="49"/>
        <v>55</v>
      </c>
      <c r="AA64" s="138">
        <f t="shared" si="49"/>
        <v>70.583333333333329</v>
      </c>
      <c r="AB64" s="138">
        <f t="shared" si="49"/>
        <v>20.625</v>
      </c>
      <c r="AC64" s="138">
        <f t="shared" si="49"/>
        <v>23.375</v>
      </c>
      <c r="AD64" s="138">
        <f t="shared" si="50"/>
        <v>66</v>
      </c>
      <c r="AE64" s="139"/>
      <c r="AF64" s="109">
        <v>44</v>
      </c>
      <c r="AG64" s="109">
        <v>1</v>
      </c>
      <c r="AH64" s="138">
        <f t="shared" si="51"/>
        <v>25.78125</v>
      </c>
      <c r="AI64" s="138">
        <f t="shared" si="51"/>
        <v>13.75</v>
      </c>
      <c r="AJ64" s="138">
        <f t="shared" si="51"/>
        <v>24.75</v>
      </c>
      <c r="AK64" s="138">
        <f t="shared" si="51"/>
        <v>22</v>
      </c>
      <c r="AL64" s="138">
        <f t="shared" si="51"/>
        <v>82.5</v>
      </c>
      <c r="AM64" s="138">
        <f t="shared" si="51"/>
        <v>105.875</v>
      </c>
      <c r="AN64" s="138">
        <f t="shared" si="51"/>
        <v>20.625</v>
      </c>
      <c r="AO64" s="138">
        <f t="shared" si="51"/>
        <v>7.333333333333333</v>
      </c>
      <c r="AP64" s="138">
        <f t="shared" si="51"/>
        <v>18.333333333333332</v>
      </c>
      <c r="AQ64" s="138">
        <f t="shared" si="52"/>
        <v>35.0625</v>
      </c>
      <c r="AR64" s="138">
        <f t="shared" si="52"/>
        <v>99</v>
      </c>
      <c r="AW64" s="140"/>
      <c r="AX64" s="140"/>
      <c r="AY64" s="139"/>
      <c r="AZ64" s="139"/>
      <c r="BA64" s="139"/>
      <c r="BB64" s="139"/>
      <c r="BC64" s="139"/>
      <c r="BD64" s="139"/>
      <c r="BE64" s="139"/>
    </row>
    <row r="65" spans="8:57">
      <c r="H65" s="109">
        <v>45</v>
      </c>
      <c r="I65" s="109">
        <v>1</v>
      </c>
      <c r="J65" s="138">
        <f t="shared" si="48"/>
        <v>16.875</v>
      </c>
      <c r="K65" s="138">
        <f t="shared" si="48"/>
        <v>7.5</v>
      </c>
      <c r="L65" s="138">
        <f t="shared" si="48"/>
        <v>16.875</v>
      </c>
      <c r="M65" s="138">
        <f t="shared" si="48"/>
        <v>15</v>
      </c>
      <c r="N65" s="138">
        <f t="shared" si="48"/>
        <v>18.75</v>
      </c>
      <c r="O65" s="138">
        <f t="shared" si="48"/>
        <v>20.625</v>
      </c>
      <c r="P65" s="138">
        <f t="shared" si="48"/>
        <v>14.0625</v>
      </c>
      <c r="Q65" s="138">
        <f t="shared" si="48"/>
        <v>15.9375</v>
      </c>
      <c r="R65" s="138">
        <f t="shared" si="48"/>
        <v>22.5</v>
      </c>
      <c r="S65" s="139"/>
      <c r="T65" s="109">
        <v>45</v>
      </c>
      <c r="U65" s="109">
        <v>1</v>
      </c>
      <c r="V65" s="138">
        <f t="shared" si="49"/>
        <v>21.09375</v>
      </c>
      <c r="W65" s="138">
        <f t="shared" si="49"/>
        <v>11.25</v>
      </c>
      <c r="X65" s="138">
        <f t="shared" si="49"/>
        <v>25.3125</v>
      </c>
      <c r="Y65" s="138">
        <f t="shared" si="49"/>
        <v>22.5</v>
      </c>
      <c r="Z65" s="138">
        <f t="shared" si="49"/>
        <v>56.25</v>
      </c>
      <c r="AA65" s="138">
        <f t="shared" si="49"/>
        <v>72.1875</v>
      </c>
      <c r="AB65" s="138">
        <f t="shared" si="49"/>
        <v>21.09375</v>
      </c>
      <c r="AC65" s="138">
        <f t="shared" si="49"/>
        <v>23.90625</v>
      </c>
      <c r="AD65" s="138">
        <f t="shared" si="50"/>
        <v>67.5</v>
      </c>
      <c r="AE65" s="139"/>
      <c r="AF65" s="109">
        <v>45</v>
      </c>
      <c r="AG65" s="109">
        <v>1</v>
      </c>
      <c r="AH65" s="138">
        <f t="shared" si="51"/>
        <v>26.3671875</v>
      </c>
      <c r="AI65" s="138">
        <f t="shared" si="51"/>
        <v>14.0625</v>
      </c>
      <c r="AJ65" s="138">
        <f t="shared" si="51"/>
        <v>25.3125</v>
      </c>
      <c r="AK65" s="138">
        <f t="shared" si="51"/>
        <v>22.5</v>
      </c>
      <c r="AL65" s="138">
        <f t="shared" si="51"/>
        <v>84.375</v>
      </c>
      <c r="AM65" s="138">
        <f t="shared" si="51"/>
        <v>108.28125</v>
      </c>
      <c r="AN65" s="138">
        <f t="shared" si="51"/>
        <v>21.09375</v>
      </c>
      <c r="AO65" s="138">
        <f t="shared" si="51"/>
        <v>7.5</v>
      </c>
      <c r="AP65" s="138">
        <f t="shared" si="51"/>
        <v>18.75</v>
      </c>
      <c r="AQ65" s="138">
        <f t="shared" si="52"/>
        <v>35.859375</v>
      </c>
      <c r="AR65" s="138">
        <f t="shared" si="52"/>
        <v>101.25</v>
      </c>
      <c r="AW65" s="140"/>
      <c r="AX65" s="140"/>
      <c r="AY65" s="139"/>
      <c r="AZ65" s="139"/>
      <c r="BA65" s="139"/>
      <c r="BB65" s="139"/>
      <c r="BC65" s="139"/>
      <c r="BD65" s="139"/>
      <c r="BE65" s="139"/>
    </row>
    <row r="66" spans="8:57">
      <c r="H66" s="109">
        <v>46</v>
      </c>
      <c r="I66" s="109">
        <v>1</v>
      </c>
      <c r="J66" s="138">
        <f t="shared" si="48"/>
        <v>17.25</v>
      </c>
      <c r="K66" s="138">
        <f t="shared" si="48"/>
        <v>7.666666666666667</v>
      </c>
      <c r="L66" s="138">
        <f t="shared" si="48"/>
        <v>17.25</v>
      </c>
      <c r="M66" s="138">
        <f t="shared" si="48"/>
        <v>15.333333333333334</v>
      </c>
      <c r="N66" s="138">
        <f t="shared" si="48"/>
        <v>19.166666666666668</v>
      </c>
      <c r="O66" s="138">
        <f t="shared" si="48"/>
        <v>21.083333333333332</v>
      </c>
      <c r="P66" s="138">
        <f t="shared" si="48"/>
        <v>14.375</v>
      </c>
      <c r="Q66" s="138">
        <f t="shared" si="48"/>
        <v>16.291666666666668</v>
      </c>
      <c r="R66" s="138">
        <f t="shared" si="48"/>
        <v>23</v>
      </c>
      <c r="S66" s="139"/>
      <c r="T66" s="109">
        <v>46</v>
      </c>
      <c r="U66" s="109">
        <v>1</v>
      </c>
      <c r="V66" s="138">
        <f t="shared" si="49"/>
        <v>21.5625</v>
      </c>
      <c r="W66" s="138">
        <f t="shared" si="49"/>
        <v>11.5</v>
      </c>
      <c r="X66" s="138">
        <f t="shared" si="49"/>
        <v>25.875</v>
      </c>
      <c r="Y66" s="138">
        <f t="shared" si="49"/>
        <v>23</v>
      </c>
      <c r="Z66" s="138">
        <f t="shared" si="49"/>
        <v>57.5</v>
      </c>
      <c r="AA66" s="138">
        <f t="shared" si="49"/>
        <v>73.791666666666671</v>
      </c>
      <c r="AB66" s="138">
        <f t="shared" si="49"/>
        <v>21.5625</v>
      </c>
      <c r="AC66" s="138">
        <f t="shared" si="49"/>
        <v>24.4375</v>
      </c>
      <c r="AD66" s="138">
        <f t="shared" si="50"/>
        <v>69</v>
      </c>
      <c r="AE66" s="139"/>
      <c r="AF66" s="109">
        <v>46</v>
      </c>
      <c r="AG66" s="109">
        <v>1</v>
      </c>
      <c r="AH66" s="138">
        <f t="shared" si="51"/>
        <v>26.953125</v>
      </c>
      <c r="AI66" s="138">
        <f t="shared" si="51"/>
        <v>14.375</v>
      </c>
      <c r="AJ66" s="138">
        <f t="shared" si="51"/>
        <v>25.875</v>
      </c>
      <c r="AK66" s="138">
        <f t="shared" si="51"/>
        <v>23</v>
      </c>
      <c r="AL66" s="138">
        <f t="shared" si="51"/>
        <v>86.25</v>
      </c>
      <c r="AM66" s="138">
        <f t="shared" si="51"/>
        <v>110.6875</v>
      </c>
      <c r="AN66" s="138">
        <f t="shared" si="51"/>
        <v>21.5625</v>
      </c>
      <c r="AO66" s="138">
        <f t="shared" si="51"/>
        <v>7.666666666666667</v>
      </c>
      <c r="AP66" s="138">
        <f t="shared" si="51"/>
        <v>19.166666666666668</v>
      </c>
      <c r="AQ66" s="138">
        <f t="shared" si="52"/>
        <v>36.65625</v>
      </c>
      <c r="AR66" s="138">
        <f t="shared" si="52"/>
        <v>103.5</v>
      </c>
      <c r="AW66" s="140"/>
      <c r="AX66" s="140"/>
      <c r="AY66" s="139"/>
      <c r="AZ66" s="139"/>
      <c r="BA66" s="139"/>
      <c r="BB66" s="139"/>
      <c r="BC66" s="139"/>
      <c r="BD66" s="139"/>
      <c r="BE66" s="139"/>
    </row>
    <row r="67" spans="8:57">
      <c r="H67" s="109">
        <v>47</v>
      </c>
      <c r="I67" s="109">
        <v>1</v>
      </c>
      <c r="J67" s="138">
        <f t="shared" si="48"/>
        <v>17.625</v>
      </c>
      <c r="K67" s="138">
        <f t="shared" si="48"/>
        <v>7.833333333333333</v>
      </c>
      <c r="L67" s="138">
        <f t="shared" si="48"/>
        <v>17.625</v>
      </c>
      <c r="M67" s="138">
        <f t="shared" si="48"/>
        <v>15.666666666666666</v>
      </c>
      <c r="N67" s="138">
        <f t="shared" si="48"/>
        <v>19.583333333333332</v>
      </c>
      <c r="O67" s="138">
        <f t="shared" si="48"/>
        <v>21.541666666666668</v>
      </c>
      <c r="P67" s="138">
        <f t="shared" si="48"/>
        <v>14.6875</v>
      </c>
      <c r="Q67" s="138">
        <f t="shared" si="48"/>
        <v>16.645833333333332</v>
      </c>
      <c r="R67" s="138">
        <f t="shared" si="48"/>
        <v>23.5</v>
      </c>
      <c r="S67" s="139"/>
      <c r="T67" s="109">
        <v>47</v>
      </c>
      <c r="U67" s="109">
        <v>1</v>
      </c>
      <c r="V67" s="138">
        <f t="shared" si="49"/>
        <v>22.03125</v>
      </c>
      <c r="W67" s="138">
        <f t="shared" si="49"/>
        <v>11.75</v>
      </c>
      <c r="X67" s="138">
        <f t="shared" si="49"/>
        <v>26.4375</v>
      </c>
      <c r="Y67" s="138">
        <f t="shared" si="49"/>
        <v>23.5</v>
      </c>
      <c r="Z67" s="138">
        <f t="shared" si="49"/>
        <v>58.75</v>
      </c>
      <c r="AA67" s="138">
        <f t="shared" si="49"/>
        <v>75.395833333333329</v>
      </c>
      <c r="AB67" s="138">
        <f t="shared" si="49"/>
        <v>22.03125</v>
      </c>
      <c r="AC67" s="138">
        <f t="shared" si="49"/>
        <v>24.96875</v>
      </c>
      <c r="AD67" s="138">
        <f t="shared" si="50"/>
        <v>70.5</v>
      </c>
      <c r="AE67" s="139"/>
      <c r="AF67" s="109">
        <v>47</v>
      </c>
      <c r="AG67" s="109">
        <v>1</v>
      </c>
      <c r="AH67" s="138">
        <f t="shared" si="51"/>
        <v>27.5390625</v>
      </c>
      <c r="AI67" s="138">
        <f t="shared" si="51"/>
        <v>14.6875</v>
      </c>
      <c r="AJ67" s="138">
        <f t="shared" si="51"/>
        <v>26.4375</v>
      </c>
      <c r="AK67" s="138">
        <f t="shared" si="51"/>
        <v>23.5</v>
      </c>
      <c r="AL67" s="138">
        <f t="shared" si="51"/>
        <v>88.125</v>
      </c>
      <c r="AM67" s="138">
        <f t="shared" si="51"/>
        <v>113.09375</v>
      </c>
      <c r="AN67" s="138">
        <f t="shared" si="51"/>
        <v>22.03125</v>
      </c>
      <c r="AO67" s="138">
        <f t="shared" si="51"/>
        <v>7.833333333333333</v>
      </c>
      <c r="AP67" s="138">
        <f t="shared" si="51"/>
        <v>19.583333333333332</v>
      </c>
      <c r="AQ67" s="138">
        <f t="shared" si="52"/>
        <v>37.453125</v>
      </c>
      <c r="AR67" s="138">
        <f t="shared" si="52"/>
        <v>105.75</v>
      </c>
      <c r="AW67" s="140"/>
      <c r="AX67" s="140"/>
      <c r="AY67" s="139"/>
      <c r="AZ67" s="139"/>
      <c r="BA67" s="139"/>
      <c r="BB67" s="139"/>
      <c r="BC67" s="139"/>
      <c r="BD67" s="139"/>
      <c r="BE67" s="139"/>
    </row>
    <row r="68" spans="8:57">
      <c r="H68" s="109">
        <v>48</v>
      </c>
      <c r="I68" s="109">
        <v>1</v>
      </c>
      <c r="J68" s="138">
        <f t="shared" si="48"/>
        <v>18</v>
      </c>
      <c r="K68" s="138">
        <f t="shared" si="48"/>
        <v>8</v>
      </c>
      <c r="L68" s="138">
        <f t="shared" si="48"/>
        <v>18</v>
      </c>
      <c r="M68" s="138">
        <f t="shared" si="48"/>
        <v>16</v>
      </c>
      <c r="N68" s="138">
        <f t="shared" si="48"/>
        <v>20</v>
      </c>
      <c r="O68" s="138">
        <f t="shared" si="48"/>
        <v>22</v>
      </c>
      <c r="P68" s="138">
        <f t="shared" si="48"/>
        <v>15</v>
      </c>
      <c r="Q68" s="138">
        <f t="shared" si="48"/>
        <v>17</v>
      </c>
      <c r="R68" s="138">
        <f t="shared" si="48"/>
        <v>24</v>
      </c>
      <c r="S68" s="139"/>
      <c r="T68" s="109">
        <v>48</v>
      </c>
      <c r="U68" s="109">
        <v>1</v>
      </c>
      <c r="V68" s="138">
        <f t="shared" si="49"/>
        <v>22.5</v>
      </c>
      <c r="W68" s="138">
        <f t="shared" si="49"/>
        <v>12</v>
      </c>
      <c r="X68" s="138">
        <f t="shared" si="49"/>
        <v>27</v>
      </c>
      <c r="Y68" s="138">
        <f t="shared" si="49"/>
        <v>24</v>
      </c>
      <c r="Z68" s="138">
        <f t="shared" si="49"/>
        <v>60</v>
      </c>
      <c r="AA68" s="138">
        <f t="shared" si="49"/>
        <v>77</v>
      </c>
      <c r="AB68" s="138">
        <f t="shared" si="49"/>
        <v>22.5</v>
      </c>
      <c r="AC68" s="138">
        <f t="shared" si="49"/>
        <v>25.5</v>
      </c>
      <c r="AD68" s="138">
        <f t="shared" si="50"/>
        <v>72</v>
      </c>
      <c r="AE68" s="139"/>
      <c r="AF68" s="109">
        <v>48</v>
      </c>
      <c r="AG68" s="109">
        <v>1</v>
      </c>
      <c r="AH68" s="138">
        <f t="shared" si="51"/>
        <v>28.125</v>
      </c>
      <c r="AI68" s="138">
        <f t="shared" si="51"/>
        <v>15</v>
      </c>
      <c r="AJ68" s="138">
        <f t="shared" si="51"/>
        <v>27</v>
      </c>
      <c r="AK68" s="138">
        <f t="shared" si="51"/>
        <v>24</v>
      </c>
      <c r="AL68" s="138">
        <f t="shared" si="51"/>
        <v>90</v>
      </c>
      <c r="AM68" s="138">
        <f t="shared" si="51"/>
        <v>115.5</v>
      </c>
      <c r="AN68" s="138">
        <f t="shared" si="51"/>
        <v>22.5</v>
      </c>
      <c r="AO68" s="138">
        <f t="shared" si="51"/>
        <v>8</v>
      </c>
      <c r="AP68" s="138">
        <f t="shared" si="51"/>
        <v>20</v>
      </c>
      <c r="AQ68" s="138">
        <f t="shared" si="52"/>
        <v>38.25</v>
      </c>
      <c r="AR68" s="138">
        <f t="shared" si="52"/>
        <v>108</v>
      </c>
      <c r="AW68" s="140"/>
      <c r="AX68" s="140"/>
      <c r="AY68" s="139"/>
      <c r="AZ68" s="139"/>
      <c r="BA68" s="139"/>
      <c r="BB68" s="139"/>
      <c r="BC68" s="139"/>
      <c r="BD68" s="139"/>
      <c r="BE68" s="139"/>
    </row>
    <row r="69" spans="8:57">
      <c r="H69" s="109">
        <v>49</v>
      </c>
      <c r="I69" s="109">
        <v>1</v>
      </c>
      <c r="J69" s="138">
        <f t="shared" si="48"/>
        <v>18.375</v>
      </c>
      <c r="K69" s="138">
        <f t="shared" si="48"/>
        <v>8.1666666666666661</v>
      </c>
      <c r="L69" s="138">
        <f t="shared" si="48"/>
        <v>18.375</v>
      </c>
      <c r="M69" s="138">
        <f t="shared" si="48"/>
        <v>16.333333333333332</v>
      </c>
      <c r="N69" s="138">
        <f t="shared" si="48"/>
        <v>20.416666666666668</v>
      </c>
      <c r="O69" s="138">
        <f t="shared" si="48"/>
        <v>22.458333333333332</v>
      </c>
      <c r="P69" s="138">
        <f t="shared" si="48"/>
        <v>15.3125</v>
      </c>
      <c r="Q69" s="138">
        <f t="shared" si="48"/>
        <v>17.354166666666668</v>
      </c>
      <c r="R69" s="138">
        <f t="shared" ref="Q69:R84" si="53">+R$18*$H69/12*$I69</f>
        <v>24.5</v>
      </c>
      <c r="S69" s="139"/>
      <c r="T69" s="109">
        <v>49</v>
      </c>
      <c r="U69" s="109">
        <v>1</v>
      </c>
      <c r="V69" s="138">
        <f t="shared" si="49"/>
        <v>22.96875</v>
      </c>
      <c r="W69" s="138">
        <f t="shared" si="49"/>
        <v>12.25</v>
      </c>
      <c r="X69" s="138">
        <f t="shared" si="49"/>
        <v>27.5625</v>
      </c>
      <c r="Y69" s="138">
        <f t="shared" si="49"/>
        <v>24.5</v>
      </c>
      <c r="Z69" s="138">
        <f t="shared" si="49"/>
        <v>61.25</v>
      </c>
      <c r="AA69" s="138">
        <f t="shared" si="49"/>
        <v>78.604166666666671</v>
      </c>
      <c r="AB69" s="138">
        <f t="shared" si="49"/>
        <v>22.96875</v>
      </c>
      <c r="AC69" s="138">
        <f t="shared" si="49"/>
        <v>26.03125</v>
      </c>
      <c r="AD69" s="138">
        <f t="shared" si="50"/>
        <v>73.5</v>
      </c>
      <c r="AE69" s="139"/>
      <c r="AF69" s="109">
        <v>49</v>
      </c>
      <c r="AG69" s="109">
        <v>1</v>
      </c>
      <c r="AH69" s="138">
        <f t="shared" si="51"/>
        <v>28.7109375</v>
      </c>
      <c r="AI69" s="138">
        <f t="shared" si="51"/>
        <v>15.3125</v>
      </c>
      <c r="AJ69" s="138">
        <f t="shared" si="51"/>
        <v>27.5625</v>
      </c>
      <c r="AK69" s="138">
        <f t="shared" si="51"/>
        <v>24.5</v>
      </c>
      <c r="AL69" s="138">
        <f t="shared" si="51"/>
        <v>91.875</v>
      </c>
      <c r="AM69" s="138">
        <f t="shared" si="51"/>
        <v>117.90625</v>
      </c>
      <c r="AN69" s="138">
        <f t="shared" si="51"/>
        <v>22.96875</v>
      </c>
      <c r="AO69" s="138">
        <f t="shared" si="51"/>
        <v>8.1666666666666661</v>
      </c>
      <c r="AP69" s="138">
        <f t="shared" si="51"/>
        <v>20.416666666666668</v>
      </c>
      <c r="AQ69" s="138">
        <f t="shared" si="52"/>
        <v>39.046875</v>
      </c>
      <c r="AR69" s="138">
        <f t="shared" si="52"/>
        <v>110.25</v>
      </c>
      <c r="AW69" s="140"/>
      <c r="AX69" s="140"/>
      <c r="AY69" s="139"/>
      <c r="AZ69" s="139"/>
      <c r="BA69" s="139"/>
      <c r="BB69" s="139"/>
      <c r="BC69" s="139"/>
      <c r="BD69" s="139"/>
      <c r="BE69" s="139"/>
    </row>
    <row r="70" spans="8:57">
      <c r="H70" s="109">
        <v>50</v>
      </c>
      <c r="I70" s="109">
        <v>1</v>
      </c>
      <c r="J70" s="138">
        <f t="shared" si="48"/>
        <v>18.75</v>
      </c>
      <c r="K70" s="138">
        <f t="shared" si="48"/>
        <v>8.3333333333333339</v>
      </c>
      <c r="L70" s="138">
        <f t="shared" si="48"/>
        <v>18.75</v>
      </c>
      <c r="M70" s="138">
        <f t="shared" si="48"/>
        <v>16.666666666666668</v>
      </c>
      <c r="N70" s="138">
        <f t="shared" si="48"/>
        <v>20.833333333333332</v>
      </c>
      <c r="O70" s="138">
        <f t="shared" si="48"/>
        <v>22.916666666666668</v>
      </c>
      <c r="P70" s="138">
        <f t="shared" si="48"/>
        <v>15.625</v>
      </c>
      <c r="Q70" s="138">
        <f t="shared" si="53"/>
        <v>17.708333333333332</v>
      </c>
      <c r="R70" s="138">
        <f t="shared" si="53"/>
        <v>25</v>
      </c>
      <c r="S70" s="139"/>
      <c r="T70" s="109">
        <v>50</v>
      </c>
      <c r="U70" s="109">
        <v>1</v>
      </c>
      <c r="V70" s="138">
        <f t="shared" si="49"/>
        <v>23.4375</v>
      </c>
      <c r="W70" s="138">
        <f t="shared" si="49"/>
        <v>12.5</v>
      </c>
      <c r="X70" s="138">
        <f t="shared" si="49"/>
        <v>28.125</v>
      </c>
      <c r="Y70" s="138">
        <f t="shared" si="49"/>
        <v>25</v>
      </c>
      <c r="Z70" s="138">
        <f t="shared" si="49"/>
        <v>62.5</v>
      </c>
      <c r="AA70" s="138">
        <f t="shared" si="49"/>
        <v>80.208333333333329</v>
      </c>
      <c r="AB70" s="138">
        <f t="shared" si="49"/>
        <v>23.4375</v>
      </c>
      <c r="AC70" s="138">
        <f t="shared" si="49"/>
        <v>26.5625</v>
      </c>
      <c r="AD70" s="138">
        <f t="shared" si="50"/>
        <v>75</v>
      </c>
      <c r="AE70" s="139"/>
      <c r="AF70" s="109">
        <v>50</v>
      </c>
      <c r="AG70" s="109">
        <v>1</v>
      </c>
      <c r="AH70" s="138">
        <f t="shared" si="51"/>
        <v>29.296875</v>
      </c>
      <c r="AI70" s="138">
        <f t="shared" si="51"/>
        <v>15.625</v>
      </c>
      <c r="AJ70" s="138">
        <f t="shared" si="51"/>
        <v>28.125</v>
      </c>
      <c r="AK70" s="138">
        <f t="shared" si="51"/>
        <v>25</v>
      </c>
      <c r="AL70" s="138">
        <f t="shared" si="51"/>
        <v>93.75</v>
      </c>
      <c r="AM70" s="138">
        <f t="shared" si="51"/>
        <v>120.3125</v>
      </c>
      <c r="AN70" s="138">
        <f t="shared" si="51"/>
        <v>23.4375</v>
      </c>
      <c r="AO70" s="138">
        <f t="shared" si="51"/>
        <v>8.3333333333333339</v>
      </c>
      <c r="AP70" s="138">
        <f t="shared" si="51"/>
        <v>20.833333333333332</v>
      </c>
      <c r="AQ70" s="138">
        <f t="shared" si="52"/>
        <v>39.84375</v>
      </c>
      <c r="AR70" s="138">
        <f t="shared" si="52"/>
        <v>112.5</v>
      </c>
      <c r="AW70" s="140"/>
      <c r="AX70" s="140"/>
      <c r="AY70" s="139"/>
      <c r="AZ70" s="139"/>
      <c r="BA70" s="139"/>
      <c r="BB70" s="139"/>
      <c r="BC70" s="139"/>
      <c r="BD70" s="139"/>
      <c r="BE70" s="139"/>
    </row>
    <row r="71" spans="8:57">
      <c r="H71" s="109">
        <v>51</v>
      </c>
      <c r="I71" s="109">
        <v>1</v>
      </c>
      <c r="J71" s="138">
        <f t="shared" si="48"/>
        <v>19.125</v>
      </c>
      <c r="K71" s="138">
        <f t="shared" si="48"/>
        <v>8.5</v>
      </c>
      <c r="L71" s="138">
        <f t="shared" si="48"/>
        <v>19.125</v>
      </c>
      <c r="M71" s="138">
        <f t="shared" si="48"/>
        <v>17</v>
      </c>
      <c r="N71" s="138">
        <f t="shared" si="48"/>
        <v>21.25</v>
      </c>
      <c r="O71" s="138">
        <f t="shared" si="48"/>
        <v>23.375</v>
      </c>
      <c r="P71" s="138">
        <f t="shared" si="48"/>
        <v>15.9375</v>
      </c>
      <c r="Q71" s="138">
        <f t="shared" si="53"/>
        <v>18.0625</v>
      </c>
      <c r="R71" s="138">
        <f t="shared" si="53"/>
        <v>25.5</v>
      </c>
      <c r="S71" s="139"/>
      <c r="T71" s="109">
        <v>51</v>
      </c>
      <c r="U71" s="109">
        <v>1</v>
      </c>
      <c r="V71" s="138">
        <f t="shared" si="49"/>
        <v>23.90625</v>
      </c>
      <c r="W71" s="138">
        <f t="shared" si="49"/>
        <v>12.75</v>
      </c>
      <c r="X71" s="138">
        <f t="shared" si="49"/>
        <v>28.6875</v>
      </c>
      <c r="Y71" s="138">
        <f t="shared" si="49"/>
        <v>25.5</v>
      </c>
      <c r="Z71" s="138">
        <f t="shared" si="49"/>
        <v>63.75</v>
      </c>
      <c r="AA71" s="138">
        <f t="shared" si="49"/>
        <v>81.8125</v>
      </c>
      <c r="AB71" s="138">
        <f t="shared" si="49"/>
        <v>23.90625</v>
      </c>
      <c r="AC71" s="138">
        <f t="shared" si="49"/>
        <v>27.09375</v>
      </c>
      <c r="AD71" s="138">
        <f t="shared" si="50"/>
        <v>76.5</v>
      </c>
      <c r="AE71" s="139"/>
      <c r="AF71" s="109">
        <v>51</v>
      </c>
      <c r="AG71" s="109">
        <v>1</v>
      </c>
      <c r="AH71" s="138">
        <f t="shared" si="51"/>
        <v>29.8828125</v>
      </c>
      <c r="AI71" s="138">
        <f t="shared" si="51"/>
        <v>15.9375</v>
      </c>
      <c r="AJ71" s="138">
        <f t="shared" si="51"/>
        <v>28.6875</v>
      </c>
      <c r="AK71" s="138">
        <f t="shared" si="51"/>
        <v>25.5</v>
      </c>
      <c r="AL71" s="138">
        <f t="shared" si="51"/>
        <v>95.625</v>
      </c>
      <c r="AM71" s="138">
        <f t="shared" si="51"/>
        <v>122.71875</v>
      </c>
      <c r="AN71" s="138">
        <f t="shared" si="51"/>
        <v>23.90625</v>
      </c>
      <c r="AO71" s="138">
        <f t="shared" si="51"/>
        <v>8.5</v>
      </c>
      <c r="AP71" s="138">
        <f t="shared" si="51"/>
        <v>21.25</v>
      </c>
      <c r="AQ71" s="138">
        <f t="shared" si="52"/>
        <v>40.640625</v>
      </c>
      <c r="AR71" s="138">
        <f t="shared" si="52"/>
        <v>114.75</v>
      </c>
      <c r="AW71" s="140"/>
      <c r="AX71" s="140"/>
      <c r="AY71" s="139"/>
      <c r="AZ71" s="139"/>
      <c r="BA71" s="139"/>
      <c r="BB71" s="139"/>
      <c r="BC71" s="139"/>
      <c r="BD71" s="139"/>
      <c r="BE71" s="139"/>
    </row>
    <row r="72" spans="8:57">
      <c r="H72" s="109">
        <v>52</v>
      </c>
      <c r="I72" s="109">
        <v>1</v>
      </c>
      <c r="J72" s="138">
        <f t="shared" si="48"/>
        <v>19.5</v>
      </c>
      <c r="K72" s="138">
        <f t="shared" si="48"/>
        <v>8.6666666666666661</v>
      </c>
      <c r="L72" s="138">
        <f t="shared" si="48"/>
        <v>19.5</v>
      </c>
      <c r="M72" s="138">
        <f t="shared" si="48"/>
        <v>17.333333333333332</v>
      </c>
      <c r="N72" s="138">
        <f t="shared" si="48"/>
        <v>21.666666666666668</v>
      </c>
      <c r="O72" s="138">
        <f t="shared" si="48"/>
        <v>23.833333333333332</v>
      </c>
      <c r="P72" s="138">
        <f t="shared" si="48"/>
        <v>16.25</v>
      </c>
      <c r="Q72" s="138">
        <f t="shared" si="53"/>
        <v>18.416666666666668</v>
      </c>
      <c r="R72" s="138">
        <f t="shared" si="53"/>
        <v>26</v>
      </c>
      <c r="S72" s="139"/>
      <c r="T72" s="109">
        <v>52</v>
      </c>
      <c r="U72" s="109">
        <v>1</v>
      </c>
      <c r="V72" s="138">
        <f t="shared" si="49"/>
        <v>24.375</v>
      </c>
      <c r="W72" s="138">
        <f t="shared" si="49"/>
        <v>13</v>
      </c>
      <c r="X72" s="138">
        <f t="shared" si="49"/>
        <v>29.25</v>
      </c>
      <c r="Y72" s="138">
        <f t="shared" si="49"/>
        <v>26</v>
      </c>
      <c r="Z72" s="138">
        <f t="shared" si="49"/>
        <v>65</v>
      </c>
      <c r="AA72" s="138">
        <f t="shared" si="49"/>
        <v>83.416666666666671</v>
      </c>
      <c r="AB72" s="138">
        <f t="shared" si="49"/>
        <v>24.375</v>
      </c>
      <c r="AC72" s="138">
        <f t="shared" si="49"/>
        <v>27.625</v>
      </c>
      <c r="AD72" s="138">
        <f t="shared" si="50"/>
        <v>78</v>
      </c>
      <c r="AE72" s="139"/>
      <c r="AF72" s="109">
        <v>52</v>
      </c>
      <c r="AG72" s="109">
        <v>1</v>
      </c>
      <c r="AH72" s="138">
        <f t="shared" si="51"/>
        <v>30.46875</v>
      </c>
      <c r="AI72" s="138">
        <f t="shared" si="51"/>
        <v>16.25</v>
      </c>
      <c r="AJ72" s="138">
        <f t="shared" si="51"/>
        <v>29.25</v>
      </c>
      <c r="AK72" s="138">
        <f t="shared" si="51"/>
        <v>26</v>
      </c>
      <c r="AL72" s="138">
        <f t="shared" si="51"/>
        <v>97.5</v>
      </c>
      <c r="AM72" s="138">
        <f t="shared" si="51"/>
        <v>125.125</v>
      </c>
      <c r="AN72" s="138">
        <f t="shared" si="51"/>
        <v>24.375</v>
      </c>
      <c r="AO72" s="138">
        <f t="shared" si="51"/>
        <v>8.6666666666666661</v>
      </c>
      <c r="AP72" s="138">
        <f t="shared" si="51"/>
        <v>21.666666666666668</v>
      </c>
      <c r="AQ72" s="138">
        <f t="shared" si="52"/>
        <v>41.4375</v>
      </c>
      <c r="AR72" s="138">
        <f t="shared" si="52"/>
        <v>117</v>
      </c>
      <c r="AW72" s="140"/>
      <c r="AX72" s="140"/>
      <c r="AY72" s="139"/>
      <c r="AZ72" s="139"/>
      <c r="BA72" s="139"/>
      <c r="BB72" s="139"/>
      <c r="BC72" s="139"/>
      <c r="BD72" s="139"/>
      <c r="BE72" s="139"/>
    </row>
    <row r="73" spans="8:57">
      <c r="H73" s="109">
        <v>53</v>
      </c>
      <c r="I73" s="109">
        <v>1</v>
      </c>
      <c r="J73" s="138">
        <f t="shared" si="48"/>
        <v>19.875</v>
      </c>
      <c r="K73" s="138">
        <f t="shared" si="48"/>
        <v>8.8333333333333339</v>
      </c>
      <c r="L73" s="138">
        <f t="shared" si="48"/>
        <v>19.875</v>
      </c>
      <c r="M73" s="138">
        <f t="shared" si="48"/>
        <v>17.666666666666668</v>
      </c>
      <c r="N73" s="138">
        <f t="shared" si="48"/>
        <v>22.083333333333332</v>
      </c>
      <c r="O73" s="138">
        <f t="shared" si="48"/>
        <v>24.291666666666668</v>
      </c>
      <c r="P73" s="138">
        <f t="shared" si="48"/>
        <v>16.5625</v>
      </c>
      <c r="Q73" s="138">
        <f t="shared" si="53"/>
        <v>18.770833333333332</v>
      </c>
      <c r="R73" s="138">
        <f t="shared" si="53"/>
        <v>26.5</v>
      </c>
      <c r="S73" s="139"/>
      <c r="T73" s="109">
        <v>53</v>
      </c>
      <c r="U73" s="109">
        <v>1</v>
      </c>
      <c r="V73" s="138">
        <f t="shared" si="49"/>
        <v>24.84375</v>
      </c>
      <c r="W73" s="138">
        <f t="shared" si="49"/>
        <v>13.25</v>
      </c>
      <c r="X73" s="138">
        <f t="shared" si="49"/>
        <v>29.8125</v>
      </c>
      <c r="Y73" s="138">
        <f t="shared" si="49"/>
        <v>26.5</v>
      </c>
      <c r="Z73" s="138">
        <f t="shared" si="49"/>
        <v>66.25</v>
      </c>
      <c r="AA73" s="138">
        <f t="shared" si="49"/>
        <v>85.020833333333329</v>
      </c>
      <c r="AB73" s="138">
        <f t="shared" si="49"/>
        <v>24.84375</v>
      </c>
      <c r="AC73" s="138">
        <f t="shared" si="49"/>
        <v>28.15625</v>
      </c>
      <c r="AD73" s="138">
        <f t="shared" si="50"/>
        <v>79.5</v>
      </c>
      <c r="AE73" s="139"/>
      <c r="AF73" s="109">
        <v>53</v>
      </c>
      <c r="AG73" s="109">
        <v>1</v>
      </c>
      <c r="AH73" s="138">
        <f t="shared" si="51"/>
        <v>31.0546875</v>
      </c>
      <c r="AI73" s="138">
        <f t="shared" si="51"/>
        <v>16.5625</v>
      </c>
      <c r="AJ73" s="138">
        <f t="shared" si="51"/>
        <v>29.8125</v>
      </c>
      <c r="AK73" s="138">
        <f t="shared" si="51"/>
        <v>26.5</v>
      </c>
      <c r="AL73" s="138">
        <f t="shared" si="51"/>
        <v>99.375</v>
      </c>
      <c r="AM73" s="138">
        <f t="shared" si="51"/>
        <v>127.53125</v>
      </c>
      <c r="AN73" s="138">
        <f t="shared" si="51"/>
        <v>24.84375</v>
      </c>
      <c r="AO73" s="138">
        <f t="shared" si="51"/>
        <v>8.8333333333333339</v>
      </c>
      <c r="AP73" s="138">
        <f t="shared" si="51"/>
        <v>22.083333333333332</v>
      </c>
      <c r="AQ73" s="138">
        <f t="shared" si="52"/>
        <v>42.234375</v>
      </c>
      <c r="AR73" s="138">
        <f t="shared" si="52"/>
        <v>119.25</v>
      </c>
      <c r="AW73" s="140"/>
      <c r="AX73" s="140"/>
      <c r="AY73" s="139"/>
      <c r="AZ73" s="139"/>
      <c r="BA73" s="139"/>
      <c r="BB73" s="139"/>
      <c r="BC73" s="139"/>
      <c r="BD73" s="139"/>
      <c r="BE73" s="139"/>
    </row>
    <row r="74" spans="8:57">
      <c r="H74" s="109">
        <v>54</v>
      </c>
      <c r="I74" s="109">
        <v>1</v>
      </c>
      <c r="J74" s="138">
        <f t="shared" si="48"/>
        <v>20.25</v>
      </c>
      <c r="K74" s="138">
        <f t="shared" si="48"/>
        <v>9</v>
      </c>
      <c r="L74" s="138">
        <f t="shared" si="48"/>
        <v>20.25</v>
      </c>
      <c r="M74" s="138">
        <f t="shared" si="48"/>
        <v>18</v>
      </c>
      <c r="N74" s="138">
        <f t="shared" si="48"/>
        <v>22.5</v>
      </c>
      <c r="O74" s="138">
        <f t="shared" si="48"/>
        <v>24.75</v>
      </c>
      <c r="P74" s="138">
        <f t="shared" si="48"/>
        <v>16.875</v>
      </c>
      <c r="Q74" s="138">
        <f t="shared" si="53"/>
        <v>19.125</v>
      </c>
      <c r="R74" s="138">
        <f t="shared" si="53"/>
        <v>27</v>
      </c>
      <c r="S74" s="139"/>
      <c r="T74" s="109">
        <v>54</v>
      </c>
      <c r="U74" s="109">
        <v>1</v>
      </c>
      <c r="V74" s="138">
        <f t="shared" si="49"/>
        <v>25.3125</v>
      </c>
      <c r="W74" s="138">
        <f t="shared" si="49"/>
        <v>13.5</v>
      </c>
      <c r="X74" s="138">
        <f t="shared" si="49"/>
        <v>30.375</v>
      </c>
      <c r="Y74" s="138">
        <f t="shared" si="49"/>
        <v>27</v>
      </c>
      <c r="Z74" s="138">
        <f t="shared" si="49"/>
        <v>67.5</v>
      </c>
      <c r="AA74" s="138">
        <f t="shared" si="49"/>
        <v>86.625</v>
      </c>
      <c r="AB74" s="138">
        <f t="shared" si="49"/>
        <v>25.3125</v>
      </c>
      <c r="AC74" s="138">
        <f t="shared" si="49"/>
        <v>28.6875</v>
      </c>
      <c r="AD74" s="138">
        <f t="shared" si="50"/>
        <v>81</v>
      </c>
      <c r="AE74" s="139"/>
      <c r="AF74" s="109">
        <v>54</v>
      </c>
      <c r="AG74" s="109">
        <v>1</v>
      </c>
      <c r="AH74" s="138">
        <f t="shared" si="51"/>
        <v>31.640625</v>
      </c>
      <c r="AI74" s="138">
        <f t="shared" si="51"/>
        <v>16.875</v>
      </c>
      <c r="AJ74" s="138">
        <f t="shared" si="51"/>
        <v>30.375</v>
      </c>
      <c r="AK74" s="138">
        <f t="shared" si="51"/>
        <v>27</v>
      </c>
      <c r="AL74" s="138">
        <f t="shared" si="51"/>
        <v>101.25</v>
      </c>
      <c r="AM74" s="138">
        <f t="shared" si="51"/>
        <v>129.9375</v>
      </c>
      <c r="AN74" s="138">
        <f t="shared" si="51"/>
        <v>25.3125</v>
      </c>
      <c r="AO74" s="138">
        <f t="shared" si="51"/>
        <v>9</v>
      </c>
      <c r="AP74" s="138">
        <f t="shared" si="51"/>
        <v>22.5</v>
      </c>
      <c r="AQ74" s="138">
        <f t="shared" si="52"/>
        <v>43.03125</v>
      </c>
      <c r="AR74" s="138">
        <f t="shared" si="52"/>
        <v>121.5</v>
      </c>
      <c r="AW74" s="140"/>
      <c r="AX74" s="140"/>
      <c r="AY74" s="139"/>
      <c r="AZ74" s="139"/>
      <c r="BA74" s="139"/>
      <c r="BB74" s="139"/>
      <c r="BC74" s="139"/>
      <c r="BD74" s="139"/>
      <c r="BE74" s="139"/>
    </row>
    <row r="75" spans="8:57">
      <c r="H75" s="109">
        <v>55</v>
      </c>
      <c r="I75" s="109">
        <v>1</v>
      </c>
      <c r="J75" s="138">
        <f t="shared" si="48"/>
        <v>20.625</v>
      </c>
      <c r="K75" s="138">
        <f t="shared" si="48"/>
        <v>9.1666666666666661</v>
      </c>
      <c r="L75" s="138">
        <f t="shared" si="48"/>
        <v>20.625</v>
      </c>
      <c r="M75" s="138">
        <f t="shared" si="48"/>
        <v>18.333333333333332</v>
      </c>
      <c r="N75" s="138">
        <f t="shared" si="48"/>
        <v>22.916666666666668</v>
      </c>
      <c r="O75" s="138">
        <f t="shared" si="48"/>
        <v>25.208333333333332</v>
      </c>
      <c r="P75" s="138">
        <f t="shared" si="48"/>
        <v>17.1875</v>
      </c>
      <c r="Q75" s="138">
        <f t="shared" si="53"/>
        <v>19.479166666666668</v>
      </c>
      <c r="R75" s="138">
        <f t="shared" si="53"/>
        <v>27.5</v>
      </c>
      <c r="S75" s="139"/>
      <c r="T75" s="109">
        <v>55</v>
      </c>
      <c r="U75" s="109">
        <v>1</v>
      </c>
      <c r="V75" s="138">
        <f t="shared" si="49"/>
        <v>25.78125</v>
      </c>
      <c r="W75" s="138">
        <f t="shared" si="49"/>
        <v>13.75</v>
      </c>
      <c r="X75" s="138">
        <f t="shared" si="49"/>
        <v>30.9375</v>
      </c>
      <c r="Y75" s="138">
        <f t="shared" si="49"/>
        <v>27.5</v>
      </c>
      <c r="Z75" s="138">
        <f t="shared" si="49"/>
        <v>68.75</v>
      </c>
      <c r="AA75" s="138">
        <f t="shared" si="49"/>
        <v>88.229166666666671</v>
      </c>
      <c r="AB75" s="138">
        <f t="shared" si="49"/>
        <v>25.78125</v>
      </c>
      <c r="AC75" s="138">
        <f t="shared" si="49"/>
        <v>29.21875</v>
      </c>
      <c r="AD75" s="138">
        <f t="shared" si="50"/>
        <v>82.5</v>
      </c>
      <c r="AE75" s="139"/>
      <c r="AF75" s="109">
        <v>55</v>
      </c>
      <c r="AG75" s="109">
        <v>1</v>
      </c>
      <c r="AH75" s="138">
        <f t="shared" si="51"/>
        <v>32.2265625</v>
      </c>
      <c r="AI75" s="138">
        <f t="shared" si="51"/>
        <v>17.1875</v>
      </c>
      <c r="AJ75" s="138">
        <f t="shared" si="51"/>
        <v>30.9375</v>
      </c>
      <c r="AK75" s="138">
        <f t="shared" si="51"/>
        <v>27.5</v>
      </c>
      <c r="AL75" s="138">
        <f t="shared" si="51"/>
        <v>103.125</v>
      </c>
      <c r="AM75" s="138">
        <f t="shared" si="51"/>
        <v>132.34375</v>
      </c>
      <c r="AN75" s="138">
        <f t="shared" si="51"/>
        <v>25.78125</v>
      </c>
      <c r="AO75" s="138">
        <f t="shared" si="51"/>
        <v>9.1666666666666661</v>
      </c>
      <c r="AP75" s="138">
        <f t="shared" si="51"/>
        <v>22.916666666666668</v>
      </c>
      <c r="AQ75" s="138">
        <f t="shared" si="52"/>
        <v>43.828125</v>
      </c>
      <c r="AR75" s="138">
        <f t="shared" si="52"/>
        <v>123.75</v>
      </c>
      <c r="AW75" s="140"/>
      <c r="AX75" s="140"/>
      <c r="AY75" s="139"/>
      <c r="AZ75" s="139"/>
      <c r="BA75" s="139"/>
      <c r="BB75" s="139"/>
      <c r="BC75" s="139"/>
      <c r="BD75" s="139"/>
      <c r="BE75" s="139"/>
    </row>
    <row r="76" spans="8:57">
      <c r="H76" s="109">
        <v>56</v>
      </c>
      <c r="I76" s="109">
        <v>1</v>
      </c>
      <c r="J76" s="138">
        <f t="shared" si="48"/>
        <v>21</v>
      </c>
      <c r="K76" s="138">
        <f t="shared" si="48"/>
        <v>9.3333333333333339</v>
      </c>
      <c r="L76" s="138">
        <f t="shared" si="48"/>
        <v>21</v>
      </c>
      <c r="M76" s="138">
        <f t="shared" si="48"/>
        <v>18.666666666666668</v>
      </c>
      <c r="N76" s="138">
        <f t="shared" si="48"/>
        <v>23.333333333333332</v>
      </c>
      <c r="O76" s="138">
        <f t="shared" si="48"/>
        <v>25.666666666666668</v>
      </c>
      <c r="P76" s="138">
        <f t="shared" si="48"/>
        <v>17.5</v>
      </c>
      <c r="Q76" s="138">
        <f t="shared" si="53"/>
        <v>19.833333333333332</v>
      </c>
      <c r="R76" s="138">
        <f t="shared" si="53"/>
        <v>28</v>
      </c>
      <c r="S76" s="139"/>
      <c r="T76" s="109">
        <v>56</v>
      </c>
      <c r="U76" s="109">
        <v>1</v>
      </c>
      <c r="V76" s="138">
        <f t="shared" si="49"/>
        <v>26.25</v>
      </c>
      <c r="W76" s="138">
        <f t="shared" si="49"/>
        <v>14</v>
      </c>
      <c r="X76" s="138">
        <f t="shared" si="49"/>
        <v>31.5</v>
      </c>
      <c r="Y76" s="138">
        <f t="shared" si="49"/>
        <v>28</v>
      </c>
      <c r="Z76" s="138">
        <f t="shared" si="49"/>
        <v>70</v>
      </c>
      <c r="AA76" s="138">
        <f t="shared" si="49"/>
        <v>89.833333333333329</v>
      </c>
      <c r="AB76" s="138">
        <f t="shared" si="49"/>
        <v>26.25</v>
      </c>
      <c r="AC76" s="138">
        <f t="shared" si="49"/>
        <v>29.75</v>
      </c>
      <c r="AD76" s="138">
        <f t="shared" si="50"/>
        <v>84</v>
      </c>
      <c r="AE76" s="139"/>
      <c r="AF76" s="109">
        <v>56</v>
      </c>
      <c r="AG76" s="109">
        <v>1</v>
      </c>
      <c r="AH76" s="138">
        <f t="shared" si="51"/>
        <v>32.8125</v>
      </c>
      <c r="AI76" s="138">
        <f t="shared" si="51"/>
        <v>17.5</v>
      </c>
      <c r="AJ76" s="138">
        <f t="shared" si="51"/>
        <v>31.5</v>
      </c>
      <c r="AK76" s="138">
        <f t="shared" si="51"/>
        <v>28</v>
      </c>
      <c r="AL76" s="138">
        <f t="shared" si="51"/>
        <v>105</v>
      </c>
      <c r="AM76" s="138">
        <f t="shared" si="51"/>
        <v>134.75</v>
      </c>
      <c r="AN76" s="138">
        <f t="shared" si="51"/>
        <v>26.25</v>
      </c>
      <c r="AO76" s="138">
        <f t="shared" si="51"/>
        <v>9.3333333333333339</v>
      </c>
      <c r="AP76" s="138">
        <f t="shared" si="51"/>
        <v>23.333333333333332</v>
      </c>
      <c r="AQ76" s="138">
        <f t="shared" si="52"/>
        <v>44.625</v>
      </c>
      <c r="AR76" s="138">
        <f t="shared" si="52"/>
        <v>126</v>
      </c>
      <c r="AW76" s="140"/>
      <c r="AX76" s="140"/>
      <c r="AY76" s="139"/>
      <c r="AZ76" s="139"/>
      <c r="BA76" s="139"/>
      <c r="BB76" s="139"/>
      <c r="BC76" s="139"/>
      <c r="BD76" s="139"/>
      <c r="BE76" s="139"/>
    </row>
    <row r="77" spans="8:57">
      <c r="H77" s="109">
        <v>57</v>
      </c>
      <c r="I77" s="109">
        <v>1</v>
      </c>
      <c r="J77" s="138">
        <f t="shared" si="48"/>
        <v>21.375</v>
      </c>
      <c r="K77" s="138">
        <f t="shared" si="48"/>
        <v>9.5</v>
      </c>
      <c r="L77" s="138">
        <f t="shared" si="48"/>
        <v>21.375</v>
      </c>
      <c r="M77" s="138">
        <f t="shared" si="48"/>
        <v>19</v>
      </c>
      <c r="N77" s="138">
        <f t="shared" si="48"/>
        <v>23.75</v>
      </c>
      <c r="O77" s="138">
        <f t="shared" si="48"/>
        <v>26.125</v>
      </c>
      <c r="P77" s="138">
        <f t="shared" si="48"/>
        <v>17.8125</v>
      </c>
      <c r="Q77" s="138">
        <f t="shared" si="53"/>
        <v>20.1875</v>
      </c>
      <c r="R77" s="138">
        <f t="shared" si="53"/>
        <v>28.5</v>
      </c>
      <c r="S77" s="139"/>
      <c r="T77" s="109">
        <v>57</v>
      </c>
      <c r="U77" s="109">
        <v>1</v>
      </c>
      <c r="V77" s="138">
        <f t="shared" si="49"/>
        <v>26.71875</v>
      </c>
      <c r="W77" s="138">
        <f t="shared" si="49"/>
        <v>14.25</v>
      </c>
      <c r="X77" s="138">
        <f t="shared" si="49"/>
        <v>32.0625</v>
      </c>
      <c r="Y77" s="138">
        <f t="shared" si="49"/>
        <v>28.5</v>
      </c>
      <c r="Z77" s="138">
        <f t="shared" si="49"/>
        <v>71.25</v>
      </c>
      <c r="AA77" s="138">
        <f t="shared" si="49"/>
        <v>91.4375</v>
      </c>
      <c r="AB77" s="138">
        <f t="shared" si="49"/>
        <v>26.71875</v>
      </c>
      <c r="AC77" s="138">
        <f t="shared" si="49"/>
        <v>30.28125</v>
      </c>
      <c r="AD77" s="138">
        <f t="shared" si="50"/>
        <v>85.5</v>
      </c>
      <c r="AE77" s="139"/>
      <c r="AF77" s="109">
        <v>57</v>
      </c>
      <c r="AG77" s="109">
        <v>1</v>
      </c>
      <c r="AH77" s="138">
        <f t="shared" si="51"/>
        <v>33.3984375</v>
      </c>
      <c r="AI77" s="138">
        <f t="shared" si="51"/>
        <v>17.8125</v>
      </c>
      <c r="AJ77" s="138">
        <f t="shared" si="51"/>
        <v>32.0625</v>
      </c>
      <c r="AK77" s="138">
        <f t="shared" si="51"/>
        <v>28.5</v>
      </c>
      <c r="AL77" s="138">
        <f t="shared" si="51"/>
        <v>106.875</v>
      </c>
      <c r="AM77" s="138">
        <f t="shared" si="51"/>
        <v>137.15625</v>
      </c>
      <c r="AN77" s="138">
        <f t="shared" si="51"/>
        <v>26.71875</v>
      </c>
      <c r="AO77" s="138">
        <f t="shared" si="51"/>
        <v>9.5</v>
      </c>
      <c r="AP77" s="138">
        <f t="shared" si="51"/>
        <v>23.75</v>
      </c>
      <c r="AQ77" s="138">
        <f t="shared" si="52"/>
        <v>45.421875</v>
      </c>
      <c r="AR77" s="138">
        <f t="shared" si="52"/>
        <v>128.25</v>
      </c>
      <c r="AW77" s="140"/>
      <c r="AX77" s="140"/>
      <c r="AY77" s="139"/>
      <c r="AZ77" s="139"/>
      <c r="BA77" s="139"/>
      <c r="BB77" s="139"/>
      <c r="BC77" s="139"/>
      <c r="BD77" s="139"/>
      <c r="BE77" s="139"/>
    </row>
    <row r="78" spans="8:57">
      <c r="H78" s="109">
        <v>58</v>
      </c>
      <c r="I78" s="109">
        <v>1</v>
      </c>
      <c r="J78" s="138">
        <f t="shared" si="48"/>
        <v>21.75</v>
      </c>
      <c r="K78" s="138">
        <f t="shared" si="48"/>
        <v>9.6666666666666661</v>
      </c>
      <c r="L78" s="138">
        <f t="shared" si="48"/>
        <v>21.75</v>
      </c>
      <c r="M78" s="138">
        <f t="shared" si="48"/>
        <v>19.333333333333332</v>
      </c>
      <c r="N78" s="138">
        <f t="shared" si="48"/>
        <v>24.166666666666668</v>
      </c>
      <c r="O78" s="138">
        <f t="shared" si="48"/>
        <v>26.583333333333332</v>
      </c>
      <c r="P78" s="138">
        <f t="shared" si="48"/>
        <v>18.125</v>
      </c>
      <c r="Q78" s="138">
        <f t="shared" si="53"/>
        <v>20.541666666666668</v>
      </c>
      <c r="R78" s="138">
        <f t="shared" si="53"/>
        <v>29</v>
      </c>
      <c r="S78" s="139"/>
      <c r="T78" s="109">
        <v>58</v>
      </c>
      <c r="U78" s="109">
        <v>1</v>
      </c>
      <c r="V78" s="138">
        <f t="shared" si="49"/>
        <v>27.1875</v>
      </c>
      <c r="W78" s="138">
        <f t="shared" si="49"/>
        <v>14.5</v>
      </c>
      <c r="X78" s="138">
        <f t="shared" si="49"/>
        <v>32.625</v>
      </c>
      <c r="Y78" s="138">
        <f t="shared" si="49"/>
        <v>29</v>
      </c>
      <c r="Z78" s="138">
        <f t="shared" si="49"/>
        <v>72.5</v>
      </c>
      <c r="AA78" s="138">
        <f t="shared" si="49"/>
        <v>93.041666666666671</v>
      </c>
      <c r="AB78" s="138">
        <f t="shared" si="49"/>
        <v>27.1875</v>
      </c>
      <c r="AC78" s="138">
        <f t="shared" si="49"/>
        <v>30.8125</v>
      </c>
      <c r="AD78" s="138">
        <f t="shared" si="50"/>
        <v>87</v>
      </c>
      <c r="AE78" s="139"/>
      <c r="AF78" s="109">
        <v>58</v>
      </c>
      <c r="AG78" s="109">
        <v>1</v>
      </c>
      <c r="AH78" s="138">
        <f t="shared" si="51"/>
        <v>33.984375</v>
      </c>
      <c r="AI78" s="138">
        <f t="shared" si="51"/>
        <v>18.125</v>
      </c>
      <c r="AJ78" s="138">
        <f t="shared" si="51"/>
        <v>32.625</v>
      </c>
      <c r="AK78" s="138">
        <f t="shared" si="51"/>
        <v>29</v>
      </c>
      <c r="AL78" s="138">
        <f t="shared" si="51"/>
        <v>108.75</v>
      </c>
      <c r="AM78" s="138">
        <f t="shared" si="51"/>
        <v>139.5625</v>
      </c>
      <c r="AN78" s="138">
        <f t="shared" si="51"/>
        <v>27.1875</v>
      </c>
      <c r="AO78" s="138">
        <f t="shared" si="51"/>
        <v>9.6666666666666661</v>
      </c>
      <c r="AP78" s="138">
        <f t="shared" si="51"/>
        <v>24.166666666666668</v>
      </c>
      <c r="AQ78" s="138">
        <f t="shared" si="52"/>
        <v>46.21875</v>
      </c>
      <c r="AR78" s="138">
        <f t="shared" si="52"/>
        <v>130.5</v>
      </c>
      <c r="AW78" s="140"/>
      <c r="AX78" s="140"/>
      <c r="AY78" s="139"/>
      <c r="AZ78" s="139"/>
      <c r="BA78" s="139"/>
      <c r="BB78" s="139"/>
      <c r="BC78" s="139"/>
      <c r="BD78" s="139"/>
      <c r="BE78" s="139"/>
    </row>
    <row r="79" spans="8:57">
      <c r="H79" s="109">
        <v>59</v>
      </c>
      <c r="I79" s="109">
        <v>1</v>
      </c>
      <c r="J79" s="138">
        <f t="shared" si="48"/>
        <v>22.125</v>
      </c>
      <c r="K79" s="138">
        <f t="shared" si="48"/>
        <v>9.8333333333333339</v>
      </c>
      <c r="L79" s="138">
        <f t="shared" si="48"/>
        <v>22.125</v>
      </c>
      <c r="M79" s="138">
        <f t="shared" si="48"/>
        <v>19.666666666666668</v>
      </c>
      <c r="N79" s="138">
        <f t="shared" si="48"/>
        <v>24.583333333333332</v>
      </c>
      <c r="O79" s="138">
        <f t="shared" si="48"/>
        <v>27.041666666666668</v>
      </c>
      <c r="P79" s="138">
        <f t="shared" si="48"/>
        <v>18.4375</v>
      </c>
      <c r="Q79" s="138">
        <f t="shared" si="53"/>
        <v>20.895833333333332</v>
      </c>
      <c r="R79" s="138">
        <f t="shared" si="53"/>
        <v>29.5</v>
      </c>
      <c r="S79" s="139"/>
      <c r="T79" s="109">
        <v>59</v>
      </c>
      <c r="U79" s="109">
        <v>1</v>
      </c>
      <c r="V79" s="138">
        <f t="shared" si="49"/>
        <v>27.65625</v>
      </c>
      <c r="W79" s="138">
        <f t="shared" si="49"/>
        <v>14.75</v>
      </c>
      <c r="X79" s="138">
        <f t="shared" si="49"/>
        <v>33.1875</v>
      </c>
      <c r="Y79" s="138">
        <f t="shared" si="49"/>
        <v>29.5</v>
      </c>
      <c r="Z79" s="138">
        <f t="shared" si="49"/>
        <v>73.75</v>
      </c>
      <c r="AA79" s="138">
        <f t="shared" si="49"/>
        <v>94.645833333333329</v>
      </c>
      <c r="AB79" s="138">
        <f t="shared" si="49"/>
        <v>27.65625</v>
      </c>
      <c r="AC79" s="138">
        <f t="shared" si="49"/>
        <v>31.34375</v>
      </c>
      <c r="AD79" s="138">
        <f t="shared" si="50"/>
        <v>88.5</v>
      </c>
      <c r="AE79" s="139"/>
      <c r="AF79" s="109">
        <v>59</v>
      </c>
      <c r="AG79" s="109">
        <v>1</v>
      </c>
      <c r="AH79" s="138">
        <f t="shared" si="51"/>
        <v>34.5703125</v>
      </c>
      <c r="AI79" s="138">
        <f t="shared" si="51"/>
        <v>18.4375</v>
      </c>
      <c r="AJ79" s="138">
        <f t="shared" si="51"/>
        <v>33.1875</v>
      </c>
      <c r="AK79" s="138">
        <f t="shared" si="51"/>
        <v>29.5</v>
      </c>
      <c r="AL79" s="138">
        <f t="shared" si="51"/>
        <v>110.625</v>
      </c>
      <c r="AM79" s="138">
        <f t="shared" si="51"/>
        <v>141.96875</v>
      </c>
      <c r="AN79" s="138">
        <f t="shared" si="51"/>
        <v>27.65625</v>
      </c>
      <c r="AO79" s="138">
        <f t="shared" si="51"/>
        <v>9.8333333333333339</v>
      </c>
      <c r="AP79" s="138">
        <f t="shared" si="51"/>
        <v>24.583333333333332</v>
      </c>
      <c r="AQ79" s="138">
        <f t="shared" si="52"/>
        <v>47.015625</v>
      </c>
      <c r="AR79" s="138">
        <f t="shared" si="52"/>
        <v>132.75</v>
      </c>
      <c r="AW79" s="140"/>
      <c r="AX79" s="140"/>
      <c r="AY79" s="139"/>
      <c r="AZ79" s="139"/>
      <c r="BA79" s="139"/>
      <c r="BB79" s="139"/>
      <c r="BC79" s="139"/>
      <c r="BD79" s="139"/>
      <c r="BE79" s="139"/>
    </row>
    <row r="80" spans="8:57">
      <c r="H80" s="109">
        <v>60</v>
      </c>
      <c r="I80" s="109">
        <v>1</v>
      </c>
      <c r="J80" s="138">
        <f t="shared" si="48"/>
        <v>22.5</v>
      </c>
      <c r="K80" s="138">
        <f t="shared" si="48"/>
        <v>10</v>
      </c>
      <c r="L80" s="138">
        <f t="shared" si="48"/>
        <v>22.5</v>
      </c>
      <c r="M80" s="138">
        <f t="shared" si="48"/>
        <v>20</v>
      </c>
      <c r="N80" s="138">
        <f t="shared" si="48"/>
        <v>25</v>
      </c>
      <c r="O80" s="138">
        <f t="shared" si="48"/>
        <v>27.5</v>
      </c>
      <c r="P80" s="138">
        <f t="shared" si="48"/>
        <v>18.75</v>
      </c>
      <c r="Q80" s="138">
        <f t="shared" si="53"/>
        <v>21.25</v>
      </c>
      <c r="R80" s="138">
        <f t="shared" si="53"/>
        <v>30</v>
      </c>
      <c r="S80" s="139"/>
      <c r="T80" s="109">
        <v>60</v>
      </c>
      <c r="U80" s="109">
        <v>1</v>
      </c>
      <c r="V80" s="138">
        <f t="shared" si="49"/>
        <v>28.125</v>
      </c>
      <c r="W80" s="138">
        <f t="shared" si="49"/>
        <v>15</v>
      </c>
      <c r="X80" s="138">
        <f t="shared" si="49"/>
        <v>33.75</v>
      </c>
      <c r="Y80" s="138">
        <f t="shared" si="49"/>
        <v>30</v>
      </c>
      <c r="Z80" s="138">
        <f t="shared" si="49"/>
        <v>75</v>
      </c>
      <c r="AA80" s="138">
        <f t="shared" si="49"/>
        <v>96.25</v>
      </c>
      <c r="AB80" s="138">
        <f t="shared" si="49"/>
        <v>28.125</v>
      </c>
      <c r="AC80" s="138">
        <f t="shared" si="49"/>
        <v>31.875</v>
      </c>
      <c r="AD80" s="138">
        <f t="shared" si="50"/>
        <v>90</v>
      </c>
      <c r="AE80" s="139"/>
      <c r="AF80" s="109">
        <v>60</v>
      </c>
      <c r="AG80" s="109">
        <v>1</v>
      </c>
      <c r="AH80" s="138">
        <f t="shared" si="51"/>
        <v>35.15625</v>
      </c>
      <c r="AI80" s="138">
        <f t="shared" si="51"/>
        <v>18.75</v>
      </c>
      <c r="AJ80" s="138">
        <f t="shared" si="51"/>
        <v>33.75</v>
      </c>
      <c r="AK80" s="138">
        <f t="shared" si="51"/>
        <v>30</v>
      </c>
      <c r="AL80" s="138">
        <f t="shared" si="51"/>
        <v>112.5</v>
      </c>
      <c r="AM80" s="138">
        <f t="shared" si="51"/>
        <v>144.375</v>
      </c>
      <c r="AN80" s="138">
        <f t="shared" si="51"/>
        <v>28.125</v>
      </c>
      <c r="AO80" s="138">
        <f t="shared" si="51"/>
        <v>10</v>
      </c>
      <c r="AP80" s="138">
        <f t="shared" si="51"/>
        <v>25</v>
      </c>
      <c r="AQ80" s="138">
        <f t="shared" si="52"/>
        <v>47.8125</v>
      </c>
      <c r="AR80" s="138">
        <f t="shared" si="52"/>
        <v>135</v>
      </c>
      <c r="AW80" s="140"/>
      <c r="AX80" s="140"/>
      <c r="AY80" s="139"/>
      <c r="AZ80" s="139"/>
      <c r="BA80" s="139"/>
      <c r="BB80" s="139"/>
      <c r="BC80" s="139"/>
      <c r="BD80" s="139"/>
      <c r="BE80" s="139"/>
    </row>
    <row r="81" spans="8:57">
      <c r="H81" s="109">
        <v>61</v>
      </c>
      <c r="I81" s="109">
        <v>1</v>
      </c>
      <c r="J81" s="138">
        <f t="shared" si="48"/>
        <v>22.875</v>
      </c>
      <c r="K81" s="138">
        <f t="shared" si="48"/>
        <v>10.166666666666666</v>
      </c>
      <c r="L81" s="138">
        <f t="shared" si="48"/>
        <v>22.875</v>
      </c>
      <c r="M81" s="138">
        <f t="shared" si="48"/>
        <v>20.333333333333332</v>
      </c>
      <c r="N81" s="138">
        <f t="shared" si="48"/>
        <v>25.416666666666668</v>
      </c>
      <c r="O81" s="138">
        <f t="shared" si="48"/>
        <v>27.958333333333332</v>
      </c>
      <c r="P81" s="138">
        <f t="shared" si="48"/>
        <v>19.0625</v>
      </c>
      <c r="Q81" s="138">
        <f t="shared" si="53"/>
        <v>21.604166666666668</v>
      </c>
      <c r="R81" s="138">
        <f t="shared" si="53"/>
        <v>30.5</v>
      </c>
      <c r="S81" s="139"/>
      <c r="T81" s="109">
        <v>61</v>
      </c>
      <c r="U81" s="109">
        <v>1</v>
      </c>
      <c r="V81" s="138">
        <f t="shared" si="49"/>
        <v>28.59375</v>
      </c>
      <c r="W81" s="138">
        <f t="shared" si="49"/>
        <v>15.25</v>
      </c>
      <c r="X81" s="138">
        <f t="shared" si="49"/>
        <v>34.3125</v>
      </c>
      <c r="Y81" s="138">
        <f t="shared" si="49"/>
        <v>30.5</v>
      </c>
      <c r="Z81" s="138">
        <f t="shared" si="49"/>
        <v>76.25</v>
      </c>
      <c r="AA81" s="138">
        <f t="shared" si="49"/>
        <v>97.854166666666671</v>
      </c>
      <c r="AB81" s="138">
        <f t="shared" si="49"/>
        <v>28.59375</v>
      </c>
      <c r="AC81" s="138">
        <f t="shared" si="49"/>
        <v>32.40625</v>
      </c>
      <c r="AD81" s="138">
        <f t="shared" si="50"/>
        <v>91.5</v>
      </c>
      <c r="AE81" s="139"/>
      <c r="AF81" s="109">
        <v>61</v>
      </c>
      <c r="AG81" s="109">
        <v>1</v>
      </c>
      <c r="AH81" s="138">
        <f t="shared" si="51"/>
        <v>35.7421875</v>
      </c>
      <c r="AI81" s="138">
        <f t="shared" si="51"/>
        <v>19.0625</v>
      </c>
      <c r="AJ81" s="138">
        <f t="shared" si="51"/>
        <v>34.3125</v>
      </c>
      <c r="AK81" s="138">
        <f t="shared" si="51"/>
        <v>30.5</v>
      </c>
      <c r="AL81" s="138">
        <f t="shared" si="51"/>
        <v>114.375</v>
      </c>
      <c r="AM81" s="138">
        <f t="shared" si="51"/>
        <v>146.78125</v>
      </c>
      <c r="AN81" s="138">
        <f t="shared" si="51"/>
        <v>28.59375</v>
      </c>
      <c r="AO81" s="138">
        <f t="shared" si="51"/>
        <v>10.166666666666666</v>
      </c>
      <c r="AP81" s="138">
        <f t="shared" si="51"/>
        <v>25.416666666666668</v>
      </c>
      <c r="AQ81" s="138">
        <f t="shared" si="52"/>
        <v>48.609375</v>
      </c>
      <c r="AR81" s="138">
        <f t="shared" si="52"/>
        <v>137.25</v>
      </c>
      <c r="AW81" s="140"/>
      <c r="AX81" s="140"/>
      <c r="AY81" s="139"/>
      <c r="AZ81" s="139"/>
      <c r="BA81" s="139"/>
      <c r="BB81" s="139"/>
      <c r="BC81" s="139"/>
      <c r="BD81" s="139"/>
      <c r="BE81" s="139"/>
    </row>
    <row r="82" spans="8:57">
      <c r="H82" s="109">
        <v>62</v>
      </c>
      <c r="I82" s="109">
        <v>1</v>
      </c>
      <c r="J82" s="138">
        <f t="shared" si="48"/>
        <v>23.25</v>
      </c>
      <c r="K82" s="138">
        <f t="shared" si="48"/>
        <v>10.333333333333334</v>
      </c>
      <c r="L82" s="138">
        <f t="shared" si="48"/>
        <v>23.25</v>
      </c>
      <c r="M82" s="138">
        <f t="shared" si="48"/>
        <v>20.666666666666668</v>
      </c>
      <c r="N82" s="138">
        <f t="shared" si="48"/>
        <v>25.833333333333332</v>
      </c>
      <c r="O82" s="138">
        <f t="shared" si="48"/>
        <v>28.416666666666668</v>
      </c>
      <c r="P82" s="138">
        <f t="shared" si="48"/>
        <v>19.375</v>
      </c>
      <c r="Q82" s="138">
        <f t="shared" si="53"/>
        <v>21.958333333333332</v>
      </c>
      <c r="R82" s="138">
        <f t="shared" si="53"/>
        <v>31</v>
      </c>
      <c r="S82" s="139"/>
      <c r="T82" s="109">
        <v>62</v>
      </c>
      <c r="U82" s="109">
        <v>1</v>
      </c>
      <c r="V82" s="138">
        <f t="shared" si="49"/>
        <v>29.0625</v>
      </c>
      <c r="W82" s="138">
        <f t="shared" si="49"/>
        <v>15.5</v>
      </c>
      <c r="X82" s="138">
        <f t="shared" si="49"/>
        <v>34.875</v>
      </c>
      <c r="Y82" s="138">
        <f t="shared" si="49"/>
        <v>31</v>
      </c>
      <c r="Z82" s="138">
        <f t="shared" si="49"/>
        <v>77.5</v>
      </c>
      <c r="AA82" s="138">
        <f t="shared" si="49"/>
        <v>99.458333333333329</v>
      </c>
      <c r="AB82" s="138">
        <f t="shared" si="49"/>
        <v>29.0625</v>
      </c>
      <c r="AC82" s="138">
        <f t="shared" si="49"/>
        <v>32.9375</v>
      </c>
      <c r="AD82" s="138">
        <f t="shared" si="50"/>
        <v>93</v>
      </c>
      <c r="AE82" s="139"/>
      <c r="AF82" s="109">
        <v>62</v>
      </c>
      <c r="AG82" s="109">
        <v>1</v>
      </c>
      <c r="AH82" s="138">
        <f t="shared" si="51"/>
        <v>36.328125</v>
      </c>
      <c r="AI82" s="138">
        <f t="shared" si="51"/>
        <v>19.375</v>
      </c>
      <c r="AJ82" s="138">
        <f t="shared" si="51"/>
        <v>34.875</v>
      </c>
      <c r="AK82" s="138">
        <f t="shared" ref="AI82:AP114" si="54">+AK$18*$AF82/12*$AG82</f>
        <v>31</v>
      </c>
      <c r="AL82" s="138">
        <f t="shared" si="54"/>
        <v>116.25</v>
      </c>
      <c r="AM82" s="138">
        <f t="shared" si="54"/>
        <v>149.1875</v>
      </c>
      <c r="AN82" s="138">
        <f t="shared" si="54"/>
        <v>29.0625</v>
      </c>
      <c r="AO82" s="138">
        <f t="shared" si="54"/>
        <v>10.333333333333334</v>
      </c>
      <c r="AP82" s="138">
        <f t="shared" si="54"/>
        <v>25.833333333333332</v>
      </c>
      <c r="AQ82" s="138">
        <f t="shared" si="52"/>
        <v>49.40625</v>
      </c>
      <c r="AR82" s="138">
        <f t="shared" si="52"/>
        <v>139.5</v>
      </c>
      <c r="AW82" s="140"/>
      <c r="AX82" s="140"/>
      <c r="AY82" s="139"/>
      <c r="AZ82" s="139"/>
      <c r="BA82" s="139"/>
      <c r="BB82" s="139"/>
      <c r="BC82" s="139"/>
      <c r="BD82" s="139"/>
      <c r="BE82" s="139"/>
    </row>
    <row r="83" spans="8:57">
      <c r="H83" s="109">
        <v>63</v>
      </c>
      <c r="I83" s="109">
        <v>1</v>
      </c>
      <c r="J83" s="138">
        <f t="shared" si="48"/>
        <v>23.625</v>
      </c>
      <c r="K83" s="138">
        <f t="shared" si="48"/>
        <v>10.5</v>
      </c>
      <c r="L83" s="138">
        <f t="shared" si="48"/>
        <v>23.625</v>
      </c>
      <c r="M83" s="138">
        <f t="shared" si="48"/>
        <v>21</v>
      </c>
      <c r="N83" s="138">
        <f t="shared" si="48"/>
        <v>26.25</v>
      </c>
      <c r="O83" s="138">
        <f t="shared" si="48"/>
        <v>28.875</v>
      </c>
      <c r="P83" s="138">
        <f t="shared" si="48"/>
        <v>19.6875</v>
      </c>
      <c r="Q83" s="138">
        <f t="shared" si="53"/>
        <v>22.3125</v>
      </c>
      <c r="R83" s="138">
        <f t="shared" si="53"/>
        <v>31.5</v>
      </c>
      <c r="S83" s="139"/>
      <c r="T83" s="109">
        <v>63</v>
      </c>
      <c r="U83" s="109">
        <v>1</v>
      </c>
      <c r="V83" s="138">
        <f t="shared" si="49"/>
        <v>29.53125</v>
      </c>
      <c r="W83" s="138">
        <f t="shared" si="49"/>
        <v>15.75</v>
      </c>
      <c r="X83" s="138">
        <f t="shared" si="49"/>
        <v>35.4375</v>
      </c>
      <c r="Y83" s="138">
        <f t="shared" si="49"/>
        <v>31.5</v>
      </c>
      <c r="Z83" s="138">
        <f t="shared" si="49"/>
        <v>78.75</v>
      </c>
      <c r="AA83" s="138">
        <f t="shared" si="49"/>
        <v>101.0625</v>
      </c>
      <c r="AB83" s="138">
        <f t="shared" si="49"/>
        <v>29.53125</v>
      </c>
      <c r="AC83" s="138">
        <f t="shared" si="49"/>
        <v>33.46875</v>
      </c>
      <c r="AD83" s="138">
        <f t="shared" si="50"/>
        <v>94.5</v>
      </c>
      <c r="AE83" s="139"/>
      <c r="AF83" s="109">
        <v>63</v>
      </c>
      <c r="AG83" s="109">
        <v>1</v>
      </c>
      <c r="AH83" s="138">
        <f t="shared" ref="AH83:AH120" si="55">+AH$18*$AF83/12*$AG83</f>
        <v>36.9140625</v>
      </c>
      <c r="AI83" s="138">
        <f t="shared" si="54"/>
        <v>19.6875</v>
      </c>
      <c r="AJ83" s="138">
        <f t="shared" si="54"/>
        <v>35.4375</v>
      </c>
      <c r="AK83" s="138">
        <f t="shared" si="54"/>
        <v>31.5</v>
      </c>
      <c r="AL83" s="138">
        <f t="shared" si="54"/>
        <v>118.125</v>
      </c>
      <c r="AM83" s="138">
        <f t="shared" si="54"/>
        <v>151.59375</v>
      </c>
      <c r="AN83" s="138">
        <f t="shared" si="54"/>
        <v>29.53125</v>
      </c>
      <c r="AO83" s="138">
        <f t="shared" si="54"/>
        <v>10.5</v>
      </c>
      <c r="AP83" s="138">
        <f t="shared" si="54"/>
        <v>26.25</v>
      </c>
      <c r="AQ83" s="138">
        <f t="shared" si="52"/>
        <v>50.203125</v>
      </c>
      <c r="AR83" s="138">
        <f t="shared" si="52"/>
        <v>141.75</v>
      </c>
      <c r="AW83" s="140"/>
      <c r="AX83" s="140"/>
      <c r="AY83" s="139"/>
      <c r="AZ83" s="139"/>
      <c r="BA83" s="139"/>
      <c r="BB83" s="139"/>
      <c r="BC83" s="139"/>
      <c r="BD83" s="139"/>
      <c r="BE83" s="139"/>
    </row>
    <row r="84" spans="8:57">
      <c r="H84" s="109">
        <v>64</v>
      </c>
      <c r="I84" s="109">
        <v>1</v>
      </c>
      <c r="J84" s="138">
        <f t="shared" si="48"/>
        <v>24</v>
      </c>
      <c r="K84" s="138">
        <f t="shared" si="48"/>
        <v>10.666666666666666</v>
      </c>
      <c r="L84" s="138">
        <f t="shared" si="48"/>
        <v>24</v>
      </c>
      <c r="M84" s="138">
        <f t="shared" si="48"/>
        <v>21.333333333333332</v>
      </c>
      <c r="N84" s="138">
        <f t="shared" si="48"/>
        <v>26.666666666666668</v>
      </c>
      <c r="O84" s="138">
        <f t="shared" si="48"/>
        <v>29.333333333333332</v>
      </c>
      <c r="P84" s="138">
        <f t="shared" si="48"/>
        <v>20</v>
      </c>
      <c r="Q84" s="138">
        <f t="shared" si="53"/>
        <v>22.666666666666668</v>
      </c>
      <c r="R84" s="138">
        <f t="shared" si="53"/>
        <v>32</v>
      </c>
      <c r="S84" s="139"/>
      <c r="T84" s="109">
        <v>64</v>
      </c>
      <c r="U84" s="109">
        <v>1</v>
      </c>
      <c r="V84" s="138">
        <f t="shared" si="49"/>
        <v>30</v>
      </c>
      <c r="W84" s="138">
        <f t="shared" si="49"/>
        <v>16</v>
      </c>
      <c r="X84" s="138">
        <f t="shared" si="49"/>
        <v>36</v>
      </c>
      <c r="Y84" s="138">
        <f t="shared" si="49"/>
        <v>32</v>
      </c>
      <c r="Z84" s="138">
        <f t="shared" si="49"/>
        <v>80</v>
      </c>
      <c r="AA84" s="138">
        <f t="shared" si="49"/>
        <v>102.66666666666667</v>
      </c>
      <c r="AB84" s="138">
        <f t="shared" si="49"/>
        <v>30</v>
      </c>
      <c r="AC84" s="138">
        <f t="shared" si="49"/>
        <v>34</v>
      </c>
      <c r="AD84" s="138">
        <f t="shared" si="50"/>
        <v>96</v>
      </c>
      <c r="AE84" s="139"/>
      <c r="AF84" s="109">
        <v>64</v>
      </c>
      <c r="AG84" s="109">
        <v>1</v>
      </c>
      <c r="AH84" s="138">
        <f t="shared" si="55"/>
        <v>37.5</v>
      </c>
      <c r="AI84" s="138">
        <f t="shared" si="54"/>
        <v>20</v>
      </c>
      <c r="AJ84" s="138">
        <f t="shared" si="54"/>
        <v>36</v>
      </c>
      <c r="AK84" s="138">
        <f t="shared" si="54"/>
        <v>32</v>
      </c>
      <c r="AL84" s="138">
        <f t="shared" si="54"/>
        <v>120</v>
      </c>
      <c r="AM84" s="138">
        <f t="shared" si="54"/>
        <v>154</v>
      </c>
      <c r="AN84" s="138">
        <f t="shared" si="54"/>
        <v>30</v>
      </c>
      <c r="AO84" s="138">
        <f t="shared" si="54"/>
        <v>10.666666666666666</v>
      </c>
      <c r="AP84" s="138">
        <f t="shared" si="54"/>
        <v>26.666666666666668</v>
      </c>
      <c r="AQ84" s="138">
        <f t="shared" si="52"/>
        <v>51</v>
      </c>
      <c r="AR84" s="138">
        <f t="shared" si="52"/>
        <v>144</v>
      </c>
      <c r="AW84" s="140"/>
      <c r="AX84" s="140"/>
      <c r="AY84" s="139"/>
      <c r="AZ84" s="139"/>
      <c r="BA84" s="139"/>
      <c r="BB84" s="139"/>
      <c r="BC84" s="139"/>
      <c r="BD84" s="139"/>
      <c r="BE84" s="139"/>
    </row>
    <row r="85" spans="8:57">
      <c r="H85" s="109">
        <v>65</v>
      </c>
      <c r="I85" s="109">
        <v>1</v>
      </c>
      <c r="J85" s="138">
        <f t="shared" si="48"/>
        <v>24.375</v>
      </c>
      <c r="K85" s="138">
        <f t="shared" si="48"/>
        <v>10.833333333333334</v>
      </c>
      <c r="L85" s="138">
        <f t="shared" si="48"/>
        <v>24.375</v>
      </c>
      <c r="M85" s="138">
        <f t="shared" si="48"/>
        <v>21.666666666666668</v>
      </c>
      <c r="N85" s="138">
        <f t="shared" si="48"/>
        <v>27.083333333333332</v>
      </c>
      <c r="O85" s="138">
        <f t="shared" si="48"/>
        <v>29.791666666666668</v>
      </c>
      <c r="P85" s="138">
        <f t="shared" si="48"/>
        <v>20.3125</v>
      </c>
      <c r="Q85" s="138">
        <f>+Q$18*$H85/12*$I85</f>
        <v>23.020833333333332</v>
      </c>
      <c r="R85" s="138">
        <f>+R$18*$H85/12*$I85</f>
        <v>32.5</v>
      </c>
      <c r="S85" s="139"/>
      <c r="T85" s="109">
        <v>65</v>
      </c>
      <c r="U85" s="109">
        <v>1</v>
      </c>
      <c r="V85" s="138">
        <f t="shared" si="49"/>
        <v>30.46875</v>
      </c>
      <c r="W85" s="138">
        <f t="shared" si="49"/>
        <v>16.25</v>
      </c>
      <c r="X85" s="138">
        <f t="shared" si="49"/>
        <v>36.5625</v>
      </c>
      <c r="Y85" s="138">
        <f t="shared" si="49"/>
        <v>32.5</v>
      </c>
      <c r="Z85" s="138">
        <f t="shared" si="49"/>
        <v>81.25</v>
      </c>
      <c r="AA85" s="138">
        <f t="shared" si="49"/>
        <v>104.27083333333333</v>
      </c>
      <c r="AB85" s="138">
        <f t="shared" si="49"/>
        <v>30.46875</v>
      </c>
      <c r="AC85" s="138">
        <f>+AC$18*$H85/12*$I85</f>
        <v>34.53125</v>
      </c>
      <c r="AD85" s="138">
        <f>+AD$18*$H85/12*$I85</f>
        <v>97.5</v>
      </c>
      <c r="AE85" s="139"/>
      <c r="AF85" s="109">
        <v>65</v>
      </c>
      <c r="AG85" s="109">
        <v>1</v>
      </c>
      <c r="AH85" s="138">
        <f t="shared" si="55"/>
        <v>38.0859375</v>
      </c>
      <c r="AI85" s="138">
        <f t="shared" si="54"/>
        <v>20.3125</v>
      </c>
      <c r="AJ85" s="138">
        <f t="shared" si="54"/>
        <v>36.5625</v>
      </c>
      <c r="AK85" s="138">
        <f t="shared" si="54"/>
        <v>32.5</v>
      </c>
      <c r="AL85" s="138">
        <f t="shared" si="54"/>
        <v>121.875</v>
      </c>
      <c r="AM85" s="138">
        <f t="shared" si="54"/>
        <v>156.40625</v>
      </c>
      <c r="AN85" s="138">
        <f t="shared" si="54"/>
        <v>30.46875</v>
      </c>
      <c r="AO85" s="138">
        <f t="shared" si="54"/>
        <v>10.833333333333334</v>
      </c>
      <c r="AP85" s="138">
        <f t="shared" si="54"/>
        <v>27.083333333333332</v>
      </c>
      <c r="AQ85" s="138">
        <f t="shared" si="52"/>
        <v>51.796875</v>
      </c>
      <c r="AR85" s="138">
        <f t="shared" si="52"/>
        <v>146.25</v>
      </c>
      <c r="AW85" s="140"/>
      <c r="AX85" s="140"/>
      <c r="AY85" s="139"/>
      <c r="AZ85" s="139"/>
      <c r="BA85" s="139"/>
      <c r="BB85" s="139"/>
      <c r="BC85" s="139"/>
      <c r="BD85" s="139"/>
      <c r="BE85" s="139"/>
    </row>
    <row r="86" spans="8:57">
      <c r="H86" s="109">
        <v>66</v>
      </c>
      <c r="I86" s="109">
        <v>1</v>
      </c>
      <c r="J86" s="138">
        <f t="shared" ref="J86:R120" si="56">+J$18*$H86/12*$I86</f>
        <v>24.75</v>
      </c>
      <c r="K86" s="138">
        <f t="shared" si="56"/>
        <v>11</v>
      </c>
      <c r="L86" s="138">
        <f t="shared" si="56"/>
        <v>24.75</v>
      </c>
      <c r="M86" s="138">
        <f t="shared" si="56"/>
        <v>22</v>
      </c>
      <c r="N86" s="138">
        <f t="shared" si="56"/>
        <v>27.5</v>
      </c>
      <c r="O86" s="138">
        <f t="shared" si="56"/>
        <v>30.25</v>
      </c>
      <c r="P86" s="138">
        <f t="shared" si="56"/>
        <v>20.625</v>
      </c>
      <c r="Q86" s="138">
        <f t="shared" si="56"/>
        <v>23.375</v>
      </c>
      <c r="R86" s="138">
        <f t="shared" si="56"/>
        <v>33</v>
      </c>
      <c r="S86" s="139"/>
      <c r="T86" s="109">
        <v>66</v>
      </c>
      <c r="U86" s="109">
        <v>1</v>
      </c>
      <c r="V86" s="138">
        <f t="shared" ref="V86:AC120" si="57">+V$18*$H86/12*$I86</f>
        <v>30.9375</v>
      </c>
      <c r="W86" s="138">
        <f t="shared" si="57"/>
        <v>16.5</v>
      </c>
      <c r="X86" s="138">
        <f t="shared" si="57"/>
        <v>37.125</v>
      </c>
      <c r="Y86" s="138">
        <f t="shared" si="57"/>
        <v>33</v>
      </c>
      <c r="Z86" s="138">
        <f t="shared" si="57"/>
        <v>82.5</v>
      </c>
      <c r="AA86" s="138">
        <f t="shared" si="57"/>
        <v>105.875</v>
      </c>
      <c r="AB86" s="138">
        <f t="shared" si="57"/>
        <v>30.9375</v>
      </c>
      <c r="AC86" s="138">
        <f t="shared" si="57"/>
        <v>35.0625</v>
      </c>
      <c r="AD86" s="138">
        <f t="shared" ref="AD86:AD95" si="58">+AD$18*$H86/12*$I86</f>
        <v>99</v>
      </c>
      <c r="AE86" s="139"/>
      <c r="AF86" s="109">
        <v>66</v>
      </c>
      <c r="AG86" s="109">
        <v>1</v>
      </c>
      <c r="AH86" s="138">
        <f t="shared" si="55"/>
        <v>38.671875</v>
      </c>
      <c r="AI86" s="138">
        <f t="shared" si="54"/>
        <v>20.625</v>
      </c>
      <c r="AJ86" s="138">
        <f t="shared" si="54"/>
        <v>37.125</v>
      </c>
      <c r="AK86" s="138">
        <f t="shared" si="54"/>
        <v>33</v>
      </c>
      <c r="AL86" s="138">
        <f t="shared" si="54"/>
        <v>123.75</v>
      </c>
      <c r="AM86" s="138">
        <f t="shared" si="54"/>
        <v>158.8125</v>
      </c>
      <c r="AN86" s="138">
        <f t="shared" si="54"/>
        <v>30.9375</v>
      </c>
      <c r="AO86" s="138">
        <f t="shared" si="54"/>
        <v>11</v>
      </c>
      <c r="AP86" s="138">
        <f t="shared" si="54"/>
        <v>27.5</v>
      </c>
      <c r="AQ86" s="138">
        <f t="shared" si="52"/>
        <v>52.59375</v>
      </c>
      <c r="AR86" s="138">
        <f t="shared" si="52"/>
        <v>148.5</v>
      </c>
      <c r="AW86" s="140"/>
      <c r="AX86" s="140"/>
      <c r="AY86" s="139"/>
      <c r="AZ86" s="139"/>
      <c r="BA86" s="139"/>
      <c r="BB86" s="139"/>
      <c r="BC86" s="139"/>
      <c r="BD86" s="139"/>
      <c r="BE86" s="139"/>
    </row>
    <row r="87" spans="8:57">
      <c r="H87" s="109">
        <v>67</v>
      </c>
      <c r="I87" s="109">
        <v>1</v>
      </c>
      <c r="J87" s="138">
        <f t="shared" si="56"/>
        <v>25.125</v>
      </c>
      <c r="K87" s="138">
        <f t="shared" si="56"/>
        <v>11.166666666666666</v>
      </c>
      <c r="L87" s="138">
        <f t="shared" si="56"/>
        <v>25.125</v>
      </c>
      <c r="M87" s="138">
        <f t="shared" si="56"/>
        <v>22.333333333333332</v>
      </c>
      <c r="N87" s="138">
        <f t="shared" si="56"/>
        <v>27.916666666666668</v>
      </c>
      <c r="O87" s="138">
        <f t="shared" si="56"/>
        <v>30.708333333333332</v>
      </c>
      <c r="P87" s="138">
        <f t="shared" si="56"/>
        <v>20.9375</v>
      </c>
      <c r="Q87" s="138">
        <f t="shared" si="56"/>
        <v>23.729166666666668</v>
      </c>
      <c r="R87" s="138">
        <f t="shared" si="56"/>
        <v>33.5</v>
      </c>
      <c r="S87" s="139"/>
      <c r="T87" s="109">
        <v>67</v>
      </c>
      <c r="U87" s="109">
        <v>1</v>
      </c>
      <c r="V87" s="138">
        <f t="shared" si="57"/>
        <v>31.40625</v>
      </c>
      <c r="W87" s="138">
        <f t="shared" si="57"/>
        <v>16.75</v>
      </c>
      <c r="X87" s="138">
        <f t="shared" si="57"/>
        <v>37.6875</v>
      </c>
      <c r="Y87" s="138">
        <f t="shared" si="57"/>
        <v>33.5</v>
      </c>
      <c r="Z87" s="138">
        <f t="shared" si="57"/>
        <v>83.75</v>
      </c>
      <c r="AA87" s="138">
        <f t="shared" si="57"/>
        <v>107.47916666666667</v>
      </c>
      <c r="AB87" s="138">
        <f t="shared" si="57"/>
        <v>31.40625</v>
      </c>
      <c r="AC87" s="138">
        <f t="shared" si="57"/>
        <v>35.59375</v>
      </c>
      <c r="AD87" s="138">
        <f t="shared" si="58"/>
        <v>100.5</v>
      </c>
      <c r="AE87" s="139"/>
      <c r="AF87" s="109">
        <v>67</v>
      </c>
      <c r="AG87" s="109">
        <v>1</v>
      </c>
      <c r="AH87" s="138">
        <f t="shared" si="55"/>
        <v>39.2578125</v>
      </c>
      <c r="AI87" s="138">
        <f t="shared" si="54"/>
        <v>20.9375</v>
      </c>
      <c r="AJ87" s="138">
        <f t="shared" si="54"/>
        <v>37.6875</v>
      </c>
      <c r="AK87" s="138">
        <f t="shared" si="54"/>
        <v>33.5</v>
      </c>
      <c r="AL87" s="138">
        <f t="shared" si="54"/>
        <v>125.625</v>
      </c>
      <c r="AM87" s="138">
        <f t="shared" si="54"/>
        <v>161.21875</v>
      </c>
      <c r="AN87" s="138">
        <f t="shared" si="54"/>
        <v>31.40625</v>
      </c>
      <c r="AO87" s="138">
        <f t="shared" si="54"/>
        <v>11.166666666666666</v>
      </c>
      <c r="AP87" s="138">
        <f t="shared" si="54"/>
        <v>27.916666666666668</v>
      </c>
      <c r="AQ87" s="138">
        <f t="shared" si="52"/>
        <v>53.390625</v>
      </c>
      <c r="AR87" s="138">
        <f t="shared" si="52"/>
        <v>150.75</v>
      </c>
      <c r="AW87" s="140"/>
      <c r="AX87" s="140"/>
      <c r="AY87" s="139"/>
      <c r="AZ87" s="139"/>
      <c r="BA87" s="139"/>
      <c r="BB87" s="139"/>
      <c r="BC87" s="139"/>
      <c r="BD87" s="139"/>
      <c r="BE87" s="139"/>
    </row>
    <row r="88" spans="8:57">
      <c r="H88" s="109">
        <v>68</v>
      </c>
      <c r="I88" s="109">
        <v>1</v>
      </c>
      <c r="J88" s="138">
        <f t="shared" si="56"/>
        <v>25.5</v>
      </c>
      <c r="K88" s="138">
        <f t="shared" si="56"/>
        <v>11.333333333333334</v>
      </c>
      <c r="L88" s="138">
        <f t="shared" si="56"/>
        <v>25.5</v>
      </c>
      <c r="M88" s="138">
        <f t="shared" si="56"/>
        <v>22.666666666666668</v>
      </c>
      <c r="N88" s="138">
        <f t="shared" si="56"/>
        <v>28.333333333333332</v>
      </c>
      <c r="O88" s="138">
        <f t="shared" si="56"/>
        <v>31.166666666666668</v>
      </c>
      <c r="P88" s="138">
        <f t="shared" si="56"/>
        <v>21.25</v>
      </c>
      <c r="Q88" s="138">
        <f t="shared" si="56"/>
        <v>24.083333333333332</v>
      </c>
      <c r="R88" s="138">
        <f t="shared" si="56"/>
        <v>34</v>
      </c>
      <c r="S88" s="139"/>
      <c r="T88" s="109">
        <v>68</v>
      </c>
      <c r="U88" s="109">
        <v>1</v>
      </c>
      <c r="V88" s="138">
        <f t="shared" si="57"/>
        <v>31.875</v>
      </c>
      <c r="W88" s="138">
        <f t="shared" si="57"/>
        <v>17</v>
      </c>
      <c r="X88" s="138">
        <f t="shared" si="57"/>
        <v>38.25</v>
      </c>
      <c r="Y88" s="138">
        <f t="shared" si="57"/>
        <v>34</v>
      </c>
      <c r="Z88" s="138">
        <f t="shared" si="57"/>
        <v>85</v>
      </c>
      <c r="AA88" s="138">
        <f t="shared" si="57"/>
        <v>109.08333333333333</v>
      </c>
      <c r="AB88" s="138">
        <f t="shared" si="57"/>
        <v>31.875</v>
      </c>
      <c r="AC88" s="138">
        <f t="shared" si="57"/>
        <v>36.125</v>
      </c>
      <c r="AD88" s="138">
        <f t="shared" si="58"/>
        <v>102</v>
      </c>
      <c r="AE88" s="139"/>
      <c r="AF88" s="109">
        <v>68</v>
      </c>
      <c r="AG88" s="109">
        <v>1</v>
      </c>
      <c r="AH88" s="138">
        <f t="shared" si="55"/>
        <v>39.84375</v>
      </c>
      <c r="AI88" s="138">
        <f t="shared" si="54"/>
        <v>21.25</v>
      </c>
      <c r="AJ88" s="138">
        <f t="shared" si="54"/>
        <v>38.25</v>
      </c>
      <c r="AK88" s="138">
        <f t="shared" si="54"/>
        <v>34</v>
      </c>
      <c r="AL88" s="138">
        <f t="shared" si="54"/>
        <v>127.5</v>
      </c>
      <c r="AM88" s="138">
        <f t="shared" si="54"/>
        <v>163.625</v>
      </c>
      <c r="AN88" s="138">
        <f t="shared" si="54"/>
        <v>31.875</v>
      </c>
      <c r="AO88" s="138">
        <f t="shared" si="54"/>
        <v>11.333333333333334</v>
      </c>
      <c r="AP88" s="138">
        <f t="shared" si="54"/>
        <v>28.333333333333332</v>
      </c>
      <c r="AQ88" s="138">
        <f t="shared" si="52"/>
        <v>54.1875</v>
      </c>
      <c r="AR88" s="138">
        <f t="shared" si="52"/>
        <v>153</v>
      </c>
      <c r="AW88" s="140"/>
      <c r="AX88" s="140"/>
      <c r="AY88" s="139"/>
      <c r="AZ88" s="139"/>
      <c r="BA88" s="139"/>
      <c r="BB88" s="139"/>
      <c r="BC88" s="139"/>
      <c r="BD88" s="139"/>
      <c r="BE88" s="139"/>
    </row>
    <row r="89" spans="8:57">
      <c r="H89" s="109">
        <v>69</v>
      </c>
      <c r="I89" s="109">
        <v>1</v>
      </c>
      <c r="J89" s="138">
        <f t="shared" si="56"/>
        <v>25.875</v>
      </c>
      <c r="K89" s="138">
        <f t="shared" si="56"/>
        <v>11.5</v>
      </c>
      <c r="L89" s="138">
        <f t="shared" si="56"/>
        <v>25.875</v>
      </c>
      <c r="M89" s="138">
        <f t="shared" si="56"/>
        <v>23</v>
      </c>
      <c r="N89" s="138">
        <f t="shared" si="56"/>
        <v>28.75</v>
      </c>
      <c r="O89" s="138">
        <f t="shared" si="56"/>
        <v>31.625</v>
      </c>
      <c r="P89" s="138">
        <f t="shared" si="56"/>
        <v>21.5625</v>
      </c>
      <c r="Q89" s="138">
        <f t="shared" si="56"/>
        <v>24.4375</v>
      </c>
      <c r="R89" s="138">
        <f t="shared" si="56"/>
        <v>34.5</v>
      </c>
      <c r="S89" s="139"/>
      <c r="T89" s="109">
        <v>69</v>
      </c>
      <c r="U89" s="109">
        <v>1</v>
      </c>
      <c r="V89" s="138">
        <f t="shared" si="57"/>
        <v>32.34375</v>
      </c>
      <c r="W89" s="138">
        <f t="shared" si="57"/>
        <v>17.25</v>
      </c>
      <c r="X89" s="138">
        <f t="shared" si="57"/>
        <v>38.8125</v>
      </c>
      <c r="Y89" s="138">
        <f t="shared" si="57"/>
        <v>34.5</v>
      </c>
      <c r="Z89" s="138">
        <f t="shared" si="57"/>
        <v>86.25</v>
      </c>
      <c r="AA89" s="138">
        <f t="shared" si="57"/>
        <v>110.6875</v>
      </c>
      <c r="AB89" s="138">
        <f t="shared" si="57"/>
        <v>32.34375</v>
      </c>
      <c r="AC89" s="138">
        <f t="shared" si="57"/>
        <v>36.65625</v>
      </c>
      <c r="AD89" s="138">
        <f t="shared" si="58"/>
        <v>103.5</v>
      </c>
      <c r="AE89" s="139"/>
      <c r="AF89" s="109">
        <v>69</v>
      </c>
      <c r="AG89" s="109">
        <v>1</v>
      </c>
      <c r="AH89" s="138">
        <f t="shared" si="55"/>
        <v>40.4296875</v>
      </c>
      <c r="AI89" s="138">
        <f t="shared" si="54"/>
        <v>21.5625</v>
      </c>
      <c r="AJ89" s="138">
        <f t="shared" si="54"/>
        <v>38.8125</v>
      </c>
      <c r="AK89" s="138">
        <f t="shared" si="54"/>
        <v>34.5</v>
      </c>
      <c r="AL89" s="138">
        <f t="shared" si="54"/>
        <v>129.375</v>
      </c>
      <c r="AM89" s="138">
        <f t="shared" si="54"/>
        <v>166.03125</v>
      </c>
      <c r="AN89" s="138">
        <f t="shared" si="54"/>
        <v>32.34375</v>
      </c>
      <c r="AO89" s="138">
        <f t="shared" si="54"/>
        <v>11.5</v>
      </c>
      <c r="AP89" s="138">
        <f t="shared" si="54"/>
        <v>28.75</v>
      </c>
      <c r="AQ89" s="138">
        <f t="shared" si="52"/>
        <v>54.984375</v>
      </c>
      <c r="AR89" s="138">
        <f t="shared" si="52"/>
        <v>155.25</v>
      </c>
      <c r="AW89" s="140"/>
      <c r="AX89" s="140"/>
      <c r="AY89" s="139"/>
      <c r="AZ89" s="139"/>
      <c r="BA89" s="139"/>
      <c r="BB89" s="139"/>
      <c r="BC89" s="139"/>
      <c r="BD89" s="139"/>
      <c r="BE89" s="139"/>
    </row>
    <row r="90" spans="8:57">
      <c r="H90" s="109">
        <v>70</v>
      </c>
      <c r="I90" s="109">
        <v>1</v>
      </c>
      <c r="J90" s="138">
        <f t="shared" si="56"/>
        <v>26.25</v>
      </c>
      <c r="K90" s="138">
        <f t="shared" si="56"/>
        <v>11.666666666666666</v>
      </c>
      <c r="L90" s="138">
        <f t="shared" si="56"/>
        <v>26.25</v>
      </c>
      <c r="M90" s="138">
        <f t="shared" si="56"/>
        <v>23.333333333333332</v>
      </c>
      <c r="N90" s="138">
        <f t="shared" si="56"/>
        <v>29.166666666666668</v>
      </c>
      <c r="O90" s="138">
        <f t="shared" si="56"/>
        <v>32.083333333333336</v>
      </c>
      <c r="P90" s="138">
        <f t="shared" si="56"/>
        <v>21.875</v>
      </c>
      <c r="Q90" s="138">
        <f t="shared" si="56"/>
        <v>24.791666666666668</v>
      </c>
      <c r="R90" s="138">
        <f t="shared" si="56"/>
        <v>35</v>
      </c>
      <c r="S90" s="139"/>
      <c r="T90" s="109">
        <v>70</v>
      </c>
      <c r="U90" s="109">
        <v>1</v>
      </c>
      <c r="V90" s="138">
        <f t="shared" si="57"/>
        <v>32.8125</v>
      </c>
      <c r="W90" s="138">
        <f t="shared" si="57"/>
        <v>17.5</v>
      </c>
      <c r="X90" s="138">
        <f t="shared" si="57"/>
        <v>39.375</v>
      </c>
      <c r="Y90" s="138">
        <f t="shared" si="57"/>
        <v>35</v>
      </c>
      <c r="Z90" s="138">
        <f t="shared" si="57"/>
        <v>87.5</v>
      </c>
      <c r="AA90" s="138">
        <f t="shared" si="57"/>
        <v>112.29166666666667</v>
      </c>
      <c r="AB90" s="138">
        <f t="shared" si="57"/>
        <v>32.8125</v>
      </c>
      <c r="AC90" s="138">
        <f t="shared" si="57"/>
        <v>37.1875</v>
      </c>
      <c r="AD90" s="138">
        <f t="shared" si="58"/>
        <v>105</v>
      </c>
      <c r="AE90" s="139"/>
      <c r="AF90" s="109">
        <v>70</v>
      </c>
      <c r="AG90" s="109">
        <v>1</v>
      </c>
      <c r="AH90" s="138">
        <f t="shared" si="55"/>
        <v>41.015625</v>
      </c>
      <c r="AI90" s="138">
        <f t="shared" si="54"/>
        <v>21.875</v>
      </c>
      <c r="AJ90" s="138">
        <f t="shared" si="54"/>
        <v>39.375</v>
      </c>
      <c r="AK90" s="138">
        <f t="shared" si="54"/>
        <v>35</v>
      </c>
      <c r="AL90" s="138">
        <f t="shared" si="54"/>
        <v>131.25</v>
      </c>
      <c r="AM90" s="138">
        <f t="shared" si="54"/>
        <v>168.4375</v>
      </c>
      <c r="AN90" s="138">
        <f t="shared" si="54"/>
        <v>32.8125</v>
      </c>
      <c r="AO90" s="138">
        <f t="shared" si="54"/>
        <v>11.666666666666666</v>
      </c>
      <c r="AP90" s="138">
        <f t="shared" si="54"/>
        <v>29.166666666666668</v>
      </c>
      <c r="AQ90" s="138">
        <f t="shared" si="52"/>
        <v>55.78125</v>
      </c>
      <c r="AR90" s="138">
        <f t="shared" si="52"/>
        <v>157.5</v>
      </c>
      <c r="AW90" s="140"/>
      <c r="AX90" s="140"/>
      <c r="AY90" s="139"/>
      <c r="AZ90" s="139"/>
      <c r="BA90" s="139"/>
      <c r="BB90" s="139"/>
      <c r="BC90" s="139"/>
      <c r="BD90" s="139"/>
      <c r="BE90" s="139"/>
    </row>
    <row r="91" spans="8:57">
      <c r="H91" s="109">
        <v>71</v>
      </c>
      <c r="I91" s="109">
        <v>1</v>
      </c>
      <c r="J91" s="138">
        <f t="shared" si="56"/>
        <v>26.625</v>
      </c>
      <c r="K91" s="138">
        <f t="shared" si="56"/>
        <v>11.833333333333334</v>
      </c>
      <c r="L91" s="138">
        <f t="shared" si="56"/>
        <v>26.625</v>
      </c>
      <c r="M91" s="138">
        <f t="shared" si="56"/>
        <v>23.666666666666668</v>
      </c>
      <c r="N91" s="138">
        <f t="shared" si="56"/>
        <v>29.583333333333332</v>
      </c>
      <c r="O91" s="138">
        <f t="shared" si="56"/>
        <v>32.541666666666664</v>
      </c>
      <c r="P91" s="138">
        <f t="shared" si="56"/>
        <v>22.1875</v>
      </c>
      <c r="Q91" s="138">
        <f t="shared" ref="Q91:R106" si="59">+Q$18*$H91/12*$I91</f>
        <v>25.145833333333332</v>
      </c>
      <c r="R91" s="138">
        <f t="shared" si="59"/>
        <v>35.5</v>
      </c>
      <c r="S91" s="139"/>
      <c r="T91" s="109">
        <v>71</v>
      </c>
      <c r="U91" s="109">
        <v>1</v>
      </c>
      <c r="V91" s="138">
        <f t="shared" si="57"/>
        <v>33.28125</v>
      </c>
      <c r="W91" s="138">
        <f t="shared" si="57"/>
        <v>17.75</v>
      </c>
      <c r="X91" s="138">
        <f t="shared" si="57"/>
        <v>39.9375</v>
      </c>
      <c r="Y91" s="138">
        <f t="shared" si="57"/>
        <v>35.5</v>
      </c>
      <c r="Z91" s="138">
        <f t="shared" si="57"/>
        <v>88.75</v>
      </c>
      <c r="AA91" s="138">
        <f t="shared" si="57"/>
        <v>113.89583333333333</v>
      </c>
      <c r="AB91" s="138">
        <f t="shared" si="57"/>
        <v>33.28125</v>
      </c>
      <c r="AC91" s="138">
        <f t="shared" si="57"/>
        <v>37.71875</v>
      </c>
      <c r="AD91" s="138">
        <f t="shared" si="58"/>
        <v>106.5</v>
      </c>
      <c r="AE91" s="139"/>
      <c r="AF91" s="109">
        <v>71</v>
      </c>
      <c r="AG91" s="109">
        <v>1</v>
      </c>
      <c r="AH91" s="138">
        <f t="shared" si="55"/>
        <v>41.6015625</v>
      </c>
      <c r="AI91" s="138">
        <f t="shared" si="54"/>
        <v>22.1875</v>
      </c>
      <c r="AJ91" s="138">
        <f t="shared" si="54"/>
        <v>39.9375</v>
      </c>
      <c r="AK91" s="138">
        <f t="shared" si="54"/>
        <v>35.5</v>
      </c>
      <c r="AL91" s="138">
        <f t="shared" si="54"/>
        <v>133.125</v>
      </c>
      <c r="AM91" s="138">
        <f t="shared" si="54"/>
        <v>170.84375</v>
      </c>
      <c r="AN91" s="138">
        <f t="shared" si="54"/>
        <v>33.28125</v>
      </c>
      <c r="AO91" s="138">
        <f t="shared" si="54"/>
        <v>11.833333333333334</v>
      </c>
      <c r="AP91" s="138">
        <f t="shared" si="54"/>
        <v>29.583333333333332</v>
      </c>
      <c r="AQ91" s="138">
        <f t="shared" si="52"/>
        <v>56.578125</v>
      </c>
      <c r="AR91" s="138">
        <f t="shared" si="52"/>
        <v>159.75</v>
      </c>
      <c r="AW91" s="140"/>
      <c r="AX91" s="140"/>
      <c r="AY91" s="139"/>
      <c r="AZ91" s="139"/>
      <c r="BA91" s="139"/>
      <c r="BB91" s="139"/>
      <c r="BC91" s="139"/>
      <c r="BD91" s="139"/>
      <c r="BE91" s="139"/>
    </row>
    <row r="92" spans="8:57">
      <c r="H92" s="109">
        <v>72</v>
      </c>
      <c r="I92" s="109">
        <v>1</v>
      </c>
      <c r="J92" s="138">
        <f t="shared" si="56"/>
        <v>27</v>
      </c>
      <c r="K92" s="138">
        <f t="shared" si="56"/>
        <v>12</v>
      </c>
      <c r="L92" s="138">
        <f t="shared" si="56"/>
        <v>27</v>
      </c>
      <c r="M92" s="138">
        <f t="shared" si="56"/>
        <v>24</v>
      </c>
      <c r="N92" s="138">
        <f t="shared" si="56"/>
        <v>30</v>
      </c>
      <c r="O92" s="138">
        <f t="shared" si="56"/>
        <v>33</v>
      </c>
      <c r="P92" s="138">
        <f t="shared" si="56"/>
        <v>22.5</v>
      </c>
      <c r="Q92" s="138">
        <f t="shared" si="59"/>
        <v>25.5</v>
      </c>
      <c r="R92" s="138">
        <f t="shared" si="59"/>
        <v>36</v>
      </c>
      <c r="S92" s="139"/>
      <c r="T92" s="109">
        <v>72</v>
      </c>
      <c r="U92" s="109">
        <v>1</v>
      </c>
      <c r="V92" s="138">
        <f t="shared" si="57"/>
        <v>33.75</v>
      </c>
      <c r="W92" s="138">
        <f t="shared" si="57"/>
        <v>18</v>
      </c>
      <c r="X92" s="138">
        <f t="shared" si="57"/>
        <v>40.5</v>
      </c>
      <c r="Y92" s="138">
        <f t="shared" si="57"/>
        <v>36</v>
      </c>
      <c r="Z92" s="138">
        <f t="shared" si="57"/>
        <v>90</v>
      </c>
      <c r="AA92" s="138">
        <f t="shared" si="57"/>
        <v>115.5</v>
      </c>
      <c r="AB92" s="138">
        <f t="shared" si="57"/>
        <v>33.75</v>
      </c>
      <c r="AC92" s="138">
        <f t="shared" si="57"/>
        <v>38.25</v>
      </c>
      <c r="AD92" s="138">
        <f t="shared" si="58"/>
        <v>108</v>
      </c>
      <c r="AE92" s="139"/>
      <c r="AF92" s="109">
        <v>72</v>
      </c>
      <c r="AG92" s="109">
        <v>1</v>
      </c>
      <c r="AH92" s="138">
        <f t="shared" si="55"/>
        <v>42.1875</v>
      </c>
      <c r="AI92" s="138">
        <f t="shared" si="54"/>
        <v>22.5</v>
      </c>
      <c r="AJ92" s="138">
        <f t="shared" si="54"/>
        <v>40.5</v>
      </c>
      <c r="AK92" s="138">
        <f t="shared" si="54"/>
        <v>36</v>
      </c>
      <c r="AL92" s="138">
        <f t="shared" si="54"/>
        <v>135</v>
      </c>
      <c r="AM92" s="138">
        <f t="shared" si="54"/>
        <v>173.25</v>
      </c>
      <c r="AN92" s="138">
        <f t="shared" si="54"/>
        <v>33.75</v>
      </c>
      <c r="AO92" s="138">
        <f t="shared" si="54"/>
        <v>12</v>
      </c>
      <c r="AP92" s="138">
        <f t="shared" si="54"/>
        <v>30</v>
      </c>
      <c r="AQ92" s="138">
        <f t="shared" si="52"/>
        <v>57.375</v>
      </c>
      <c r="AR92" s="138">
        <f t="shared" si="52"/>
        <v>162</v>
      </c>
      <c r="AW92" s="140"/>
      <c r="AX92" s="140"/>
      <c r="AY92" s="139"/>
      <c r="AZ92" s="139"/>
      <c r="BA92" s="139"/>
      <c r="BB92" s="139"/>
      <c r="BC92" s="139"/>
      <c r="BD92" s="139"/>
      <c r="BE92" s="139"/>
    </row>
    <row r="93" spans="8:57">
      <c r="H93" s="109">
        <v>73</v>
      </c>
      <c r="I93" s="109">
        <v>1</v>
      </c>
      <c r="J93" s="138">
        <f t="shared" si="56"/>
        <v>27.375</v>
      </c>
      <c r="K93" s="138">
        <f t="shared" si="56"/>
        <v>12.166666666666666</v>
      </c>
      <c r="L93" s="138">
        <f t="shared" si="56"/>
        <v>27.375</v>
      </c>
      <c r="M93" s="138">
        <f t="shared" si="56"/>
        <v>24.333333333333332</v>
      </c>
      <c r="N93" s="138">
        <f t="shared" si="56"/>
        <v>30.416666666666668</v>
      </c>
      <c r="O93" s="138">
        <f t="shared" si="56"/>
        <v>33.458333333333336</v>
      </c>
      <c r="P93" s="138">
        <f t="shared" si="56"/>
        <v>22.8125</v>
      </c>
      <c r="Q93" s="138">
        <f t="shared" si="59"/>
        <v>25.854166666666668</v>
      </c>
      <c r="R93" s="138">
        <f t="shared" si="59"/>
        <v>36.5</v>
      </c>
      <c r="S93" s="139"/>
      <c r="T93" s="109">
        <v>73</v>
      </c>
      <c r="U93" s="109">
        <v>1</v>
      </c>
      <c r="V93" s="138">
        <f t="shared" si="57"/>
        <v>34.21875</v>
      </c>
      <c r="W93" s="138">
        <f t="shared" si="57"/>
        <v>18.25</v>
      </c>
      <c r="X93" s="138">
        <f t="shared" si="57"/>
        <v>41.0625</v>
      </c>
      <c r="Y93" s="138">
        <f t="shared" si="57"/>
        <v>36.5</v>
      </c>
      <c r="Z93" s="138">
        <f t="shared" si="57"/>
        <v>91.25</v>
      </c>
      <c r="AA93" s="138">
        <f t="shared" si="57"/>
        <v>117.10416666666667</v>
      </c>
      <c r="AB93" s="138">
        <f t="shared" si="57"/>
        <v>34.21875</v>
      </c>
      <c r="AC93" s="138">
        <f t="shared" si="57"/>
        <v>38.78125</v>
      </c>
      <c r="AD93" s="138">
        <f t="shared" si="58"/>
        <v>109.5</v>
      </c>
      <c r="AE93" s="139"/>
      <c r="AF93" s="109">
        <v>73</v>
      </c>
      <c r="AG93" s="109">
        <v>1</v>
      </c>
      <c r="AH93" s="138">
        <f t="shared" si="55"/>
        <v>42.7734375</v>
      </c>
      <c r="AI93" s="138">
        <f t="shared" si="54"/>
        <v>22.8125</v>
      </c>
      <c r="AJ93" s="138">
        <f t="shared" si="54"/>
        <v>41.0625</v>
      </c>
      <c r="AK93" s="138">
        <f t="shared" si="54"/>
        <v>36.5</v>
      </c>
      <c r="AL93" s="138">
        <f t="shared" si="54"/>
        <v>136.875</v>
      </c>
      <c r="AM93" s="138">
        <f t="shared" si="54"/>
        <v>175.65625</v>
      </c>
      <c r="AN93" s="138">
        <f t="shared" si="54"/>
        <v>34.21875</v>
      </c>
      <c r="AO93" s="138">
        <f t="shared" si="54"/>
        <v>12.166666666666666</v>
      </c>
      <c r="AP93" s="138">
        <f t="shared" si="54"/>
        <v>30.416666666666668</v>
      </c>
      <c r="AQ93" s="138">
        <f t="shared" si="52"/>
        <v>58.171875</v>
      </c>
      <c r="AR93" s="138">
        <f t="shared" si="52"/>
        <v>164.25</v>
      </c>
      <c r="AW93" s="140"/>
      <c r="AX93" s="140"/>
      <c r="AY93" s="139"/>
      <c r="AZ93" s="139"/>
      <c r="BA93" s="139"/>
      <c r="BB93" s="139"/>
      <c r="BC93" s="139"/>
      <c r="BD93" s="139"/>
      <c r="BE93" s="139"/>
    </row>
    <row r="94" spans="8:57">
      <c r="H94" s="109">
        <v>74</v>
      </c>
      <c r="I94" s="109">
        <v>1</v>
      </c>
      <c r="J94" s="138">
        <f t="shared" si="56"/>
        <v>27.75</v>
      </c>
      <c r="K94" s="138">
        <f t="shared" si="56"/>
        <v>12.333333333333334</v>
      </c>
      <c r="L94" s="138">
        <f t="shared" si="56"/>
        <v>27.75</v>
      </c>
      <c r="M94" s="138">
        <f t="shared" si="56"/>
        <v>24.666666666666668</v>
      </c>
      <c r="N94" s="138">
        <f t="shared" si="56"/>
        <v>30.833333333333332</v>
      </c>
      <c r="O94" s="138">
        <f t="shared" si="56"/>
        <v>33.916666666666664</v>
      </c>
      <c r="P94" s="138">
        <f t="shared" si="56"/>
        <v>23.125</v>
      </c>
      <c r="Q94" s="138">
        <f t="shared" si="59"/>
        <v>26.208333333333332</v>
      </c>
      <c r="R94" s="138">
        <f t="shared" si="59"/>
        <v>37</v>
      </c>
      <c r="S94" s="139"/>
      <c r="T94" s="109">
        <v>74</v>
      </c>
      <c r="U94" s="109">
        <v>1</v>
      </c>
      <c r="V94" s="138">
        <f t="shared" si="57"/>
        <v>34.6875</v>
      </c>
      <c r="W94" s="138">
        <f t="shared" si="57"/>
        <v>18.5</v>
      </c>
      <c r="X94" s="138">
        <f t="shared" si="57"/>
        <v>41.625</v>
      </c>
      <c r="Y94" s="138">
        <f t="shared" si="57"/>
        <v>37</v>
      </c>
      <c r="Z94" s="138">
        <f t="shared" si="57"/>
        <v>92.5</v>
      </c>
      <c r="AA94" s="138">
        <f t="shared" si="57"/>
        <v>118.70833333333333</v>
      </c>
      <c r="AB94" s="138">
        <f t="shared" si="57"/>
        <v>34.6875</v>
      </c>
      <c r="AC94" s="138">
        <f t="shared" si="57"/>
        <v>39.3125</v>
      </c>
      <c r="AD94" s="138">
        <f t="shared" si="58"/>
        <v>111</v>
      </c>
      <c r="AE94" s="139"/>
      <c r="AF94" s="109">
        <v>74</v>
      </c>
      <c r="AG94" s="109">
        <v>1</v>
      </c>
      <c r="AH94" s="138">
        <f t="shared" si="55"/>
        <v>43.359375</v>
      </c>
      <c r="AI94" s="138">
        <f t="shared" si="54"/>
        <v>23.125</v>
      </c>
      <c r="AJ94" s="138">
        <f t="shared" si="54"/>
        <v>41.625</v>
      </c>
      <c r="AK94" s="138">
        <f t="shared" si="54"/>
        <v>37</v>
      </c>
      <c r="AL94" s="138">
        <f t="shared" si="54"/>
        <v>138.75</v>
      </c>
      <c r="AM94" s="138">
        <f t="shared" si="54"/>
        <v>178.0625</v>
      </c>
      <c r="AN94" s="138">
        <f t="shared" si="54"/>
        <v>34.6875</v>
      </c>
      <c r="AO94" s="138">
        <f t="shared" si="54"/>
        <v>12.333333333333334</v>
      </c>
      <c r="AP94" s="138">
        <f t="shared" si="54"/>
        <v>30.833333333333332</v>
      </c>
      <c r="AQ94" s="138">
        <f t="shared" si="52"/>
        <v>58.96875</v>
      </c>
      <c r="AR94" s="138">
        <f t="shared" si="52"/>
        <v>166.5</v>
      </c>
      <c r="AW94" s="140"/>
      <c r="AX94" s="140"/>
      <c r="AY94" s="139"/>
      <c r="AZ94" s="139"/>
      <c r="BA94" s="139"/>
      <c r="BB94" s="139"/>
      <c r="BC94" s="139"/>
      <c r="BD94" s="139"/>
      <c r="BE94" s="139"/>
    </row>
    <row r="95" spans="8:57">
      <c r="H95" s="109">
        <v>75</v>
      </c>
      <c r="I95" s="109">
        <v>1</v>
      </c>
      <c r="J95" s="138">
        <f t="shared" si="56"/>
        <v>28.125</v>
      </c>
      <c r="K95" s="138">
        <f t="shared" si="56"/>
        <v>12.5</v>
      </c>
      <c r="L95" s="138">
        <f t="shared" si="56"/>
        <v>28.125</v>
      </c>
      <c r="M95" s="138">
        <f t="shared" si="56"/>
        <v>25</v>
      </c>
      <c r="N95" s="138">
        <f t="shared" si="56"/>
        <v>31.25</v>
      </c>
      <c r="O95" s="138">
        <f t="shared" si="56"/>
        <v>34.375</v>
      </c>
      <c r="P95" s="138">
        <f t="shared" si="56"/>
        <v>23.4375</v>
      </c>
      <c r="Q95" s="138">
        <f t="shared" si="59"/>
        <v>26.5625</v>
      </c>
      <c r="R95" s="138">
        <f t="shared" si="59"/>
        <v>37.5</v>
      </c>
      <c r="S95" s="139"/>
      <c r="T95" s="109">
        <v>75</v>
      </c>
      <c r="U95" s="109">
        <v>1</v>
      </c>
      <c r="V95" s="138">
        <f t="shared" si="57"/>
        <v>35.15625</v>
      </c>
      <c r="W95" s="138">
        <f t="shared" si="57"/>
        <v>18.75</v>
      </c>
      <c r="X95" s="138">
        <f t="shared" si="57"/>
        <v>42.1875</v>
      </c>
      <c r="Y95" s="138">
        <f t="shared" si="57"/>
        <v>37.5</v>
      </c>
      <c r="Z95" s="138">
        <f t="shared" si="57"/>
        <v>93.75</v>
      </c>
      <c r="AA95" s="138">
        <f t="shared" si="57"/>
        <v>120.3125</v>
      </c>
      <c r="AB95" s="138">
        <f t="shared" si="57"/>
        <v>35.15625</v>
      </c>
      <c r="AC95" s="138">
        <f t="shared" si="57"/>
        <v>39.84375</v>
      </c>
      <c r="AD95" s="138">
        <f t="shared" si="58"/>
        <v>112.5</v>
      </c>
      <c r="AE95" s="139"/>
      <c r="AF95" s="109">
        <v>75</v>
      </c>
      <c r="AG95" s="109">
        <v>1</v>
      </c>
      <c r="AH95" s="138">
        <f t="shared" si="55"/>
        <v>43.9453125</v>
      </c>
      <c r="AI95" s="138">
        <f t="shared" si="54"/>
        <v>23.4375</v>
      </c>
      <c r="AJ95" s="138">
        <f t="shared" si="54"/>
        <v>42.1875</v>
      </c>
      <c r="AK95" s="138">
        <f t="shared" si="54"/>
        <v>37.5</v>
      </c>
      <c r="AL95" s="138">
        <f t="shared" si="54"/>
        <v>140.625</v>
      </c>
      <c r="AM95" s="138">
        <f t="shared" si="54"/>
        <v>180.46875</v>
      </c>
      <c r="AN95" s="138">
        <f t="shared" si="54"/>
        <v>35.15625</v>
      </c>
      <c r="AO95" s="138">
        <f t="shared" si="54"/>
        <v>12.5</v>
      </c>
      <c r="AP95" s="138">
        <f t="shared" si="54"/>
        <v>31.25</v>
      </c>
      <c r="AQ95" s="138">
        <f t="shared" si="52"/>
        <v>59.765625</v>
      </c>
      <c r="AR95" s="138">
        <f t="shared" si="52"/>
        <v>168.75</v>
      </c>
      <c r="AW95" s="140"/>
      <c r="AX95" s="140"/>
      <c r="AY95" s="139"/>
      <c r="AZ95" s="139"/>
      <c r="BA95" s="139"/>
      <c r="BB95" s="139"/>
      <c r="BC95" s="139"/>
      <c r="BD95" s="139"/>
      <c r="BE95" s="139"/>
    </row>
    <row r="96" spans="8:57">
      <c r="H96" s="109">
        <v>76</v>
      </c>
      <c r="I96" s="109">
        <v>1</v>
      </c>
      <c r="J96" s="138">
        <f t="shared" si="56"/>
        <v>28.5</v>
      </c>
      <c r="K96" s="138">
        <f t="shared" si="56"/>
        <v>12.666666666666666</v>
      </c>
      <c r="L96" s="138">
        <f t="shared" si="56"/>
        <v>28.5</v>
      </c>
      <c r="M96" s="138">
        <f t="shared" si="56"/>
        <v>25.333333333333332</v>
      </c>
      <c r="N96" s="138">
        <f t="shared" si="56"/>
        <v>31.666666666666668</v>
      </c>
      <c r="O96" s="138">
        <f t="shared" si="56"/>
        <v>34.833333333333336</v>
      </c>
      <c r="P96" s="138">
        <f t="shared" si="56"/>
        <v>23.75</v>
      </c>
      <c r="Q96" s="138">
        <f t="shared" si="59"/>
        <v>26.916666666666668</v>
      </c>
      <c r="R96" s="138">
        <f t="shared" si="59"/>
        <v>38</v>
      </c>
      <c r="S96" s="139"/>
      <c r="T96" s="109">
        <v>76</v>
      </c>
      <c r="U96" s="109">
        <v>1</v>
      </c>
      <c r="V96" s="138">
        <f t="shared" si="57"/>
        <v>35.625</v>
      </c>
      <c r="W96" s="138">
        <f t="shared" si="57"/>
        <v>19</v>
      </c>
      <c r="X96" s="138">
        <f t="shared" si="57"/>
        <v>42.75</v>
      </c>
      <c r="Y96" s="138">
        <f t="shared" si="57"/>
        <v>38</v>
      </c>
      <c r="Z96" s="138">
        <f t="shared" si="57"/>
        <v>95</v>
      </c>
      <c r="AA96" s="138">
        <f t="shared" si="57"/>
        <v>121.91666666666667</v>
      </c>
      <c r="AB96" s="138">
        <f t="shared" si="57"/>
        <v>35.625</v>
      </c>
      <c r="AC96" s="138">
        <f t="shared" ref="AC96:AD120" si="60">+AC$18*$H96/12*$I96</f>
        <v>40.375</v>
      </c>
      <c r="AD96" s="138">
        <f t="shared" si="60"/>
        <v>114</v>
      </c>
      <c r="AE96" s="139"/>
      <c r="AF96" s="109">
        <v>76</v>
      </c>
      <c r="AG96" s="109">
        <v>1</v>
      </c>
      <c r="AH96" s="138">
        <f t="shared" si="55"/>
        <v>44.53125</v>
      </c>
      <c r="AI96" s="138">
        <f t="shared" si="54"/>
        <v>23.75</v>
      </c>
      <c r="AJ96" s="138">
        <f t="shared" si="54"/>
        <v>42.75</v>
      </c>
      <c r="AK96" s="138">
        <f t="shared" si="54"/>
        <v>38</v>
      </c>
      <c r="AL96" s="138">
        <f t="shared" si="54"/>
        <v>142.5</v>
      </c>
      <c r="AM96" s="138">
        <f t="shared" si="54"/>
        <v>182.875</v>
      </c>
      <c r="AN96" s="138">
        <f t="shared" si="54"/>
        <v>35.625</v>
      </c>
      <c r="AO96" s="138">
        <f t="shared" si="54"/>
        <v>12.666666666666666</v>
      </c>
      <c r="AP96" s="138">
        <f t="shared" si="54"/>
        <v>31.666666666666668</v>
      </c>
      <c r="AQ96" s="138">
        <f t="shared" si="52"/>
        <v>60.5625</v>
      </c>
      <c r="AR96" s="138">
        <f t="shared" si="52"/>
        <v>171</v>
      </c>
      <c r="AW96" s="140"/>
      <c r="AX96" s="140"/>
      <c r="AY96" s="139"/>
      <c r="AZ96" s="139"/>
      <c r="BA96" s="139"/>
      <c r="BB96" s="139"/>
      <c r="BC96" s="139"/>
      <c r="BD96" s="139"/>
      <c r="BE96" s="139"/>
    </row>
    <row r="97" spans="8:57">
      <c r="H97" s="109">
        <v>77</v>
      </c>
      <c r="I97" s="109">
        <v>1</v>
      </c>
      <c r="J97" s="138">
        <f t="shared" si="56"/>
        <v>28.875</v>
      </c>
      <c r="K97" s="138">
        <f t="shared" si="56"/>
        <v>12.833333333333334</v>
      </c>
      <c r="L97" s="138">
        <f t="shared" si="56"/>
        <v>28.875</v>
      </c>
      <c r="M97" s="138">
        <f t="shared" si="56"/>
        <v>25.666666666666668</v>
      </c>
      <c r="N97" s="138">
        <f t="shared" si="56"/>
        <v>32.083333333333336</v>
      </c>
      <c r="O97" s="138">
        <f t="shared" si="56"/>
        <v>35.291666666666664</v>
      </c>
      <c r="P97" s="138">
        <f t="shared" si="56"/>
        <v>24.0625</v>
      </c>
      <c r="Q97" s="138">
        <f t="shared" si="59"/>
        <v>27.270833333333332</v>
      </c>
      <c r="R97" s="138">
        <f t="shared" si="59"/>
        <v>38.5</v>
      </c>
      <c r="S97" s="139"/>
      <c r="T97" s="109">
        <v>77</v>
      </c>
      <c r="U97" s="109">
        <v>1</v>
      </c>
      <c r="V97" s="138">
        <f t="shared" si="57"/>
        <v>36.09375</v>
      </c>
      <c r="W97" s="138">
        <f t="shared" si="57"/>
        <v>19.25</v>
      </c>
      <c r="X97" s="138">
        <f t="shared" si="57"/>
        <v>43.3125</v>
      </c>
      <c r="Y97" s="138">
        <f t="shared" si="57"/>
        <v>38.5</v>
      </c>
      <c r="Z97" s="138">
        <f t="shared" si="57"/>
        <v>96.25</v>
      </c>
      <c r="AA97" s="138">
        <f t="shared" si="57"/>
        <v>123.52083333333333</v>
      </c>
      <c r="AB97" s="138">
        <f t="shared" si="57"/>
        <v>36.09375</v>
      </c>
      <c r="AC97" s="138">
        <f t="shared" si="60"/>
        <v>40.90625</v>
      </c>
      <c r="AD97" s="138">
        <f t="shared" si="60"/>
        <v>115.5</v>
      </c>
      <c r="AE97" s="139"/>
      <c r="AF97" s="109">
        <v>77</v>
      </c>
      <c r="AG97" s="109">
        <v>1</v>
      </c>
      <c r="AH97" s="138">
        <f t="shared" si="55"/>
        <v>45.1171875</v>
      </c>
      <c r="AI97" s="138">
        <f t="shared" si="54"/>
        <v>24.0625</v>
      </c>
      <c r="AJ97" s="138">
        <f t="shared" si="54"/>
        <v>43.3125</v>
      </c>
      <c r="AK97" s="138">
        <f t="shared" si="54"/>
        <v>38.5</v>
      </c>
      <c r="AL97" s="138">
        <f t="shared" si="54"/>
        <v>144.375</v>
      </c>
      <c r="AM97" s="138">
        <f t="shared" si="54"/>
        <v>185.28125</v>
      </c>
      <c r="AN97" s="138">
        <f t="shared" si="54"/>
        <v>36.09375</v>
      </c>
      <c r="AO97" s="138">
        <f t="shared" si="54"/>
        <v>12.833333333333334</v>
      </c>
      <c r="AP97" s="138">
        <f t="shared" si="54"/>
        <v>32.083333333333336</v>
      </c>
      <c r="AQ97" s="138">
        <f t="shared" si="52"/>
        <v>61.359375</v>
      </c>
      <c r="AR97" s="138">
        <f t="shared" si="52"/>
        <v>173.25</v>
      </c>
      <c r="AW97" s="140"/>
      <c r="AX97" s="140"/>
      <c r="AY97" s="139"/>
      <c r="AZ97" s="139"/>
      <c r="BA97" s="139"/>
      <c r="BB97" s="139"/>
      <c r="BC97" s="139"/>
      <c r="BD97" s="139"/>
      <c r="BE97" s="139"/>
    </row>
    <row r="98" spans="8:57">
      <c r="H98" s="109">
        <v>78</v>
      </c>
      <c r="I98" s="109">
        <v>1</v>
      </c>
      <c r="J98" s="138">
        <f t="shared" si="56"/>
        <v>29.25</v>
      </c>
      <c r="K98" s="138">
        <f t="shared" si="56"/>
        <v>13</v>
      </c>
      <c r="L98" s="138">
        <f t="shared" si="56"/>
        <v>29.25</v>
      </c>
      <c r="M98" s="138">
        <f t="shared" si="56"/>
        <v>26</v>
      </c>
      <c r="N98" s="138">
        <f t="shared" si="56"/>
        <v>32.5</v>
      </c>
      <c r="O98" s="138">
        <f t="shared" si="56"/>
        <v>35.75</v>
      </c>
      <c r="P98" s="138">
        <f t="shared" si="56"/>
        <v>24.375</v>
      </c>
      <c r="Q98" s="138">
        <f t="shared" si="59"/>
        <v>27.625</v>
      </c>
      <c r="R98" s="138">
        <f t="shared" si="59"/>
        <v>39</v>
      </c>
      <c r="S98" s="139"/>
      <c r="T98" s="109">
        <v>78</v>
      </c>
      <c r="U98" s="109">
        <v>1</v>
      </c>
      <c r="V98" s="138">
        <f t="shared" si="57"/>
        <v>36.5625</v>
      </c>
      <c r="W98" s="138">
        <f t="shared" si="57"/>
        <v>19.5</v>
      </c>
      <c r="X98" s="138">
        <f t="shared" si="57"/>
        <v>43.875</v>
      </c>
      <c r="Y98" s="138">
        <f t="shared" si="57"/>
        <v>39</v>
      </c>
      <c r="Z98" s="138">
        <f t="shared" si="57"/>
        <v>97.5</v>
      </c>
      <c r="AA98" s="138">
        <f t="shared" si="57"/>
        <v>125.125</v>
      </c>
      <c r="AB98" s="138">
        <f t="shared" si="57"/>
        <v>36.5625</v>
      </c>
      <c r="AC98" s="138">
        <f t="shared" si="60"/>
        <v>41.4375</v>
      </c>
      <c r="AD98" s="138">
        <f t="shared" si="60"/>
        <v>117</v>
      </c>
      <c r="AE98" s="139"/>
      <c r="AF98" s="109">
        <v>78</v>
      </c>
      <c r="AG98" s="109">
        <v>1</v>
      </c>
      <c r="AH98" s="138">
        <f t="shared" si="55"/>
        <v>45.703125</v>
      </c>
      <c r="AI98" s="138">
        <f t="shared" si="54"/>
        <v>24.375</v>
      </c>
      <c r="AJ98" s="138">
        <f t="shared" si="54"/>
        <v>43.875</v>
      </c>
      <c r="AK98" s="138">
        <f t="shared" si="54"/>
        <v>39</v>
      </c>
      <c r="AL98" s="138">
        <f t="shared" si="54"/>
        <v>146.25</v>
      </c>
      <c r="AM98" s="138">
        <f t="shared" si="54"/>
        <v>187.6875</v>
      </c>
      <c r="AN98" s="138">
        <f t="shared" si="54"/>
        <v>36.5625</v>
      </c>
      <c r="AO98" s="138">
        <f t="shared" si="54"/>
        <v>13</v>
      </c>
      <c r="AP98" s="138">
        <f t="shared" si="54"/>
        <v>32.5</v>
      </c>
      <c r="AQ98" s="138">
        <f t="shared" si="52"/>
        <v>62.15625</v>
      </c>
      <c r="AR98" s="138">
        <f t="shared" si="52"/>
        <v>175.5</v>
      </c>
      <c r="AW98" s="140"/>
      <c r="AX98" s="140"/>
      <c r="AY98" s="139"/>
      <c r="AZ98" s="139"/>
      <c r="BA98" s="139"/>
      <c r="BB98" s="139"/>
      <c r="BC98" s="139"/>
      <c r="BD98" s="139"/>
      <c r="BE98" s="139"/>
    </row>
    <row r="99" spans="8:57">
      <c r="H99" s="109">
        <v>79</v>
      </c>
      <c r="I99" s="109">
        <v>1</v>
      </c>
      <c r="J99" s="138">
        <f t="shared" si="56"/>
        <v>29.625</v>
      </c>
      <c r="K99" s="138">
        <f t="shared" si="56"/>
        <v>13.166666666666666</v>
      </c>
      <c r="L99" s="138">
        <f t="shared" si="56"/>
        <v>29.625</v>
      </c>
      <c r="M99" s="138">
        <f t="shared" si="56"/>
        <v>26.333333333333332</v>
      </c>
      <c r="N99" s="138">
        <f t="shared" si="56"/>
        <v>32.916666666666664</v>
      </c>
      <c r="O99" s="138">
        <f t="shared" si="56"/>
        <v>36.208333333333336</v>
      </c>
      <c r="P99" s="138">
        <f t="shared" si="56"/>
        <v>24.6875</v>
      </c>
      <c r="Q99" s="138">
        <f t="shared" si="59"/>
        <v>27.979166666666668</v>
      </c>
      <c r="R99" s="138">
        <f t="shared" si="59"/>
        <v>39.5</v>
      </c>
      <c r="S99" s="139"/>
      <c r="T99" s="109">
        <v>79</v>
      </c>
      <c r="U99" s="109">
        <v>1</v>
      </c>
      <c r="V99" s="138">
        <f t="shared" si="57"/>
        <v>37.03125</v>
      </c>
      <c r="W99" s="138">
        <f t="shared" si="57"/>
        <v>19.75</v>
      </c>
      <c r="X99" s="138">
        <f t="shared" si="57"/>
        <v>44.4375</v>
      </c>
      <c r="Y99" s="138">
        <f t="shared" si="57"/>
        <v>39.5</v>
      </c>
      <c r="Z99" s="138">
        <f t="shared" si="57"/>
        <v>98.75</v>
      </c>
      <c r="AA99" s="138">
        <f t="shared" si="57"/>
        <v>126.72916666666667</v>
      </c>
      <c r="AB99" s="138">
        <f t="shared" si="57"/>
        <v>37.03125</v>
      </c>
      <c r="AC99" s="138">
        <f t="shared" si="60"/>
        <v>41.96875</v>
      </c>
      <c r="AD99" s="138">
        <f t="shared" si="60"/>
        <v>118.5</v>
      </c>
      <c r="AE99" s="139"/>
      <c r="AF99" s="109">
        <v>79</v>
      </c>
      <c r="AG99" s="109">
        <v>1</v>
      </c>
      <c r="AH99" s="138">
        <f t="shared" si="55"/>
        <v>46.2890625</v>
      </c>
      <c r="AI99" s="138">
        <f t="shared" si="54"/>
        <v>24.6875</v>
      </c>
      <c r="AJ99" s="138">
        <f t="shared" si="54"/>
        <v>44.4375</v>
      </c>
      <c r="AK99" s="138">
        <f t="shared" si="54"/>
        <v>39.5</v>
      </c>
      <c r="AL99" s="138">
        <f t="shared" si="54"/>
        <v>148.125</v>
      </c>
      <c r="AM99" s="138">
        <f t="shared" si="54"/>
        <v>190.09375</v>
      </c>
      <c r="AN99" s="138">
        <f t="shared" si="54"/>
        <v>37.03125</v>
      </c>
      <c r="AO99" s="138">
        <f t="shared" si="54"/>
        <v>13.166666666666666</v>
      </c>
      <c r="AP99" s="138">
        <f t="shared" si="54"/>
        <v>32.916666666666664</v>
      </c>
      <c r="AQ99" s="138">
        <f t="shared" si="52"/>
        <v>62.953125</v>
      </c>
      <c r="AR99" s="138">
        <f t="shared" si="52"/>
        <v>177.75</v>
      </c>
      <c r="AW99" s="140"/>
      <c r="AX99" s="140"/>
      <c r="AY99" s="139"/>
      <c r="AZ99" s="139"/>
      <c r="BA99" s="139"/>
      <c r="BB99" s="139"/>
      <c r="BC99" s="139"/>
      <c r="BD99" s="139"/>
      <c r="BE99" s="139"/>
    </row>
    <row r="100" spans="8:57">
      <c r="H100" s="109">
        <v>80</v>
      </c>
      <c r="I100" s="109">
        <v>1</v>
      </c>
      <c r="J100" s="138">
        <f t="shared" si="56"/>
        <v>30</v>
      </c>
      <c r="K100" s="138">
        <f t="shared" si="56"/>
        <v>13.333333333333334</v>
      </c>
      <c r="L100" s="138">
        <f t="shared" si="56"/>
        <v>30</v>
      </c>
      <c r="M100" s="138">
        <f t="shared" si="56"/>
        <v>26.666666666666668</v>
      </c>
      <c r="N100" s="138">
        <f t="shared" si="56"/>
        <v>33.333333333333336</v>
      </c>
      <c r="O100" s="138">
        <f t="shared" si="56"/>
        <v>36.666666666666664</v>
      </c>
      <c r="P100" s="138">
        <f t="shared" si="56"/>
        <v>25</v>
      </c>
      <c r="Q100" s="138">
        <f t="shared" si="59"/>
        <v>28.333333333333332</v>
      </c>
      <c r="R100" s="138">
        <f t="shared" si="59"/>
        <v>40</v>
      </c>
      <c r="S100" s="139"/>
      <c r="T100" s="109">
        <v>80</v>
      </c>
      <c r="U100" s="109">
        <v>1</v>
      </c>
      <c r="V100" s="138">
        <f t="shared" si="57"/>
        <v>37.5</v>
      </c>
      <c r="W100" s="138">
        <f t="shared" si="57"/>
        <v>20</v>
      </c>
      <c r="X100" s="138">
        <f t="shared" si="57"/>
        <v>45</v>
      </c>
      <c r="Y100" s="138">
        <f t="shared" si="57"/>
        <v>40</v>
      </c>
      <c r="Z100" s="138">
        <f t="shared" si="57"/>
        <v>100</v>
      </c>
      <c r="AA100" s="138">
        <f t="shared" si="57"/>
        <v>128.33333333333334</v>
      </c>
      <c r="AB100" s="138">
        <f t="shared" si="57"/>
        <v>37.5</v>
      </c>
      <c r="AC100" s="138">
        <f t="shared" si="60"/>
        <v>42.5</v>
      </c>
      <c r="AD100" s="138">
        <f t="shared" si="60"/>
        <v>120</v>
      </c>
      <c r="AE100" s="139"/>
      <c r="AF100" s="109">
        <v>80</v>
      </c>
      <c r="AG100" s="109">
        <v>1</v>
      </c>
      <c r="AH100" s="138">
        <f t="shared" si="55"/>
        <v>46.875</v>
      </c>
      <c r="AI100" s="138">
        <f t="shared" si="54"/>
        <v>25</v>
      </c>
      <c r="AJ100" s="138">
        <f t="shared" si="54"/>
        <v>45</v>
      </c>
      <c r="AK100" s="138">
        <f t="shared" si="54"/>
        <v>40</v>
      </c>
      <c r="AL100" s="138">
        <f t="shared" si="54"/>
        <v>150</v>
      </c>
      <c r="AM100" s="138">
        <f t="shared" si="54"/>
        <v>192.5</v>
      </c>
      <c r="AN100" s="138">
        <f t="shared" si="54"/>
        <v>37.5</v>
      </c>
      <c r="AO100" s="138">
        <f t="shared" si="54"/>
        <v>13.333333333333334</v>
      </c>
      <c r="AP100" s="138">
        <f t="shared" si="54"/>
        <v>33.333333333333336</v>
      </c>
      <c r="AQ100" s="138">
        <f t="shared" si="52"/>
        <v>63.75</v>
      </c>
      <c r="AR100" s="138">
        <f t="shared" si="52"/>
        <v>180</v>
      </c>
      <c r="AW100" s="140"/>
      <c r="AX100" s="140"/>
      <c r="AY100" s="139"/>
      <c r="AZ100" s="139"/>
      <c r="BA100" s="139"/>
      <c r="BB100" s="139"/>
      <c r="BC100" s="139"/>
      <c r="BD100" s="139"/>
      <c r="BE100" s="139"/>
    </row>
    <row r="101" spans="8:57">
      <c r="H101" s="109">
        <v>81</v>
      </c>
      <c r="I101" s="109">
        <v>1</v>
      </c>
      <c r="J101" s="138">
        <f t="shared" si="56"/>
        <v>30.375</v>
      </c>
      <c r="K101" s="138">
        <f t="shared" si="56"/>
        <v>13.5</v>
      </c>
      <c r="L101" s="138">
        <f t="shared" si="56"/>
        <v>30.375</v>
      </c>
      <c r="M101" s="138">
        <f t="shared" si="56"/>
        <v>27</v>
      </c>
      <c r="N101" s="138">
        <f t="shared" si="56"/>
        <v>33.75</v>
      </c>
      <c r="O101" s="138">
        <f t="shared" si="56"/>
        <v>37.125</v>
      </c>
      <c r="P101" s="138">
        <f t="shared" si="56"/>
        <v>25.3125</v>
      </c>
      <c r="Q101" s="138">
        <f t="shared" si="59"/>
        <v>28.6875</v>
      </c>
      <c r="R101" s="138">
        <f t="shared" si="59"/>
        <v>40.5</v>
      </c>
      <c r="S101" s="139"/>
      <c r="T101" s="109">
        <v>81</v>
      </c>
      <c r="U101" s="109">
        <v>1</v>
      </c>
      <c r="V101" s="138">
        <f t="shared" si="57"/>
        <v>37.96875</v>
      </c>
      <c r="W101" s="138">
        <f t="shared" si="57"/>
        <v>20.25</v>
      </c>
      <c r="X101" s="138">
        <f t="shared" si="57"/>
        <v>45.5625</v>
      </c>
      <c r="Y101" s="138">
        <f t="shared" si="57"/>
        <v>40.5</v>
      </c>
      <c r="Z101" s="138">
        <f t="shared" si="57"/>
        <v>101.25</v>
      </c>
      <c r="AA101" s="138">
        <f t="shared" si="57"/>
        <v>129.9375</v>
      </c>
      <c r="AB101" s="138">
        <f t="shared" si="57"/>
        <v>37.96875</v>
      </c>
      <c r="AC101" s="138">
        <f t="shared" si="60"/>
        <v>43.03125</v>
      </c>
      <c r="AD101" s="138">
        <f t="shared" si="60"/>
        <v>121.5</v>
      </c>
      <c r="AE101" s="139"/>
      <c r="AF101" s="109">
        <v>81</v>
      </c>
      <c r="AG101" s="109">
        <v>1</v>
      </c>
      <c r="AH101" s="138">
        <f t="shared" si="55"/>
        <v>47.4609375</v>
      </c>
      <c r="AI101" s="138">
        <f t="shared" si="54"/>
        <v>25.3125</v>
      </c>
      <c r="AJ101" s="138">
        <f t="shared" si="54"/>
        <v>45.5625</v>
      </c>
      <c r="AK101" s="138">
        <f t="shared" si="54"/>
        <v>40.5</v>
      </c>
      <c r="AL101" s="138">
        <f t="shared" si="54"/>
        <v>151.875</v>
      </c>
      <c r="AM101" s="138">
        <f t="shared" si="54"/>
        <v>194.90625</v>
      </c>
      <c r="AN101" s="138">
        <f t="shared" si="54"/>
        <v>37.96875</v>
      </c>
      <c r="AO101" s="138">
        <f t="shared" si="54"/>
        <v>13.5</v>
      </c>
      <c r="AP101" s="138">
        <f t="shared" si="54"/>
        <v>33.75</v>
      </c>
      <c r="AQ101" s="138">
        <f t="shared" si="52"/>
        <v>64.546875</v>
      </c>
      <c r="AR101" s="138">
        <f t="shared" si="52"/>
        <v>182.25</v>
      </c>
      <c r="AW101" s="140"/>
      <c r="AX101" s="140"/>
      <c r="AY101" s="139"/>
      <c r="AZ101" s="139"/>
      <c r="BA101" s="139"/>
      <c r="BB101" s="139"/>
      <c r="BC101" s="139"/>
      <c r="BD101" s="139"/>
      <c r="BE101" s="139"/>
    </row>
    <row r="102" spans="8:57">
      <c r="H102" s="109">
        <v>82</v>
      </c>
      <c r="I102" s="109">
        <v>1</v>
      </c>
      <c r="J102" s="138">
        <f t="shared" si="56"/>
        <v>30.75</v>
      </c>
      <c r="K102" s="138">
        <f t="shared" si="56"/>
        <v>13.666666666666666</v>
      </c>
      <c r="L102" s="138">
        <f t="shared" si="56"/>
        <v>30.75</v>
      </c>
      <c r="M102" s="138">
        <f t="shared" si="56"/>
        <v>27.333333333333332</v>
      </c>
      <c r="N102" s="138">
        <f t="shared" si="56"/>
        <v>34.166666666666664</v>
      </c>
      <c r="O102" s="138">
        <f t="shared" si="56"/>
        <v>37.583333333333336</v>
      </c>
      <c r="P102" s="138">
        <f t="shared" si="56"/>
        <v>25.625</v>
      </c>
      <c r="Q102" s="138">
        <f t="shared" si="59"/>
        <v>29.041666666666668</v>
      </c>
      <c r="R102" s="138">
        <f t="shared" si="59"/>
        <v>41</v>
      </c>
      <c r="S102" s="139"/>
      <c r="T102" s="109">
        <v>82</v>
      </c>
      <c r="U102" s="109">
        <v>1</v>
      </c>
      <c r="V102" s="138">
        <f t="shared" si="57"/>
        <v>38.4375</v>
      </c>
      <c r="W102" s="138">
        <f t="shared" si="57"/>
        <v>20.5</v>
      </c>
      <c r="X102" s="138">
        <f t="shared" si="57"/>
        <v>46.125</v>
      </c>
      <c r="Y102" s="138">
        <f t="shared" si="57"/>
        <v>41</v>
      </c>
      <c r="Z102" s="138">
        <f t="shared" si="57"/>
        <v>102.5</v>
      </c>
      <c r="AA102" s="138">
        <f t="shared" si="57"/>
        <v>131.54166666666666</v>
      </c>
      <c r="AB102" s="138">
        <f t="shared" si="57"/>
        <v>38.4375</v>
      </c>
      <c r="AC102" s="138">
        <f t="shared" si="60"/>
        <v>43.5625</v>
      </c>
      <c r="AD102" s="138">
        <f t="shared" si="60"/>
        <v>123</v>
      </c>
      <c r="AE102" s="139"/>
      <c r="AF102" s="109">
        <v>82</v>
      </c>
      <c r="AG102" s="109">
        <v>1</v>
      </c>
      <c r="AH102" s="138">
        <f t="shared" si="55"/>
        <v>48.046875</v>
      </c>
      <c r="AI102" s="138">
        <f t="shared" si="54"/>
        <v>25.625</v>
      </c>
      <c r="AJ102" s="138">
        <f t="shared" si="54"/>
        <v>46.125</v>
      </c>
      <c r="AK102" s="138">
        <f t="shared" si="54"/>
        <v>41</v>
      </c>
      <c r="AL102" s="138">
        <f t="shared" si="54"/>
        <v>153.75</v>
      </c>
      <c r="AM102" s="138">
        <f t="shared" si="54"/>
        <v>197.3125</v>
      </c>
      <c r="AN102" s="138">
        <f t="shared" si="54"/>
        <v>38.4375</v>
      </c>
      <c r="AO102" s="138">
        <f t="shared" si="54"/>
        <v>13.666666666666666</v>
      </c>
      <c r="AP102" s="138">
        <f t="shared" si="54"/>
        <v>34.166666666666664</v>
      </c>
      <c r="AQ102" s="138">
        <f t="shared" si="52"/>
        <v>65.34375</v>
      </c>
      <c r="AR102" s="138">
        <f t="shared" si="52"/>
        <v>184.5</v>
      </c>
      <c r="AW102" s="140"/>
      <c r="AX102" s="140"/>
      <c r="AY102" s="139"/>
      <c r="AZ102" s="139"/>
      <c r="BA102" s="139"/>
      <c r="BB102" s="139"/>
      <c r="BC102" s="139"/>
      <c r="BD102" s="139"/>
      <c r="BE102" s="139"/>
    </row>
    <row r="103" spans="8:57">
      <c r="H103" s="109">
        <v>83</v>
      </c>
      <c r="I103" s="109">
        <v>1</v>
      </c>
      <c r="J103" s="138">
        <f t="shared" si="56"/>
        <v>31.125</v>
      </c>
      <c r="K103" s="138">
        <f t="shared" si="56"/>
        <v>13.833333333333334</v>
      </c>
      <c r="L103" s="138">
        <f t="shared" si="56"/>
        <v>31.125</v>
      </c>
      <c r="M103" s="138">
        <f t="shared" si="56"/>
        <v>27.666666666666668</v>
      </c>
      <c r="N103" s="138">
        <f t="shared" si="56"/>
        <v>34.583333333333336</v>
      </c>
      <c r="O103" s="138">
        <f t="shared" si="56"/>
        <v>38.041666666666664</v>
      </c>
      <c r="P103" s="138">
        <f t="shared" si="56"/>
        <v>25.9375</v>
      </c>
      <c r="Q103" s="138">
        <f t="shared" si="59"/>
        <v>29.395833333333332</v>
      </c>
      <c r="R103" s="138">
        <f t="shared" si="59"/>
        <v>41.5</v>
      </c>
      <c r="S103" s="139"/>
      <c r="T103" s="109">
        <v>83</v>
      </c>
      <c r="U103" s="109">
        <v>1</v>
      </c>
      <c r="V103" s="138">
        <f t="shared" si="57"/>
        <v>38.90625</v>
      </c>
      <c r="W103" s="138">
        <f t="shared" si="57"/>
        <v>20.75</v>
      </c>
      <c r="X103" s="138">
        <f t="shared" si="57"/>
        <v>46.6875</v>
      </c>
      <c r="Y103" s="138">
        <f t="shared" si="57"/>
        <v>41.5</v>
      </c>
      <c r="Z103" s="138">
        <f t="shared" si="57"/>
        <v>103.75</v>
      </c>
      <c r="AA103" s="138">
        <f t="shared" si="57"/>
        <v>133.14583333333334</v>
      </c>
      <c r="AB103" s="138">
        <f t="shared" si="57"/>
        <v>38.90625</v>
      </c>
      <c r="AC103" s="138">
        <f t="shared" si="60"/>
        <v>44.09375</v>
      </c>
      <c r="AD103" s="138">
        <f t="shared" si="60"/>
        <v>124.5</v>
      </c>
      <c r="AE103" s="139"/>
      <c r="AF103" s="109">
        <v>83</v>
      </c>
      <c r="AG103" s="109">
        <v>1</v>
      </c>
      <c r="AH103" s="138">
        <f t="shared" si="55"/>
        <v>48.6328125</v>
      </c>
      <c r="AI103" s="138">
        <f t="shared" si="54"/>
        <v>25.9375</v>
      </c>
      <c r="AJ103" s="138">
        <f t="shared" si="54"/>
        <v>46.6875</v>
      </c>
      <c r="AK103" s="138">
        <f t="shared" si="54"/>
        <v>41.5</v>
      </c>
      <c r="AL103" s="138">
        <f t="shared" si="54"/>
        <v>155.625</v>
      </c>
      <c r="AM103" s="138">
        <f t="shared" si="54"/>
        <v>199.71875</v>
      </c>
      <c r="AN103" s="138">
        <f t="shared" si="54"/>
        <v>38.90625</v>
      </c>
      <c r="AO103" s="138">
        <f t="shared" si="54"/>
        <v>13.833333333333334</v>
      </c>
      <c r="AP103" s="138">
        <f t="shared" si="54"/>
        <v>34.583333333333336</v>
      </c>
      <c r="AQ103" s="138">
        <f t="shared" si="52"/>
        <v>66.140625</v>
      </c>
      <c r="AR103" s="138">
        <f t="shared" si="52"/>
        <v>186.75</v>
      </c>
      <c r="AW103" s="140"/>
      <c r="AX103" s="140"/>
      <c r="AY103" s="139"/>
      <c r="AZ103" s="139"/>
      <c r="BA103" s="139"/>
      <c r="BB103" s="139"/>
      <c r="BC103" s="139"/>
      <c r="BD103" s="139"/>
      <c r="BE103" s="139"/>
    </row>
    <row r="104" spans="8:57">
      <c r="H104" s="109">
        <v>84</v>
      </c>
      <c r="I104" s="109">
        <v>1</v>
      </c>
      <c r="J104" s="138">
        <f t="shared" si="56"/>
        <v>31.5</v>
      </c>
      <c r="K104" s="138">
        <f t="shared" si="56"/>
        <v>14</v>
      </c>
      <c r="L104" s="138">
        <f t="shared" si="56"/>
        <v>31.5</v>
      </c>
      <c r="M104" s="138">
        <f t="shared" si="56"/>
        <v>28</v>
      </c>
      <c r="N104" s="138">
        <f t="shared" si="56"/>
        <v>35</v>
      </c>
      <c r="O104" s="138">
        <f t="shared" si="56"/>
        <v>38.5</v>
      </c>
      <c r="P104" s="138">
        <f t="shared" si="56"/>
        <v>26.25</v>
      </c>
      <c r="Q104" s="138">
        <f t="shared" si="59"/>
        <v>29.75</v>
      </c>
      <c r="R104" s="138">
        <f t="shared" si="59"/>
        <v>42</v>
      </c>
      <c r="S104" s="139"/>
      <c r="T104" s="109">
        <v>84</v>
      </c>
      <c r="U104" s="109">
        <v>1</v>
      </c>
      <c r="V104" s="138">
        <f t="shared" si="57"/>
        <v>39.375</v>
      </c>
      <c r="W104" s="138">
        <f t="shared" si="57"/>
        <v>21</v>
      </c>
      <c r="X104" s="138">
        <f t="shared" si="57"/>
        <v>47.25</v>
      </c>
      <c r="Y104" s="138">
        <f t="shared" si="57"/>
        <v>42</v>
      </c>
      <c r="Z104" s="138">
        <f t="shared" si="57"/>
        <v>105</v>
      </c>
      <c r="AA104" s="138">
        <f t="shared" si="57"/>
        <v>134.75</v>
      </c>
      <c r="AB104" s="138">
        <f t="shared" si="57"/>
        <v>39.375</v>
      </c>
      <c r="AC104" s="138">
        <f t="shared" si="60"/>
        <v>44.625</v>
      </c>
      <c r="AD104" s="138">
        <f t="shared" si="60"/>
        <v>126</v>
      </c>
      <c r="AE104" s="139"/>
      <c r="AF104" s="109">
        <v>84</v>
      </c>
      <c r="AG104" s="109">
        <v>1</v>
      </c>
      <c r="AH104" s="138">
        <f t="shared" si="55"/>
        <v>49.21875</v>
      </c>
      <c r="AI104" s="138">
        <f t="shared" si="54"/>
        <v>26.25</v>
      </c>
      <c r="AJ104" s="138">
        <f t="shared" si="54"/>
        <v>47.25</v>
      </c>
      <c r="AK104" s="138">
        <f t="shared" si="54"/>
        <v>42</v>
      </c>
      <c r="AL104" s="138">
        <f t="shared" si="54"/>
        <v>157.5</v>
      </c>
      <c r="AM104" s="138">
        <f t="shared" si="54"/>
        <v>202.125</v>
      </c>
      <c r="AN104" s="138">
        <f t="shared" si="54"/>
        <v>39.375</v>
      </c>
      <c r="AO104" s="138">
        <f t="shared" si="54"/>
        <v>14</v>
      </c>
      <c r="AP104" s="138">
        <f t="shared" si="54"/>
        <v>35</v>
      </c>
      <c r="AQ104" s="138">
        <f t="shared" si="52"/>
        <v>66.9375</v>
      </c>
      <c r="AR104" s="138">
        <f t="shared" si="52"/>
        <v>189</v>
      </c>
      <c r="AW104" s="140"/>
      <c r="AX104" s="140"/>
      <c r="AY104" s="139"/>
      <c r="AZ104" s="139"/>
      <c r="BA104" s="139"/>
      <c r="BB104" s="139"/>
      <c r="BC104" s="139"/>
      <c r="BD104" s="139"/>
      <c r="BE104" s="139"/>
    </row>
    <row r="105" spans="8:57">
      <c r="H105" s="109">
        <v>85</v>
      </c>
      <c r="I105" s="109">
        <v>1</v>
      </c>
      <c r="J105" s="138">
        <f t="shared" si="56"/>
        <v>31.875</v>
      </c>
      <c r="K105" s="138">
        <f t="shared" si="56"/>
        <v>14.166666666666666</v>
      </c>
      <c r="L105" s="138">
        <f t="shared" si="56"/>
        <v>31.875</v>
      </c>
      <c r="M105" s="138">
        <f t="shared" si="56"/>
        <v>28.333333333333332</v>
      </c>
      <c r="N105" s="138">
        <f t="shared" si="56"/>
        <v>35.416666666666664</v>
      </c>
      <c r="O105" s="138">
        <f t="shared" si="56"/>
        <v>38.958333333333336</v>
      </c>
      <c r="P105" s="138">
        <f t="shared" si="56"/>
        <v>26.5625</v>
      </c>
      <c r="Q105" s="138">
        <f t="shared" si="59"/>
        <v>30.104166666666668</v>
      </c>
      <c r="R105" s="138">
        <f t="shared" si="59"/>
        <v>42.5</v>
      </c>
      <c r="S105" s="139"/>
      <c r="T105" s="109">
        <v>85</v>
      </c>
      <c r="U105" s="109">
        <v>1</v>
      </c>
      <c r="V105" s="138">
        <f t="shared" si="57"/>
        <v>39.84375</v>
      </c>
      <c r="W105" s="138">
        <f t="shared" si="57"/>
        <v>21.25</v>
      </c>
      <c r="X105" s="138">
        <f t="shared" si="57"/>
        <v>47.8125</v>
      </c>
      <c r="Y105" s="138">
        <f t="shared" si="57"/>
        <v>42.5</v>
      </c>
      <c r="Z105" s="138">
        <f t="shared" si="57"/>
        <v>106.25</v>
      </c>
      <c r="AA105" s="138">
        <f t="shared" si="57"/>
        <v>136.35416666666666</v>
      </c>
      <c r="AB105" s="138">
        <f t="shared" si="57"/>
        <v>39.84375</v>
      </c>
      <c r="AC105" s="138">
        <f t="shared" si="60"/>
        <v>45.15625</v>
      </c>
      <c r="AD105" s="138">
        <f t="shared" si="60"/>
        <v>127.5</v>
      </c>
      <c r="AE105" s="139"/>
      <c r="AF105" s="109">
        <v>85</v>
      </c>
      <c r="AG105" s="109">
        <v>1</v>
      </c>
      <c r="AH105" s="138">
        <f t="shared" si="55"/>
        <v>49.8046875</v>
      </c>
      <c r="AI105" s="138">
        <f t="shared" si="54"/>
        <v>26.5625</v>
      </c>
      <c r="AJ105" s="138">
        <f t="shared" si="54"/>
        <v>47.8125</v>
      </c>
      <c r="AK105" s="138">
        <f t="shared" si="54"/>
        <v>42.5</v>
      </c>
      <c r="AL105" s="138">
        <f t="shared" si="54"/>
        <v>159.375</v>
      </c>
      <c r="AM105" s="138">
        <f t="shared" si="54"/>
        <v>204.53125</v>
      </c>
      <c r="AN105" s="138">
        <f t="shared" si="54"/>
        <v>39.84375</v>
      </c>
      <c r="AO105" s="138">
        <f t="shared" si="54"/>
        <v>14.166666666666666</v>
      </c>
      <c r="AP105" s="138">
        <f t="shared" si="54"/>
        <v>35.416666666666664</v>
      </c>
      <c r="AQ105" s="138">
        <f t="shared" si="52"/>
        <v>67.734375</v>
      </c>
      <c r="AR105" s="138">
        <f t="shared" si="52"/>
        <v>191.25</v>
      </c>
      <c r="AW105" s="140"/>
      <c r="AX105" s="140"/>
      <c r="AY105" s="139"/>
      <c r="AZ105" s="139"/>
      <c r="BA105" s="139"/>
      <c r="BB105" s="139"/>
      <c r="BC105" s="139"/>
      <c r="BD105" s="139"/>
      <c r="BE105" s="139"/>
    </row>
    <row r="106" spans="8:57">
      <c r="H106" s="109">
        <v>86</v>
      </c>
      <c r="I106" s="109">
        <v>1</v>
      </c>
      <c r="J106" s="138">
        <f t="shared" si="56"/>
        <v>32.25</v>
      </c>
      <c r="K106" s="138">
        <f t="shared" si="56"/>
        <v>14.333333333333334</v>
      </c>
      <c r="L106" s="138">
        <f t="shared" si="56"/>
        <v>32.25</v>
      </c>
      <c r="M106" s="138">
        <f t="shared" si="56"/>
        <v>28.666666666666668</v>
      </c>
      <c r="N106" s="138">
        <f t="shared" si="56"/>
        <v>35.833333333333336</v>
      </c>
      <c r="O106" s="138">
        <f t="shared" si="56"/>
        <v>39.416666666666664</v>
      </c>
      <c r="P106" s="138">
        <f t="shared" si="56"/>
        <v>26.875</v>
      </c>
      <c r="Q106" s="138">
        <f t="shared" si="59"/>
        <v>30.458333333333332</v>
      </c>
      <c r="R106" s="138">
        <f t="shared" si="59"/>
        <v>43</v>
      </c>
      <c r="S106" s="139"/>
      <c r="T106" s="109">
        <v>86</v>
      </c>
      <c r="U106" s="109">
        <v>1</v>
      </c>
      <c r="V106" s="138">
        <f t="shared" si="57"/>
        <v>40.3125</v>
      </c>
      <c r="W106" s="138">
        <f t="shared" si="57"/>
        <v>21.5</v>
      </c>
      <c r="X106" s="138">
        <f t="shared" si="57"/>
        <v>48.375</v>
      </c>
      <c r="Y106" s="138">
        <f t="shared" si="57"/>
        <v>43</v>
      </c>
      <c r="Z106" s="138">
        <f t="shared" si="57"/>
        <v>107.5</v>
      </c>
      <c r="AA106" s="138">
        <f t="shared" si="57"/>
        <v>137.95833333333334</v>
      </c>
      <c r="AB106" s="138">
        <f t="shared" si="57"/>
        <v>40.3125</v>
      </c>
      <c r="AC106" s="138">
        <f t="shared" si="60"/>
        <v>45.6875</v>
      </c>
      <c r="AD106" s="138">
        <f t="shared" si="60"/>
        <v>129</v>
      </c>
      <c r="AE106" s="139"/>
      <c r="AF106" s="109">
        <v>86</v>
      </c>
      <c r="AG106" s="109">
        <v>1</v>
      </c>
      <c r="AH106" s="138">
        <f t="shared" si="55"/>
        <v>50.390625</v>
      </c>
      <c r="AI106" s="138">
        <f t="shared" si="54"/>
        <v>26.875</v>
      </c>
      <c r="AJ106" s="138">
        <f t="shared" si="54"/>
        <v>48.375</v>
      </c>
      <c r="AK106" s="138">
        <f t="shared" si="54"/>
        <v>43</v>
      </c>
      <c r="AL106" s="138">
        <f t="shared" si="54"/>
        <v>161.25</v>
      </c>
      <c r="AM106" s="138">
        <f t="shared" si="54"/>
        <v>206.9375</v>
      </c>
      <c r="AN106" s="138">
        <f t="shared" si="54"/>
        <v>40.3125</v>
      </c>
      <c r="AO106" s="138">
        <f t="shared" si="54"/>
        <v>14.333333333333334</v>
      </c>
      <c r="AP106" s="138">
        <f t="shared" si="54"/>
        <v>35.833333333333336</v>
      </c>
      <c r="AQ106" s="138">
        <f t="shared" si="52"/>
        <v>68.53125</v>
      </c>
      <c r="AR106" s="138">
        <f t="shared" si="52"/>
        <v>193.5</v>
      </c>
      <c r="AW106" s="140"/>
      <c r="AX106" s="140"/>
      <c r="AY106" s="139"/>
      <c r="AZ106" s="139"/>
      <c r="BA106" s="139"/>
      <c r="BB106" s="139"/>
      <c r="BC106" s="139"/>
      <c r="BD106" s="139"/>
      <c r="BE106" s="139"/>
    </row>
    <row r="107" spans="8:57">
      <c r="H107" s="109">
        <v>87</v>
      </c>
      <c r="I107" s="109">
        <v>1</v>
      </c>
      <c r="J107" s="138">
        <f t="shared" si="56"/>
        <v>32.625</v>
      </c>
      <c r="K107" s="138">
        <f t="shared" si="56"/>
        <v>14.5</v>
      </c>
      <c r="L107" s="138">
        <f t="shared" si="56"/>
        <v>32.625</v>
      </c>
      <c r="M107" s="138">
        <f t="shared" si="56"/>
        <v>29</v>
      </c>
      <c r="N107" s="138">
        <f t="shared" si="56"/>
        <v>36.25</v>
      </c>
      <c r="O107" s="138">
        <f t="shared" si="56"/>
        <v>39.875</v>
      </c>
      <c r="P107" s="138">
        <f t="shared" si="56"/>
        <v>27.1875</v>
      </c>
      <c r="Q107" s="138">
        <f t="shared" ref="Q107:R120" si="61">+Q$18*$H107/12*$I107</f>
        <v>30.8125</v>
      </c>
      <c r="R107" s="138">
        <f t="shared" si="61"/>
        <v>43.5</v>
      </c>
      <c r="S107" s="139"/>
      <c r="T107" s="109">
        <v>87</v>
      </c>
      <c r="U107" s="109">
        <v>1</v>
      </c>
      <c r="V107" s="138">
        <f t="shared" si="57"/>
        <v>40.78125</v>
      </c>
      <c r="W107" s="138">
        <f t="shared" si="57"/>
        <v>21.75</v>
      </c>
      <c r="X107" s="138">
        <f t="shared" si="57"/>
        <v>48.9375</v>
      </c>
      <c r="Y107" s="138">
        <f t="shared" si="57"/>
        <v>43.5</v>
      </c>
      <c r="Z107" s="138">
        <f t="shared" si="57"/>
        <v>108.75</v>
      </c>
      <c r="AA107" s="138">
        <f t="shared" si="57"/>
        <v>139.5625</v>
      </c>
      <c r="AB107" s="138">
        <f t="shared" si="57"/>
        <v>40.78125</v>
      </c>
      <c r="AC107" s="138">
        <f t="shared" si="60"/>
        <v>46.21875</v>
      </c>
      <c r="AD107" s="138">
        <f t="shared" si="60"/>
        <v>130.5</v>
      </c>
      <c r="AE107" s="139"/>
      <c r="AF107" s="109">
        <v>87</v>
      </c>
      <c r="AG107" s="109">
        <v>1</v>
      </c>
      <c r="AH107" s="138">
        <f t="shared" si="55"/>
        <v>50.9765625</v>
      </c>
      <c r="AI107" s="138">
        <f t="shared" si="54"/>
        <v>27.1875</v>
      </c>
      <c r="AJ107" s="138">
        <f t="shared" si="54"/>
        <v>48.9375</v>
      </c>
      <c r="AK107" s="138">
        <f t="shared" si="54"/>
        <v>43.5</v>
      </c>
      <c r="AL107" s="138">
        <f t="shared" si="54"/>
        <v>163.125</v>
      </c>
      <c r="AM107" s="138">
        <f t="shared" si="54"/>
        <v>209.34375</v>
      </c>
      <c r="AN107" s="138">
        <f t="shared" si="54"/>
        <v>40.78125</v>
      </c>
      <c r="AO107" s="138">
        <f t="shared" si="54"/>
        <v>14.5</v>
      </c>
      <c r="AP107" s="138">
        <f t="shared" si="54"/>
        <v>36.25</v>
      </c>
      <c r="AQ107" s="138">
        <f t="shared" si="52"/>
        <v>69.328125</v>
      </c>
      <c r="AR107" s="138">
        <f t="shared" si="52"/>
        <v>195.75</v>
      </c>
      <c r="AW107" s="140"/>
      <c r="AX107" s="140"/>
      <c r="AY107" s="139"/>
      <c r="AZ107" s="139"/>
      <c r="BA107" s="139"/>
      <c r="BB107" s="139"/>
      <c r="BC107" s="139"/>
      <c r="BD107" s="139"/>
      <c r="BE107" s="139"/>
    </row>
    <row r="108" spans="8:57">
      <c r="H108" s="109">
        <v>88</v>
      </c>
      <c r="I108" s="109">
        <v>1</v>
      </c>
      <c r="J108" s="138">
        <f t="shared" si="56"/>
        <v>33</v>
      </c>
      <c r="K108" s="138">
        <f t="shared" si="56"/>
        <v>14.666666666666666</v>
      </c>
      <c r="L108" s="138">
        <f t="shared" si="56"/>
        <v>33</v>
      </c>
      <c r="M108" s="138">
        <f t="shared" si="56"/>
        <v>29.333333333333332</v>
      </c>
      <c r="N108" s="138">
        <f t="shared" si="56"/>
        <v>36.666666666666664</v>
      </c>
      <c r="O108" s="138">
        <f t="shared" si="56"/>
        <v>40.333333333333336</v>
      </c>
      <c r="P108" s="138">
        <f t="shared" si="56"/>
        <v>27.5</v>
      </c>
      <c r="Q108" s="138">
        <f t="shared" si="61"/>
        <v>31.166666666666668</v>
      </c>
      <c r="R108" s="138">
        <f t="shared" si="61"/>
        <v>44</v>
      </c>
      <c r="S108" s="139"/>
      <c r="T108" s="109">
        <v>88</v>
      </c>
      <c r="U108" s="109">
        <v>1</v>
      </c>
      <c r="V108" s="138">
        <f t="shared" si="57"/>
        <v>41.25</v>
      </c>
      <c r="W108" s="138">
        <f t="shared" si="57"/>
        <v>22</v>
      </c>
      <c r="X108" s="138">
        <f t="shared" si="57"/>
        <v>49.5</v>
      </c>
      <c r="Y108" s="138">
        <f t="shared" si="57"/>
        <v>44</v>
      </c>
      <c r="Z108" s="138">
        <f t="shared" si="57"/>
        <v>110</v>
      </c>
      <c r="AA108" s="138">
        <f t="shared" si="57"/>
        <v>141.16666666666666</v>
      </c>
      <c r="AB108" s="138">
        <f t="shared" si="57"/>
        <v>41.25</v>
      </c>
      <c r="AC108" s="138">
        <f t="shared" si="60"/>
        <v>46.75</v>
      </c>
      <c r="AD108" s="138">
        <f t="shared" si="60"/>
        <v>132</v>
      </c>
      <c r="AE108" s="139"/>
      <c r="AF108" s="109">
        <v>88</v>
      </c>
      <c r="AG108" s="109">
        <v>1</v>
      </c>
      <c r="AH108" s="138">
        <f t="shared" si="55"/>
        <v>51.5625</v>
      </c>
      <c r="AI108" s="138">
        <f t="shared" si="54"/>
        <v>27.5</v>
      </c>
      <c r="AJ108" s="138">
        <f t="shared" si="54"/>
        <v>49.5</v>
      </c>
      <c r="AK108" s="138">
        <f t="shared" si="54"/>
        <v>44</v>
      </c>
      <c r="AL108" s="138">
        <f t="shared" si="54"/>
        <v>165</v>
      </c>
      <c r="AM108" s="138">
        <f t="shared" si="54"/>
        <v>211.75</v>
      </c>
      <c r="AN108" s="138">
        <f t="shared" si="54"/>
        <v>41.25</v>
      </c>
      <c r="AO108" s="138">
        <f t="shared" si="54"/>
        <v>14.666666666666666</v>
      </c>
      <c r="AP108" s="138">
        <f t="shared" si="54"/>
        <v>36.666666666666664</v>
      </c>
      <c r="AQ108" s="138">
        <f t="shared" si="52"/>
        <v>70.125</v>
      </c>
      <c r="AR108" s="138">
        <f t="shared" si="52"/>
        <v>198</v>
      </c>
      <c r="AW108" s="140"/>
      <c r="AX108" s="140"/>
      <c r="AY108" s="139"/>
      <c r="AZ108" s="139"/>
      <c r="BA108" s="139"/>
      <c r="BB108" s="139"/>
      <c r="BC108" s="139"/>
      <c r="BD108" s="139"/>
      <c r="BE108" s="139"/>
    </row>
    <row r="109" spans="8:57">
      <c r="H109" s="109">
        <v>89</v>
      </c>
      <c r="I109" s="109">
        <v>1</v>
      </c>
      <c r="J109" s="138">
        <f t="shared" si="56"/>
        <v>33.375</v>
      </c>
      <c r="K109" s="138">
        <f t="shared" si="56"/>
        <v>14.833333333333334</v>
      </c>
      <c r="L109" s="138">
        <f t="shared" si="56"/>
        <v>33.375</v>
      </c>
      <c r="M109" s="138">
        <f t="shared" si="56"/>
        <v>29.666666666666668</v>
      </c>
      <c r="N109" s="138">
        <f t="shared" si="56"/>
        <v>37.083333333333336</v>
      </c>
      <c r="O109" s="138">
        <f t="shared" si="56"/>
        <v>40.791666666666664</v>
      </c>
      <c r="P109" s="138">
        <f t="shared" si="56"/>
        <v>27.8125</v>
      </c>
      <c r="Q109" s="138">
        <f t="shared" si="61"/>
        <v>31.520833333333332</v>
      </c>
      <c r="R109" s="138">
        <f t="shared" si="61"/>
        <v>44.5</v>
      </c>
      <c r="S109" s="139"/>
      <c r="T109" s="109">
        <v>89</v>
      </c>
      <c r="U109" s="109">
        <v>1</v>
      </c>
      <c r="V109" s="138">
        <f t="shared" si="57"/>
        <v>41.71875</v>
      </c>
      <c r="W109" s="138">
        <f t="shared" si="57"/>
        <v>22.25</v>
      </c>
      <c r="X109" s="138">
        <f t="shared" si="57"/>
        <v>50.0625</v>
      </c>
      <c r="Y109" s="138">
        <f t="shared" si="57"/>
        <v>44.5</v>
      </c>
      <c r="Z109" s="138">
        <f t="shared" si="57"/>
        <v>111.25</v>
      </c>
      <c r="AA109" s="138">
        <f t="shared" si="57"/>
        <v>142.77083333333334</v>
      </c>
      <c r="AB109" s="138">
        <f t="shared" si="57"/>
        <v>41.71875</v>
      </c>
      <c r="AC109" s="138">
        <f t="shared" si="60"/>
        <v>47.28125</v>
      </c>
      <c r="AD109" s="138">
        <f t="shared" si="60"/>
        <v>133.5</v>
      </c>
      <c r="AE109" s="139"/>
      <c r="AF109" s="109">
        <v>89</v>
      </c>
      <c r="AG109" s="109">
        <v>1</v>
      </c>
      <c r="AH109" s="138">
        <f t="shared" si="55"/>
        <v>52.1484375</v>
      </c>
      <c r="AI109" s="138">
        <f t="shared" si="54"/>
        <v>27.8125</v>
      </c>
      <c r="AJ109" s="138">
        <f t="shared" si="54"/>
        <v>50.0625</v>
      </c>
      <c r="AK109" s="138">
        <f t="shared" si="54"/>
        <v>44.5</v>
      </c>
      <c r="AL109" s="138">
        <f t="shared" si="54"/>
        <v>166.875</v>
      </c>
      <c r="AM109" s="138">
        <f t="shared" si="54"/>
        <v>214.15625</v>
      </c>
      <c r="AN109" s="138">
        <f t="shared" si="54"/>
        <v>41.71875</v>
      </c>
      <c r="AO109" s="138">
        <f t="shared" si="54"/>
        <v>14.833333333333334</v>
      </c>
      <c r="AP109" s="138">
        <f t="shared" si="54"/>
        <v>37.083333333333336</v>
      </c>
      <c r="AQ109" s="138">
        <f t="shared" si="52"/>
        <v>70.921875</v>
      </c>
      <c r="AR109" s="138">
        <f t="shared" si="52"/>
        <v>200.25</v>
      </c>
    </row>
    <row r="110" spans="8:57">
      <c r="H110" s="109">
        <v>90</v>
      </c>
      <c r="I110" s="109">
        <v>1</v>
      </c>
      <c r="J110" s="138">
        <f t="shared" si="56"/>
        <v>33.75</v>
      </c>
      <c r="K110" s="138">
        <f t="shared" si="56"/>
        <v>15</v>
      </c>
      <c r="L110" s="138">
        <f t="shared" si="56"/>
        <v>33.75</v>
      </c>
      <c r="M110" s="138">
        <f t="shared" si="56"/>
        <v>30</v>
      </c>
      <c r="N110" s="138">
        <f t="shared" si="56"/>
        <v>37.5</v>
      </c>
      <c r="O110" s="138">
        <f t="shared" si="56"/>
        <v>41.25</v>
      </c>
      <c r="P110" s="138">
        <f t="shared" si="56"/>
        <v>28.125</v>
      </c>
      <c r="Q110" s="138">
        <f t="shared" si="61"/>
        <v>31.875</v>
      </c>
      <c r="R110" s="138">
        <f t="shared" si="61"/>
        <v>45</v>
      </c>
      <c r="S110" s="139"/>
      <c r="T110" s="109">
        <v>90</v>
      </c>
      <c r="U110" s="109">
        <v>1</v>
      </c>
      <c r="V110" s="138">
        <f t="shared" si="57"/>
        <v>42.1875</v>
      </c>
      <c r="W110" s="138">
        <f t="shared" si="57"/>
        <v>22.5</v>
      </c>
      <c r="X110" s="138">
        <f t="shared" si="57"/>
        <v>50.625</v>
      </c>
      <c r="Y110" s="138">
        <f t="shared" si="57"/>
        <v>45</v>
      </c>
      <c r="Z110" s="138">
        <f t="shared" si="57"/>
        <v>112.5</v>
      </c>
      <c r="AA110" s="138">
        <f t="shared" si="57"/>
        <v>144.375</v>
      </c>
      <c r="AB110" s="138">
        <f t="shared" si="57"/>
        <v>42.1875</v>
      </c>
      <c r="AC110" s="138">
        <f t="shared" si="60"/>
        <v>47.8125</v>
      </c>
      <c r="AD110" s="138">
        <f t="shared" si="60"/>
        <v>135</v>
      </c>
      <c r="AE110" s="139"/>
      <c r="AF110" s="109">
        <v>90</v>
      </c>
      <c r="AG110" s="109">
        <v>1</v>
      </c>
      <c r="AH110" s="138">
        <f t="shared" si="55"/>
        <v>52.734375</v>
      </c>
      <c r="AI110" s="138">
        <f t="shared" si="54"/>
        <v>28.125</v>
      </c>
      <c r="AJ110" s="138">
        <f t="shared" si="54"/>
        <v>50.625</v>
      </c>
      <c r="AK110" s="138">
        <f t="shared" si="54"/>
        <v>45</v>
      </c>
      <c r="AL110" s="138">
        <f t="shared" si="54"/>
        <v>168.75</v>
      </c>
      <c r="AM110" s="138">
        <f t="shared" si="54"/>
        <v>216.5625</v>
      </c>
      <c r="AN110" s="138">
        <f t="shared" si="54"/>
        <v>42.1875</v>
      </c>
      <c r="AO110" s="138">
        <f t="shared" si="54"/>
        <v>15</v>
      </c>
      <c r="AP110" s="138">
        <f t="shared" si="54"/>
        <v>37.5</v>
      </c>
      <c r="AQ110" s="138">
        <f t="shared" si="52"/>
        <v>71.71875</v>
      </c>
      <c r="AR110" s="138">
        <f t="shared" si="52"/>
        <v>202.5</v>
      </c>
    </row>
    <row r="111" spans="8:57">
      <c r="H111" s="109">
        <v>91</v>
      </c>
      <c r="I111" s="109">
        <v>1</v>
      </c>
      <c r="J111" s="138">
        <f t="shared" si="56"/>
        <v>34.125</v>
      </c>
      <c r="K111" s="138">
        <f t="shared" si="56"/>
        <v>15.166666666666666</v>
      </c>
      <c r="L111" s="138">
        <f t="shared" si="56"/>
        <v>34.125</v>
      </c>
      <c r="M111" s="138">
        <f t="shared" si="56"/>
        <v>30.333333333333332</v>
      </c>
      <c r="N111" s="138">
        <f t="shared" si="56"/>
        <v>37.916666666666664</v>
      </c>
      <c r="O111" s="138">
        <f t="shared" si="56"/>
        <v>41.708333333333336</v>
      </c>
      <c r="P111" s="138">
        <f t="shared" si="56"/>
        <v>28.4375</v>
      </c>
      <c r="Q111" s="138">
        <f t="shared" si="61"/>
        <v>32.229166666666664</v>
      </c>
      <c r="R111" s="138">
        <f t="shared" si="61"/>
        <v>45.5</v>
      </c>
      <c r="S111" s="139"/>
      <c r="T111" s="109">
        <v>91</v>
      </c>
      <c r="U111" s="109">
        <v>1</v>
      </c>
      <c r="V111" s="138">
        <f t="shared" si="57"/>
        <v>42.65625</v>
      </c>
      <c r="W111" s="138">
        <f t="shared" si="57"/>
        <v>22.75</v>
      </c>
      <c r="X111" s="138">
        <f t="shared" si="57"/>
        <v>51.1875</v>
      </c>
      <c r="Y111" s="138">
        <f t="shared" si="57"/>
        <v>45.5</v>
      </c>
      <c r="Z111" s="138">
        <f t="shared" si="57"/>
        <v>113.75</v>
      </c>
      <c r="AA111" s="138">
        <f t="shared" si="57"/>
        <v>145.97916666666666</v>
      </c>
      <c r="AB111" s="138">
        <f t="shared" si="57"/>
        <v>42.65625</v>
      </c>
      <c r="AC111" s="138">
        <f t="shared" si="60"/>
        <v>48.34375</v>
      </c>
      <c r="AD111" s="138">
        <f t="shared" si="60"/>
        <v>136.5</v>
      </c>
      <c r="AE111" s="139"/>
      <c r="AF111" s="109">
        <v>91</v>
      </c>
      <c r="AG111" s="109">
        <v>1</v>
      </c>
      <c r="AH111" s="138">
        <f t="shared" si="55"/>
        <v>53.3203125</v>
      </c>
      <c r="AI111" s="138">
        <f t="shared" si="54"/>
        <v>28.4375</v>
      </c>
      <c r="AJ111" s="138">
        <f t="shared" si="54"/>
        <v>51.1875</v>
      </c>
      <c r="AK111" s="138">
        <f t="shared" si="54"/>
        <v>45.5</v>
      </c>
      <c r="AL111" s="138">
        <f t="shared" si="54"/>
        <v>170.625</v>
      </c>
      <c r="AM111" s="138">
        <f t="shared" si="54"/>
        <v>218.96875</v>
      </c>
      <c r="AN111" s="138">
        <f t="shared" si="54"/>
        <v>42.65625</v>
      </c>
      <c r="AO111" s="138">
        <f t="shared" si="54"/>
        <v>15.166666666666666</v>
      </c>
      <c r="AP111" s="138">
        <f t="shared" si="54"/>
        <v>37.916666666666664</v>
      </c>
      <c r="AQ111" s="138">
        <f t="shared" si="52"/>
        <v>72.515625</v>
      </c>
      <c r="AR111" s="138">
        <f t="shared" si="52"/>
        <v>204.75</v>
      </c>
    </row>
    <row r="112" spans="8:57">
      <c r="H112" s="109">
        <v>92</v>
      </c>
      <c r="I112" s="109">
        <v>1</v>
      </c>
      <c r="J112" s="138">
        <f t="shared" si="56"/>
        <v>34.5</v>
      </c>
      <c r="K112" s="138">
        <f t="shared" si="56"/>
        <v>15.333333333333334</v>
      </c>
      <c r="L112" s="138">
        <f t="shared" si="56"/>
        <v>34.5</v>
      </c>
      <c r="M112" s="138">
        <f t="shared" si="56"/>
        <v>30.666666666666668</v>
      </c>
      <c r="N112" s="138">
        <f t="shared" si="56"/>
        <v>38.333333333333336</v>
      </c>
      <c r="O112" s="138">
        <f t="shared" si="56"/>
        <v>42.166666666666664</v>
      </c>
      <c r="P112" s="138">
        <f t="shared" si="56"/>
        <v>28.75</v>
      </c>
      <c r="Q112" s="138">
        <f t="shared" si="61"/>
        <v>32.583333333333336</v>
      </c>
      <c r="R112" s="138">
        <f t="shared" si="61"/>
        <v>46</v>
      </c>
      <c r="S112" s="139"/>
      <c r="T112" s="109">
        <v>92</v>
      </c>
      <c r="U112" s="109">
        <v>1</v>
      </c>
      <c r="V112" s="138">
        <f t="shared" si="57"/>
        <v>43.125</v>
      </c>
      <c r="W112" s="138">
        <f t="shared" si="57"/>
        <v>23</v>
      </c>
      <c r="X112" s="138">
        <f t="shared" si="57"/>
        <v>51.75</v>
      </c>
      <c r="Y112" s="138">
        <f t="shared" si="57"/>
        <v>46</v>
      </c>
      <c r="Z112" s="138">
        <f t="shared" si="57"/>
        <v>115</v>
      </c>
      <c r="AA112" s="138">
        <f t="shared" si="57"/>
        <v>147.58333333333334</v>
      </c>
      <c r="AB112" s="138">
        <f t="shared" si="57"/>
        <v>43.125</v>
      </c>
      <c r="AC112" s="138">
        <f t="shared" si="60"/>
        <v>48.875</v>
      </c>
      <c r="AD112" s="138">
        <f t="shared" si="60"/>
        <v>138</v>
      </c>
      <c r="AE112" s="139"/>
      <c r="AF112" s="109">
        <v>92</v>
      </c>
      <c r="AG112" s="109">
        <v>1</v>
      </c>
      <c r="AH112" s="138">
        <f t="shared" si="55"/>
        <v>53.90625</v>
      </c>
      <c r="AI112" s="138">
        <f t="shared" si="54"/>
        <v>28.75</v>
      </c>
      <c r="AJ112" s="138">
        <f t="shared" si="54"/>
        <v>51.75</v>
      </c>
      <c r="AK112" s="138">
        <f t="shared" si="54"/>
        <v>46</v>
      </c>
      <c r="AL112" s="138">
        <f t="shared" si="54"/>
        <v>172.5</v>
      </c>
      <c r="AM112" s="138">
        <f t="shared" si="54"/>
        <v>221.375</v>
      </c>
      <c r="AN112" s="138">
        <f t="shared" si="54"/>
        <v>43.125</v>
      </c>
      <c r="AO112" s="138">
        <f t="shared" si="54"/>
        <v>15.333333333333334</v>
      </c>
      <c r="AP112" s="138">
        <f t="shared" si="54"/>
        <v>38.333333333333336</v>
      </c>
      <c r="AQ112" s="138">
        <f t="shared" si="52"/>
        <v>73.3125</v>
      </c>
      <c r="AR112" s="138">
        <f t="shared" si="52"/>
        <v>207</v>
      </c>
    </row>
    <row r="113" spans="8:44">
      <c r="H113" s="109">
        <v>93</v>
      </c>
      <c r="I113" s="109">
        <v>1</v>
      </c>
      <c r="J113" s="138">
        <f t="shared" si="56"/>
        <v>34.875</v>
      </c>
      <c r="K113" s="138">
        <f t="shared" si="56"/>
        <v>15.5</v>
      </c>
      <c r="L113" s="138">
        <f t="shared" si="56"/>
        <v>34.875</v>
      </c>
      <c r="M113" s="138">
        <f t="shared" si="56"/>
        <v>31</v>
      </c>
      <c r="N113" s="138">
        <f t="shared" si="56"/>
        <v>38.75</v>
      </c>
      <c r="O113" s="138">
        <f t="shared" si="56"/>
        <v>42.625</v>
      </c>
      <c r="P113" s="138">
        <f t="shared" si="56"/>
        <v>29.0625</v>
      </c>
      <c r="Q113" s="138">
        <f t="shared" si="61"/>
        <v>32.9375</v>
      </c>
      <c r="R113" s="138">
        <f t="shared" si="61"/>
        <v>46.5</v>
      </c>
      <c r="S113" s="139"/>
      <c r="T113" s="109">
        <v>93</v>
      </c>
      <c r="U113" s="109">
        <v>1</v>
      </c>
      <c r="V113" s="138">
        <f t="shared" si="57"/>
        <v>43.59375</v>
      </c>
      <c r="W113" s="138">
        <f t="shared" si="57"/>
        <v>23.25</v>
      </c>
      <c r="X113" s="138">
        <f t="shared" si="57"/>
        <v>52.3125</v>
      </c>
      <c r="Y113" s="138">
        <f t="shared" si="57"/>
        <v>46.5</v>
      </c>
      <c r="Z113" s="138">
        <f t="shared" si="57"/>
        <v>116.25</v>
      </c>
      <c r="AA113" s="138">
        <f t="shared" si="57"/>
        <v>149.1875</v>
      </c>
      <c r="AB113" s="138">
        <f t="shared" si="57"/>
        <v>43.59375</v>
      </c>
      <c r="AC113" s="138">
        <f t="shared" si="60"/>
        <v>49.40625</v>
      </c>
      <c r="AD113" s="138">
        <f t="shared" si="60"/>
        <v>139.5</v>
      </c>
      <c r="AE113" s="139"/>
      <c r="AF113" s="109">
        <v>93</v>
      </c>
      <c r="AG113" s="109">
        <v>1</v>
      </c>
      <c r="AH113" s="138">
        <f t="shared" si="55"/>
        <v>54.4921875</v>
      </c>
      <c r="AI113" s="138">
        <f t="shared" si="54"/>
        <v>29.0625</v>
      </c>
      <c r="AJ113" s="138">
        <f t="shared" si="54"/>
        <v>52.3125</v>
      </c>
      <c r="AK113" s="138">
        <f t="shared" si="54"/>
        <v>46.5</v>
      </c>
      <c r="AL113" s="138">
        <f t="shared" si="54"/>
        <v>174.375</v>
      </c>
      <c r="AM113" s="138">
        <f t="shared" si="54"/>
        <v>223.78125</v>
      </c>
      <c r="AN113" s="138">
        <f t="shared" si="54"/>
        <v>43.59375</v>
      </c>
      <c r="AO113" s="138">
        <f t="shared" si="54"/>
        <v>15.5</v>
      </c>
      <c r="AP113" s="138">
        <f t="shared" si="54"/>
        <v>38.75</v>
      </c>
      <c r="AQ113" s="138">
        <f t="shared" si="52"/>
        <v>74.109375</v>
      </c>
      <c r="AR113" s="138">
        <f t="shared" si="52"/>
        <v>209.25</v>
      </c>
    </row>
    <row r="114" spans="8:44">
      <c r="H114" s="109">
        <v>94</v>
      </c>
      <c r="I114" s="109">
        <v>1</v>
      </c>
      <c r="J114" s="138">
        <f t="shared" si="56"/>
        <v>35.25</v>
      </c>
      <c r="K114" s="138">
        <f t="shared" si="56"/>
        <v>15.666666666666666</v>
      </c>
      <c r="L114" s="138">
        <f t="shared" si="56"/>
        <v>35.25</v>
      </c>
      <c r="M114" s="138">
        <f t="shared" si="56"/>
        <v>31.333333333333332</v>
      </c>
      <c r="N114" s="138">
        <f t="shared" si="56"/>
        <v>39.166666666666664</v>
      </c>
      <c r="O114" s="138">
        <f t="shared" si="56"/>
        <v>43.083333333333336</v>
      </c>
      <c r="P114" s="138">
        <f t="shared" si="56"/>
        <v>29.375</v>
      </c>
      <c r="Q114" s="138">
        <f t="shared" si="61"/>
        <v>33.291666666666664</v>
      </c>
      <c r="R114" s="138">
        <f t="shared" si="61"/>
        <v>47</v>
      </c>
      <c r="S114" s="139"/>
      <c r="T114" s="109">
        <v>94</v>
      </c>
      <c r="U114" s="109">
        <v>1</v>
      </c>
      <c r="V114" s="138">
        <f t="shared" si="57"/>
        <v>44.0625</v>
      </c>
      <c r="W114" s="138">
        <f t="shared" si="57"/>
        <v>23.5</v>
      </c>
      <c r="X114" s="138">
        <f t="shared" si="57"/>
        <v>52.875</v>
      </c>
      <c r="Y114" s="138">
        <f t="shared" si="57"/>
        <v>47</v>
      </c>
      <c r="Z114" s="138">
        <f t="shared" si="57"/>
        <v>117.5</v>
      </c>
      <c r="AA114" s="138">
        <f t="shared" si="57"/>
        <v>150.79166666666666</v>
      </c>
      <c r="AB114" s="138">
        <f t="shared" si="57"/>
        <v>44.0625</v>
      </c>
      <c r="AC114" s="138">
        <f t="shared" si="60"/>
        <v>49.9375</v>
      </c>
      <c r="AD114" s="138">
        <f t="shared" si="60"/>
        <v>141</v>
      </c>
      <c r="AE114" s="139"/>
      <c r="AF114" s="109">
        <v>94</v>
      </c>
      <c r="AG114" s="109">
        <v>1</v>
      </c>
      <c r="AH114" s="138">
        <f t="shared" si="55"/>
        <v>55.078125</v>
      </c>
      <c r="AI114" s="138">
        <f t="shared" si="54"/>
        <v>29.375</v>
      </c>
      <c r="AJ114" s="138">
        <f t="shared" ref="AI114:AR120" si="62">+AJ$18*$AF114/12*$AG114</f>
        <v>52.875</v>
      </c>
      <c r="AK114" s="138">
        <f t="shared" si="62"/>
        <v>47</v>
      </c>
      <c r="AL114" s="138">
        <f t="shared" si="62"/>
        <v>176.25</v>
      </c>
      <c r="AM114" s="138">
        <f t="shared" si="62"/>
        <v>226.1875</v>
      </c>
      <c r="AN114" s="138">
        <f t="shared" si="62"/>
        <v>44.0625</v>
      </c>
      <c r="AO114" s="138">
        <f t="shared" si="62"/>
        <v>15.666666666666666</v>
      </c>
      <c r="AP114" s="138">
        <f t="shared" si="62"/>
        <v>39.166666666666664</v>
      </c>
      <c r="AQ114" s="138">
        <f t="shared" si="62"/>
        <v>74.90625</v>
      </c>
      <c r="AR114" s="138">
        <f t="shared" si="62"/>
        <v>211.5</v>
      </c>
    </row>
    <row r="115" spans="8:44">
      <c r="H115" s="109">
        <v>95</v>
      </c>
      <c r="I115" s="109">
        <v>1</v>
      </c>
      <c r="J115" s="138">
        <f t="shared" si="56"/>
        <v>35.625</v>
      </c>
      <c r="K115" s="138">
        <f t="shared" si="56"/>
        <v>15.833333333333334</v>
      </c>
      <c r="L115" s="138">
        <f t="shared" si="56"/>
        <v>35.625</v>
      </c>
      <c r="M115" s="138">
        <f t="shared" si="56"/>
        <v>31.666666666666668</v>
      </c>
      <c r="N115" s="138">
        <f t="shared" si="56"/>
        <v>39.583333333333336</v>
      </c>
      <c r="O115" s="138">
        <f t="shared" si="56"/>
        <v>43.541666666666664</v>
      </c>
      <c r="P115" s="138">
        <f t="shared" si="56"/>
        <v>29.6875</v>
      </c>
      <c r="Q115" s="138">
        <f t="shared" si="61"/>
        <v>33.645833333333336</v>
      </c>
      <c r="R115" s="138">
        <f t="shared" si="61"/>
        <v>47.5</v>
      </c>
      <c r="S115" s="139"/>
      <c r="T115" s="109">
        <v>95</v>
      </c>
      <c r="U115" s="109">
        <v>1</v>
      </c>
      <c r="V115" s="138">
        <f t="shared" si="57"/>
        <v>44.53125</v>
      </c>
      <c r="W115" s="138">
        <f t="shared" si="57"/>
        <v>23.75</v>
      </c>
      <c r="X115" s="138">
        <f t="shared" si="57"/>
        <v>53.4375</v>
      </c>
      <c r="Y115" s="138">
        <f t="shared" si="57"/>
        <v>47.5</v>
      </c>
      <c r="Z115" s="138">
        <f t="shared" si="57"/>
        <v>118.75</v>
      </c>
      <c r="AA115" s="138">
        <f t="shared" si="57"/>
        <v>152.39583333333334</v>
      </c>
      <c r="AB115" s="138">
        <f t="shared" si="57"/>
        <v>44.53125</v>
      </c>
      <c r="AC115" s="138">
        <f t="shared" si="60"/>
        <v>50.46875</v>
      </c>
      <c r="AD115" s="138">
        <f t="shared" si="60"/>
        <v>142.5</v>
      </c>
      <c r="AE115" s="139"/>
      <c r="AF115" s="109">
        <v>95</v>
      </c>
      <c r="AG115" s="109">
        <v>1</v>
      </c>
      <c r="AH115" s="138">
        <f t="shared" si="55"/>
        <v>55.6640625</v>
      </c>
      <c r="AI115" s="138">
        <f t="shared" si="62"/>
        <v>29.6875</v>
      </c>
      <c r="AJ115" s="138">
        <f t="shared" si="62"/>
        <v>53.4375</v>
      </c>
      <c r="AK115" s="138">
        <f t="shared" si="62"/>
        <v>47.5</v>
      </c>
      <c r="AL115" s="138">
        <f t="shared" si="62"/>
        <v>178.125</v>
      </c>
      <c r="AM115" s="138">
        <f t="shared" si="62"/>
        <v>228.59375</v>
      </c>
      <c r="AN115" s="138">
        <f t="shared" si="62"/>
        <v>44.53125</v>
      </c>
      <c r="AO115" s="138">
        <f t="shared" si="62"/>
        <v>15.833333333333334</v>
      </c>
      <c r="AP115" s="138">
        <f t="shared" si="62"/>
        <v>39.583333333333336</v>
      </c>
      <c r="AQ115" s="138">
        <f t="shared" si="62"/>
        <v>75.703125</v>
      </c>
      <c r="AR115" s="138">
        <f t="shared" si="62"/>
        <v>213.75</v>
      </c>
    </row>
    <row r="116" spans="8:44">
      <c r="H116" s="109">
        <v>96</v>
      </c>
      <c r="I116" s="109">
        <v>1</v>
      </c>
      <c r="J116" s="138">
        <f t="shared" si="56"/>
        <v>36</v>
      </c>
      <c r="K116" s="138">
        <f t="shared" si="56"/>
        <v>16</v>
      </c>
      <c r="L116" s="138">
        <f t="shared" si="56"/>
        <v>36</v>
      </c>
      <c r="M116" s="138">
        <f t="shared" si="56"/>
        <v>32</v>
      </c>
      <c r="N116" s="138">
        <f t="shared" si="56"/>
        <v>40</v>
      </c>
      <c r="O116" s="138">
        <f t="shared" si="56"/>
        <v>44</v>
      </c>
      <c r="P116" s="138">
        <f t="shared" si="56"/>
        <v>30</v>
      </c>
      <c r="Q116" s="138">
        <f t="shared" si="61"/>
        <v>34</v>
      </c>
      <c r="R116" s="138">
        <f t="shared" si="61"/>
        <v>48</v>
      </c>
      <c r="S116" s="139"/>
      <c r="T116" s="109">
        <v>96</v>
      </c>
      <c r="U116" s="109">
        <v>1</v>
      </c>
      <c r="V116" s="138">
        <f t="shared" si="57"/>
        <v>45</v>
      </c>
      <c r="W116" s="138">
        <f t="shared" si="57"/>
        <v>24</v>
      </c>
      <c r="X116" s="138">
        <f t="shared" si="57"/>
        <v>54</v>
      </c>
      <c r="Y116" s="138">
        <f t="shared" si="57"/>
        <v>48</v>
      </c>
      <c r="Z116" s="138">
        <f t="shared" si="57"/>
        <v>120</v>
      </c>
      <c r="AA116" s="138">
        <f t="shared" si="57"/>
        <v>154</v>
      </c>
      <c r="AB116" s="138">
        <f t="shared" si="57"/>
        <v>45</v>
      </c>
      <c r="AC116" s="138">
        <f t="shared" si="60"/>
        <v>51</v>
      </c>
      <c r="AD116" s="138">
        <f t="shared" si="60"/>
        <v>144</v>
      </c>
      <c r="AE116" s="139"/>
      <c r="AF116" s="109">
        <v>96</v>
      </c>
      <c r="AG116" s="109">
        <v>1</v>
      </c>
      <c r="AH116" s="138">
        <f t="shared" si="55"/>
        <v>56.25</v>
      </c>
      <c r="AI116" s="138">
        <f t="shared" si="62"/>
        <v>30</v>
      </c>
      <c r="AJ116" s="138">
        <f t="shared" si="62"/>
        <v>54</v>
      </c>
      <c r="AK116" s="138">
        <f t="shared" si="62"/>
        <v>48</v>
      </c>
      <c r="AL116" s="138">
        <f t="shared" si="62"/>
        <v>180</v>
      </c>
      <c r="AM116" s="138">
        <f t="shared" si="62"/>
        <v>231</v>
      </c>
      <c r="AN116" s="138">
        <f t="shared" si="62"/>
        <v>45</v>
      </c>
      <c r="AO116" s="138">
        <f t="shared" si="62"/>
        <v>16</v>
      </c>
      <c r="AP116" s="138">
        <f t="shared" si="62"/>
        <v>40</v>
      </c>
      <c r="AQ116" s="138">
        <f t="shared" si="62"/>
        <v>76.5</v>
      </c>
      <c r="AR116" s="138">
        <f t="shared" si="62"/>
        <v>216</v>
      </c>
    </row>
    <row r="117" spans="8:44">
      <c r="H117" s="109">
        <v>97</v>
      </c>
      <c r="I117" s="109">
        <v>1</v>
      </c>
      <c r="J117" s="138">
        <f t="shared" si="56"/>
        <v>36.375</v>
      </c>
      <c r="K117" s="138">
        <f t="shared" si="56"/>
        <v>16.166666666666668</v>
      </c>
      <c r="L117" s="138">
        <f t="shared" si="56"/>
        <v>36.375</v>
      </c>
      <c r="M117" s="138">
        <f t="shared" si="56"/>
        <v>32.333333333333336</v>
      </c>
      <c r="N117" s="138">
        <f t="shared" si="56"/>
        <v>40.416666666666664</v>
      </c>
      <c r="O117" s="138">
        <f t="shared" si="56"/>
        <v>44.458333333333336</v>
      </c>
      <c r="P117" s="138">
        <f t="shared" si="56"/>
        <v>30.3125</v>
      </c>
      <c r="Q117" s="138">
        <f t="shared" si="61"/>
        <v>34.354166666666664</v>
      </c>
      <c r="R117" s="138">
        <f t="shared" si="61"/>
        <v>48.5</v>
      </c>
      <c r="S117" s="139"/>
      <c r="T117" s="109">
        <v>97</v>
      </c>
      <c r="U117" s="109">
        <v>1</v>
      </c>
      <c r="V117" s="138">
        <f t="shared" si="57"/>
        <v>45.46875</v>
      </c>
      <c r="W117" s="138">
        <f t="shared" si="57"/>
        <v>24.25</v>
      </c>
      <c r="X117" s="138">
        <f t="shared" si="57"/>
        <v>54.5625</v>
      </c>
      <c r="Y117" s="138">
        <f t="shared" si="57"/>
        <v>48.5</v>
      </c>
      <c r="Z117" s="138">
        <f t="shared" si="57"/>
        <v>121.25</v>
      </c>
      <c r="AA117" s="138">
        <f t="shared" si="57"/>
        <v>155.60416666666666</v>
      </c>
      <c r="AB117" s="138">
        <f t="shared" si="57"/>
        <v>45.46875</v>
      </c>
      <c r="AC117" s="138">
        <f t="shared" si="60"/>
        <v>51.53125</v>
      </c>
      <c r="AD117" s="138">
        <f t="shared" si="60"/>
        <v>145.5</v>
      </c>
      <c r="AE117" s="139"/>
      <c r="AF117" s="109">
        <v>97</v>
      </c>
      <c r="AG117" s="109">
        <v>1</v>
      </c>
      <c r="AH117" s="138">
        <f t="shared" si="55"/>
        <v>56.8359375</v>
      </c>
      <c r="AI117" s="138">
        <f t="shared" si="62"/>
        <v>30.3125</v>
      </c>
      <c r="AJ117" s="138">
        <f t="shared" si="62"/>
        <v>54.5625</v>
      </c>
      <c r="AK117" s="138">
        <f t="shared" si="62"/>
        <v>48.5</v>
      </c>
      <c r="AL117" s="138">
        <f t="shared" si="62"/>
        <v>181.875</v>
      </c>
      <c r="AM117" s="138">
        <f t="shared" si="62"/>
        <v>233.40625</v>
      </c>
      <c r="AN117" s="138">
        <f t="shared" si="62"/>
        <v>45.46875</v>
      </c>
      <c r="AO117" s="138">
        <f t="shared" si="62"/>
        <v>16.166666666666668</v>
      </c>
      <c r="AP117" s="138">
        <f t="shared" si="62"/>
        <v>40.416666666666664</v>
      </c>
      <c r="AQ117" s="138">
        <f t="shared" si="62"/>
        <v>77.296875</v>
      </c>
      <c r="AR117" s="138">
        <f t="shared" si="62"/>
        <v>218.25</v>
      </c>
    </row>
    <row r="118" spans="8:44">
      <c r="H118" s="109">
        <v>98</v>
      </c>
      <c r="I118" s="109">
        <v>1</v>
      </c>
      <c r="J118" s="138">
        <f t="shared" si="56"/>
        <v>36.75</v>
      </c>
      <c r="K118" s="138">
        <f t="shared" si="56"/>
        <v>16.333333333333332</v>
      </c>
      <c r="L118" s="138">
        <f t="shared" si="56"/>
        <v>36.75</v>
      </c>
      <c r="M118" s="138">
        <f t="shared" si="56"/>
        <v>32.666666666666664</v>
      </c>
      <c r="N118" s="138">
        <f t="shared" si="56"/>
        <v>40.833333333333336</v>
      </c>
      <c r="O118" s="138">
        <f t="shared" si="56"/>
        <v>44.916666666666664</v>
      </c>
      <c r="P118" s="138">
        <f t="shared" si="56"/>
        <v>30.625</v>
      </c>
      <c r="Q118" s="138">
        <f t="shared" si="61"/>
        <v>34.708333333333336</v>
      </c>
      <c r="R118" s="138">
        <f t="shared" si="61"/>
        <v>49</v>
      </c>
      <c r="S118" s="139"/>
      <c r="T118" s="109">
        <v>98</v>
      </c>
      <c r="U118" s="109">
        <v>1</v>
      </c>
      <c r="V118" s="138">
        <f t="shared" si="57"/>
        <v>45.9375</v>
      </c>
      <c r="W118" s="138">
        <f t="shared" si="57"/>
        <v>24.5</v>
      </c>
      <c r="X118" s="138">
        <f t="shared" si="57"/>
        <v>55.125</v>
      </c>
      <c r="Y118" s="138">
        <f t="shared" si="57"/>
        <v>49</v>
      </c>
      <c r="Z118" s="138">
        <f t="shared" si="57"/>
        <v>122.5</v>
      </c>
      <c r="AA118" s="138">
        <f t="shared" si="57"/>
        <v>157.20833333333334</v>
      </c>
      <c r="AB118" s="138">
        <f t="shared" si="57"/>
        <v>45.9375</v>
      </c>
      <c r="AC118" s="138">
        <f t="shared" si="60"/>
        <v>52.0625</v>
      </c>
      <c r="AD118" s="138">
        <f t="shared" si="60"/>
        <v>147</v>
      </c>
      <c r="AE118" s="139"/>
      <c r="AF118" s="109">
        <v>98</v>
      </c>
      <c r="AG118" s="109">
        <v>1</v>
      </c>
      <c r="AH118" s="138">
        <f t="shared" si="55"/>
        <v>57.421875</v>
      </c>
      <c r="AI118" s="138">
        <f t="shared" si="62"/>
        <v>30.625</v>
      </c>
      <c r="AJ118" s="138">
        <f t="shared" si="62"/>
        <v>55.125</v>
      </c>
      <c r="AK118" s="138">
        <f t="shared" si="62"/>
        <v>49</v>
      </c>
      <c r="AL118" s="138">
        <f t="shared" si="62"/>
        <v>183.75</v>
      </c>
      <c r="AM118" s="138">
        <f t="shared" si="62"/>
        <v>235.8125</v>
      </c>
      <c r="AN118" s="138">
        <f t="shared" si="62"/>
        <v>45.9375</v>
      </c>
      <c r="AO118" s="138">
        <f t="shared" si="62"/>
        <v>16.333333333333332</v>
      </c>
      <c r="AP118" s="138">
        <f t="shared" si="62"/>
        <v>40.833333333333336</v>
      </c>
      <c r="AQ118" s="138">
        <f t="shared" si="62"/>
        <v>78.09375</v>
      </c>
      <c r="AR118" s="138">
        <f t="shared" si="62"/>
        <v>220.5</v>
      </c>
    </row>
    <row r="119" spans="8:44">
      <c r="H119" s="109">
        <v>99</v>
      </c>
      <c r="I119" s="109">
        <v>1</v>
      </c>
      <c r="J119" s="138">
        <f t="shared" si="56"/>
        <v>37.125</v>
      </c>
      <c r="K119" s="138">
        <f t="shared" si="56"/>
        <v>16.5</v>
      </c>
      <c r="L119" s="138">
        <f t="shared" si="56"/>
        <v>37.125</v>
      </c>
      <c r="M119" s="138">
        <f t="shared" si="56"/>
        <v>33</v>
      </c>
      <c r="N119" s="138">
        <f t="shared" si="56"/>
        <v>41.25</v>
      </c>
      <c r="O119" s="138">
        <f t="shared" si="56"/>
        <v>45.375</v>
      </c>
      <c r="P119" s="138">
        <f t="shared" si="56"/>
        <v>30.9375</v>
      </c>
      <c r="Q119" s="138">
        <f t="shared" si="61"/>
        <v>35.0625</v>
      </c>
      <c r="R119" s="138">
        <f t="shared" si="61"/>
        <v>49.5</v>
      </c>
      <c r="S119" s="139"/>
      <c r="T119" s="109">
        <v>99</v>
      </c>
      <c r="U119" s="109">
        <v>1</v>
      </c>
      <c r="V119" s="138">
        <f t="shared" si="57"/>
        <v>46.40625</v>
      </c>
      <c r="W119" s="138">
        <f t="shared" si="57"/>
        <v>24.75</v>
      </c>
      <c r="X119" s="138">
        <f t="shared" si="57"/>
        <v>55.6875</v>
      </c>
      <c r="Y119" s="138">
        <f t="shared" si="57"/>
        <v>49.5</v>
      </c>
      <c r="Z119" s="138">
        <f t="shared" si="57"/>
        <v>123.75</v>
      </c>
      <c r="AA119" s="138">
        <f t="shared" si="57"/>
        <v>158.8125</v>
      </c>
      <c r="AB119" s="138">
        <f t="shared" si="57"/>
        <v>46.40625</v>
      </c>
      <c r="AC119" s="138">
        <f t="shared" si="60"/>
        <v>52.59375</v>
      </c>
      <c r="AD119" s="138">
        <f t="shared" si="60"/>
        <v>148.5</v>
      </c>
      <c r="AE119" s="139"/>
      <c r="AF119" s="109">
        <v>99</v>
      </c>
      <c r="AG119" s="109">
        <v>1</v>
      </c>
      <c r="AH119" s="138">
        <f t="shared" si="55"/>
        <v>58.0078125</v>
      </c>
      <c r="AI119" s="138">
        <f t="shared" si="62"/>
        <v>30.9375</v>
      </c>
      <c r="AJ119" s="138">
        <f t="shared" si="62"/>
        <v>55.6875</v>
      </c>
      <c r="AK119" s="138">
        <f t="shared" si="62"/>
        <v>49.5</v>
      </c>
      <c r="AL119" s="138">
        <f t="shared" si="62"/>
        <v>185.625</v>
      </c>
      <c r="AM119" s="138">
        <f t="shared" si="62"/>
        <v>238.21875</v>
      </c>
      <c r="AN119" s="138">
        <f t="shared" si="62"/>
        <v>46.40625</v>
      </c>
      <c r="AO119" s="138">
        <f t="shared" si="62"/>
        <v>16.5</v>
      </c>
      <c r="AP119" s="138">
        <f t="shared" si="62"/>
        <v>41.25</v>
      </c>
      <c r="AQ119" s="138">
        <f t="shared" si="62"/>
        <v>78.890625</v>
      </c>
      <c r="AR119" s="138">
        <f t="shared" si="62"/>
        <v>222.75</v>
      </c>
    </row>
    <row r="120" spans="8:44">
      <c r="H120" s="109">
        <v>100</v>
      </c>
      <c r="I120" s="109">
        <v>1</v>
      </c>
      <c r="J120" s="138">
        <f t="shared" si="56"/>
        <v>37.5</v>
      </c>
      <c r="K120" s="138">
        <f t="shared" si="56"/>
        <v>16.666666666666668</v>
      </c>
      <c r="L120" s="138">
        <f t="shared" si="56"/>
        <v>37.5</v>
      </c>
      <c r="M120" s="138">
        <f t="shared" si="56"/>
        <v>33.333333333333336</v>
      </c>
      <c r="N120" s="138">
        <f t="shared" si="56"/>
        <v>41.666666666666664</v>
      </c>
      <c r="O120" s="138">
        <f t="shared" si="56"/>
        <v>45.833333333333336</v>
      </c>
      <c r="P120" s="138">
        <f t="shared" si="56"/>
        <v>31.25</v>
      </c>
      <c r="Q120" s="138">
        <f t="shared" si="61"/>
        <v>35.416666666666664</v>
      </c>
      <c r="R120" s="138">
        <f t="shared" si="61"/>
        <v>50</v>
      </c>
      <c r="S120" s="139"/>
      <c r="T120" s="109">
        <v>100</v>
      </c>
      <c r="U120" s="109">
        <v>1</v>
      </c>
      <c r="V120" s="138">
        <f t="shared" si="57"/>
        <v>46.875</v>
      </c>
      <c r="W120" s="138">
        <f t="shared" si="57"/>
        <v>25</v>
      </c>
      <c r="X120" s="138">
        <f t="shared" si="57"/>
        <v>56.25</v>
      </c>
      <c r="Y120" s="138">
        <f t="shared" si="57"/>
        <v>50</v>
      </c>
      <c r="Z120" s="138">
        <f t="shared" si="57"/>
        <v>125</v>
      </c>
      <c r="AA120" s="138">
        <f t="shared" si="57"/>
        <v>160.41666666666666</v>
      </c>
      <c r="AB120" s="138">
        <f t="shared" si="57"/>
        <v>46.875</v>
      </c>
      <c r="AC120" s="138">
        <f t="shared" si="60"/>
        <v>53.125</v>
      </c>
      <c r="AD120" s="138">
        <f t="shared" si="60"/>
        <v>150</v>
      </c>
      <c r="AE120" s="139"/>
      <c r="AF120" s="109">
        <v>100</v>
      </c>
      <c r="AG120" s="109">
        <v>1</v>
      </c>
      <c r="AH120" s="138">
        <f t="shared" si="55"/>
        <v>58.59375</v>
      </c>
      <c r="AI120" s="138">
        <f t="shared" si="62"/>
        <v>31.25</v>
      </c>
      <c r="AJ120" s="138">
        <f t="shared" si="62"/>
        <v>56.25</v>
      </c>
      <c r="AK120" s="138">
        <f t="shared" si="62"/>
        <v>50</v>
      </c>
      <c r="AL120" s="138">
        <f t="shared" si="62"/>
        <v>187.5</v>
      </c>
      <c r="AM120" s="138">
        <f t="shared" si="62"/>
        <v>240.625</v>
      </c>
      <c r="AN120" s="138">
        <f t="shared" si="62"/>
        <v>46.875</v>
      </c>
      <c r="AO120" s="138">
        <f t="shared" si="62"/>
        <v>16.666666666666668</v>
      </c>
      <c r="AP120" s="138">
        <f t="shared" si="62"/>
        <v>41.666666666666664</v>
      </c>
      <c r="AQ120" s="138">
        <f t="shared" si="62"/>
        <v>79.6875</v>
      </c>
      <c r="AR120" s="138">
        <f t="shared" si="62"/>
        <v>225</v>
      </c>
    </row>
  </sheetData>
  <mergeCells count="85">
    <mergeCell ref="BV18:BV19"/>
    <mergeCell ref="CP18:CP19"/>
    <mergeCell ref="CQ18:CQ19"/>
    <mergeCell ref="CR18:CR19"/>
    <mergeCell ref="CK18:CK19"/>
    <mergeCell ref="CL18:CL19"/>
    <mergeCell ref="CD18:CD19"/>
    <mergeCell ref="BX18:BX19"/>
    <mergeCell ref="CB18:CB19"/>
    <mergeCell ref="BY18:BY19"/>
    <mergeCell ref="BZ18:BZ19"/>
    <mergeCell ref="CA18:CA19"/>
    <mergeCell ref="CF18:CF19"/>
    <mergeCell ref="CM18:CM19"/>
    <mergeCell ref="CG18:CG19"/>
    <mergeCell ref="CI18:CI19"/>
    <mergeCell ref="CJ18:CJ19"/>
    <mergeCell ref="CU18:CU19"/>
    <mergeCell ref="AU18:AU19"/>
    <mergeCell ref="AY18:AY19"/>
    <mergeCell ref="AZ18:AZ19"/>
    <mergeCell ref="BA18:BA19"/>
    <mergeCell ref="BB18:BB19"/>
    <mergeCell ref="BU18:BU19"/>
    <mergeCell ref="BO18:BO19"/>
    <mergeCell ref="CN18:CN19"/>
    <mergeCell ref="CT18:CT19"/>
    <mergeCell ref="BN18:BN19"/>
    <mergeCell ref="BQ18:BQ19"/>
    <mergeCell ref="CS18:CS19"/>
    <mergeCell ref="CO18:CO19"/>
    <mergeCell ref="CE18:CE20"/>
    <mergeCell ref="CH18:CH19"/>
    <mergeCell ref="CE22:CE38"/>
    <mergeCell ref="AT18:AT19"/>
    <mergeCell ref="AK18:AK19"/>
    <mergeCell ref="AM18:AM19"/>
    <mergeCell ref="AL18:AL19"/>
    <mergeCell ref="BD18:BD19"/>
    <mergeCell ref="BR18:BR19"/>
    <mergeCell ref="BW18:BW19"/>
    <mergeCell ref="BT18:BT19"/>
    <mergeCell ref="BP18:BP19"/>
    <mergeCell ref="BS18:BS19"/>
    <mergeCell ref="AQ18:AQ19"/>
    <mergeCell ref="AR18:AR19"/>
    <mergeCell ref="BC18:BC19"/>
    <mergeCell ref="AW18:AX19"/>
    <mergeCell ref="BM18:BM19"/>
    <mergeCell ref="AJ18:AJ19"/>
    <mergeCell ref="AN18:AN19"/>
    <mergeCell ref="AO18:AO19"/>
    <mergeCell ref="AP18:AP19"/>
    <mergeCell ref="BL18:BL19"/>
    <mergeCell ref="BE18:BE19"/>
    <mergeCell ref="BF18:BF19"/>
    <mergeCell ref="BG18:BG19"/>
    <mergeCell ref="BJ18:BJ19"/>
    <mergeCell ref="AI18:AI19"/>
    <mergeCell ref="P18:P19"/>
    <mergeCell ref="Q18:Q19"/>
    <mergeCell ref="R18:R19"/>
    <mergeCell ref="AD18:AD19"/>
    <mergeCell ref="AH18:AH19"/>
    <mergeCell ref="AF18:AG19"/>
    <mergeCell ref="W18:W19"/>
    <mergeCell ref="Y18:Y19"/>
    <mergeCell ref="AB18:AB19"/>
    <mergeCell ref="AC18:AC19"/>
    <mergeCell ref="V18:V19"/>
    <mergeCell ref="X18:X19"/>
    <mergeCell ref="Z18:Z19"/>
    <mergeCell ref="AA18:AA19"/>
    <mergeCell ref="E2:F3"/>
    <mergeCell ref="A18:B19"/>
    <mergeCell ref="T18:U19"/>
    <mergeCell ref="H18:I19"/>
    <mergeCell ref="D18:E19"/>
    <mergeCell ref="J18:J19"/>
    <mergeCell ref="K18:K19"/>
    <mergeCell ref="F18:F19"/>
    <mergeCell ref="N18:N19"/>
    <mergeCell ref="M18:M19"/>
    <mergeCell ref="L18:L19"/>
    <mergeCell ref="O18:O19"/>
  </mergeCells>
  <phoneticPr fontId="34" type="noConversion"/>
  <pageMargins left="0.78740157499999996" right="0.78740157499999996" top="0.984251969" bottom="0.984251969"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5</vt:i4>
      </vt:variant>
      <vt:variant>
        <vt:lpstr>Plages nommées</vt:lpstr>
      </vt:variant>
      <vt:variant>
        <vt:i4>147</vt:i4>
      </vt:variant>
    </vt:vector>
  </HeadingPairs>
  <TitlesOfParts>
    <vt:vector size="152" baseType="lpstr">
      <vt:lpstr>Paramètre</vt:lpstr>
      <vt:lpstr>Traduction</vt:lpstr>
      <vt:lpstr>Cotation</vt:lpstr>
      <vt:lpstr>Modele couleur</vt:lpstr>
      <vt:lpstr>BASE CALCULS </vt:lpstr>
      <vt:lpstr>Accompte</vt:lpstr>
      <vt:lpstr>action_fin</vt:lpstr>
      <vt:lpstr>Ancrage</vt:lpstr>
      <vt:lpstr>Ancrage_tot</vt:lpstr>
      <vt:lpstr>arrayDeviseCode</vt:lpstr>
      <vt:lpstr>clientAdresse1</vt:lpstr>
      <vt:lpstr>clientAdresse2</vt:lpstr>
      <vt:lpstr>clientCP</vt:lpstr>
      <vt:lpstr>clientNom</vt:lpstr>
      <vt:lpstr>clientPays</vt:lpstr>
      <vt:lpstr>clientRegion</vt:lpstr>
      <vt:lpstr>clientVille</vt:lpstr>
      <vt:lpstr>codeDevise</vt:lpstr>
      <vt:lpstr>Complexite</vt:lpstr>
      <vt:lpstr>ConditionPaiement</vt:lpstr>
      <vt:lpstr>ConditionPaiementInd</vt:lpstr>
      <vt:lpstr>ConditionPaiementSaisie</vt:lpstr>
      <vt:lpstr>contactCel</vt:lpstr>
      <vt:lpstr>contactFax</vt:lpstr>
      <vt:lpstr>contactMail</vt:lpstr>
      <vt:lpstr>contactNom</vt:lpstr>
      <vt:lpstr>contactPrenom</vt:lpstr>
      <vt:lpstr>contactTel</vt:lpstr>
      <vt:lpstr>cotationEmetteur</vt:lpstr>
      <vt:lpstr>cotationEmission</vt:lpstr>
      <vt:lpstr>cotationEmissionAn</vt:lpstr>
      <vt:lpstr>cotationEmissionJour</vt:lpstr>
      <vt:lpstr>cotationEmissionMois</vt:lpstr>
      <vt:lpstr>cotationNom</vt:lpstr>
      <vt:lpstr>cotationNumero</vt:lpstr>
      <vt:lpstr>cotationValideur</vt:lpstr>
      <vt:lpstr>Couleur</vt:lpstr>
      <vt:lpstr>cout_achat_pierre</vt:lpstr>
      <vt:lpstr>CratePU</vt:lpstr>
      <vt:lpstr>debutCotation</vt:lpstr>
      <vt:lpstr>debutTableau</vt:lpstr>
      <vt:lpstr>DelaiEscompte</vt:lpstr>
      <vt:lpstr>delaiNbr</vt:lpstr>
      <vt:lpstr>devideERP</vt:lpstr>
      <vt:lpstr>devideERPLibelle</vt:lpstr>
      <vt:lpstr>Devise.Client.Code</vt:lpstr>
      <vt:lpstr>Devise.Client.Libelle</vt:lpstr>
      <vt:lpstr>Devise.Libelle.en</vt:lpstr>
      <vt:lpstr>Devise.Libelle.fr</vt:lpstr>
      <vt:lpstr>deviseFacture</vt:lpstr>
      <vt:lpstr>diam_trou</vt:lpstr>
      <vt:lpstr>dim_chan</vt:lpstr>
      <vt:lpstr>DureValidite</vt:lpstr>
      <vt:lpstr>encoche_</vt:lpstr>
      <vt:lpstr>encoche_largeur</vt:lpstr>
      <vt:lpstr>Escompte</vt:lpstr>
      <vt:lpstr>Export</vt:lpstr>
      <vt:lpstr>Feuille</vt:lpstr>
      <vt:lpstr>fin_cote_man</vt:lpstr>
      <vt:lpstr>fin_des_auto</vt:lpstr>
      <vt:lpstr>fin_des_man</vt:lpstr>
      <vt:lpstr>Finition</vt:lpstr>
      <vt:lpstr>Finition_tot</vt:lpstr>
      <vt:lpstr>HautStandardReference</vt:lpstr>
      <vt:lpstr>Cotation!Impression_des_titres</vt:lpstr>
      <vt:lpstr>Imprimante</vt:lpstr>
      <vt:lpstr>Incoterm</vt:lpstr>
      <vt:lpstr>IncotermInd</vt:lpstr>
      <vt:lpstr>IncotermS</vt:lpstr>
      <vt:lpstr>Langue</vt:lpstr>
      <vt:lpstr>LangueColonne</vt:lpstr>
      <vt:lpstr>LargStandardReference</vt:lpstr>
      <vt:lpstr>Ligne1</vt:lpstr>
      <vt:lpstr>Liste_de_condition_de_paiement</vt:lpstr>
      <vt:lpstr>ListeUnite.en</vt:lpstr>
      <vt:lpstr>ListeUnite.fr</vt:lpstr>
      <vt:lpstr>LOADAdresse1</vt:lpstr>
      <vt:lpstr>LOADAdresse2</vt:lpstr>
      <vt:lpstr>LOADAdresse3</vt:lpstr>
      <vt:lpstr>LOADCode</vt:lpstr>
      <vt:lpstr>LOADName</vt:lpstr>
      <vt:lpstr>LOADPays</vt:lpstr>
      <vt:lpstr>LOADPaysTraduit</vt:lpstr>
      <vt:lpstr>LOADRegion</vt:lpstr>
      <vt:lpstr>LOADRegiondsp</vt:lpstr>
      <vt:lpstr>LOADVille</vt:lpstr>
      <vt:lpstr>long_slot</vt:lpstr>
      <vt:lpstr>LongStandardReference</vt:lpstr>
      <vt:lpstr>lstConditionPaiement</vt:lpstr>
      <vt:lpstr>Mesure</vt:lpstr>
      <vt:lpstr>mesureDefaut</vt:lpstr>
      <vt:lpstr>nb_slot</vt:lpstr>
      <vt:lpstr>nb_trou</vt:lpstr>
      <vt:lpstr>nbrLigne</vt:lpstr>
      <vt:lpstr>nmCouleur</vt:lpstr>
      <vt:lpstr>nmFichierParametre</vt:lpstr>
      <vt:lpstr>nomFichier</vt:lpstr>
      <vt:lpstr>NumColonnePrix</vt:lpstr>
      <vt:lpstr>ou_cote</vt:lpstr>
      <vt:lpstr>ou_fin_cote</vt:lpstr>
      <vt:lpstr>Paiement</vt:lpstr>
      <vt:lpstr>perte</vt:lpstr>
      <vt:lpstr>PoidsUnitaire</vt:lpstr>
      <vt:lpstr>PoidTotal</vt:lpstr>
      <vt:lpstr>Prix</vt:lpstr>
      <vt:lpstr>prof_encoche_</vt:lpstr>
      <vt:lpstr>prof_trou</vt:lpstr>
      <vt:lpstr>profilage</vt:lpstr>
      <vt:lpstr>profilage_tot</vt:lpstr>
      <vt:lpstr>qualite</vt:lpstr>
      <vt:lpstr>representantCel</vt:lpstr>
      <vt:lpstr>representantFax</vt:lpstr>
      <vt:lpstr>representantMail</vt:lpstr>
      <vt:lpstr>representantNom</vt:lpstr>
      <vt:lpstr>representantPrenom</vt:lpstr>
      <vt:lpstr>representantTel</vt:lpstr>
      <vt:lpstr>scPrimaire</vt:lpstr>
      <vt:lpstr>scPrimaire_Tot</vt:lpstr>
      <vt:lpstr>scSecondaire</vt:lpstr>
      <vt:lpstr>scSecondaire_Tot</vt:lpstr>
      <vt:lpstr>surfaceTotal</vt:lpstr>
      <vt:lpstr>SystemeMesure</vt:lpstr>
      <vt:lpstr>table_chan</vt:lpstr>
      <vt:lpstr>table_cot_manu</vt:lpstr>
      <vt:lpstr>table_enc</vt:lpstr>
      <vt:lpstr>table_fd_auto</vt:lpstr>
      <vt:lpstr>table_fd_manu</vt:lpstr>
      <vt:lpstr>table_secondaire</vt:lpstr>
      <vt:lpstr>table_slot</vt:lpstr>
      <vt:lpstr>table_trou</vt:lpstr>
      <vt:lpstr>tableauTraductions</vt:lpstr>
      <vt:lpstr>tableepaisseur</vt:lpstr>
      <vt:lpstr>TAG</vt:lpstr>
      <vt:lpstr>TauxChange</vt:lpstr>
      <vt:lpstr>tempsTotal</vt:lpstr>
      <vt:lpstr>tempsTotal_tot</vt:lpstr>
      <vt:lpstr>tempsUnitaire</vt:lpstr>
      <vt:lpstr>tempsUnitaire_moy</vt:lpstr>
      <vt:lpstr>Total</vt:lpstr>
      <vt:lpstr>TotalInterne</vt:lpstr>
      <vt:lpstr>transport</vt:lpstr>
      <vt:lpstr>Transporteur</vt:lpstr>
      <vt:lpstr>TxSemi</vt:lpstr>
      <vt:lpstr>UC</vt:lpstr>
      <vt:lpstr>Unite</vt:lpstr>
      <vt:lpstr>valeurPierre</vt:lpstr>
      <vt:lpstr>valeurPierre_Tot</vt:lpstr>
      <vt:lpstr>versionMacro</vt:lpstr>
      <vt:lpstr>volumepetitetaille</vt:lpstr>
      <vt:lpstr>volumeTotal</vt:lpstr>
      <vt:lpstr>Cotation!Zone_d_impression</vt:lpstr>
      <vt:lpstr>Paramètre!Zone_d_impression</vt:lpstr>
    </vt:vector>
  </TitlesOfParts>
  <Company>DRC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pnadeau</dc:creator>
  <cp:lastModifiedBy>Thomas Leguen de Kergolan</cp:lastModifiedBy>
  <cp:lastPrinted>2023-03-09T20:13:38Z</cp:lastPrinted>
  <dcterms:created xsi:type="dcterms:W3CDTF">2003-04-01T14:40:40Z</dcterms:created>
  <dcterms:modified xsi:type="dcterms:W3CDTF">2025-10-06T20:19:29Z</dcterms:modified>
</cp:coreProperties>
</file>