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ate1904="1" saveExternalLinkValues="0" codeName="ThisWorkbook"/>
  <mc:AlternateContent xmlns:mc="http://schemas.openxmlformats.org/markup-compatibility/2006">
    <mc:Choice Requires="x15">
      <x15ac:absPath xmlns:x15ac="http://schemas.microsoft.com/office/spreadsheetml/2010/11/ac" url="F:\BL\CONSTRUCTION EXEMPLAIRE INC\"/>
    </mc:Choice>
  </mc:AlternateContent>
  <xr:revisionPtr revIDLastSave="0" documentId="13_ncr:1_{EACEE97D-34E1-4C3D-9CF0-7F68E73152DE}" xr6:coauthVersionLast="47" xr6:coauthVersionMax="47" xr10:uidLastSave="{00000000-0000-0000-0000-000000000000}"/>
  <bookViews>
    <workbookView xWindow="17490" yWindow="1005" windowWidth="9630" windowHeight="7860" tabRatio="482" firstSheet="3" activeTab="3" xr2:uid="{00000000-000D-0000-FFFF-FFFF00000000}"/>
  </bookViews>
  <sheets>
    <sheet name="Paramètres" sheetId="102" r:id="rId1"/>
    <sheet name="Source" sheetId="100" r:id="rId2"/>
    <sheet name="Traduction" sheetId="103" r:id="rId3"/>
    <sheet name="Bon #BL25-0002" sheetId="19" r:id="rId4"/>
    <sheet name="Proforma Invoice" sheetId="11" r:id="rId5"/>
  </sheets>
  <externalReferences>
    <externalReference r:id="rId6"/>
  </externalReferences>
  <definedNames>
    <definedName name="_xlnm._FilterDatabase" localSheetId="3" hidden="1">'Bon #BL25-0002'!$A$22:$AE$54</definedName>
    <definedName name="_xlnm._FilterDatabase" localSheetId="1" hidden="1">Source!$A$7:$AJ$20</definedName>
    <definedName name="brokerNom">Paramètres!$D$53</definedName>
    <definedName name="brokerPrenom">Paramètres!$D$54</definedName>
    <definedName name="brokerSociete">Paramètres!$D$56</definedName>
    <definedName name="brokerType">Paramètres!$D$55</definedName>
    <definedName name="BrokerUse">Paramètres!$D$55</definedName>
    <definedName name="clientAdresse1">Paramètres!$D$10</definedName>
    <definedName name="clientAdresse2">Paramètres!$D$11</definedName>
    <definedName name="clientCP">Paramètres!$D$15</definedName>
    <definedName name="clientPays">Paramètres!$D$14</definedName>
    <definedName name="clientRegion">Paramètres!$D$13</definedName>
    <definedName name="clientVille">Paramètres!$D$12</definedName>
    <definedName name="contactCel">Paramètres!$D$31</definedName>
    <definedName name="contactFax">Paramètres!$D$32</definedName>
    <definedName name="contactNom">Paramètres!$D$8</definedName>
    <definedName name="contactPrenom">Paramètres!$D$7</definedName>
    <definedName name="contactTel">Paramètres!$D$9</definedName>
    <definedName name="CourtageIn">Paramètres!$D$21</definedName>
    <definedName name="CourtagePx">Paramètres!$D$22</definedName>
    <definedName name="dateEmission">Paramètres!$D$25</definedName>
    <definedName name="dateEmissionAn">Paramètres!$E$25</definedName>
    <definedName name="dateEmissionJour">Paramètres!$G$25</definedName>
    <definedName name="dateEmissionMois">Paramètres!$F$25</definedName>
    <definedName name="DebutInvoice">'Proforma Invoice'!$O$27</definedName>
    <definedName name="Devise">Paramètres!$D$28</definedName>
    <definedName name="DeviseInterne">Paramètres!$D$29</definedName>
    <definedName name="dirPdf">Paramètres!$D$51</definedName>
    <definedName name="Export">Paramètres!$D$50</definedName>
    <definedName name="Feuille">Paramètres!$D$48</definedName>
    <definedName name="finInvoice">'Proforma Invoice'!#REF!</definedName>
    <definedName name="FraisDouane">Paramètres!$D$18</definedName>
    <definedName name="FretIn">Paramètres!$D$23</definedName>
    <definedName name="FretPx">Paramètres!$D$24</definedName>
    <definedName name="_xlnm.Print_Titles" localSheetId="3">'Bon #BL25-0002'!$1:$15</definedName>
    <definedName name="_xlnm.Print_Titles" localSheetId="4">'Proforma Invoice'!$1:$26</definedName>
    <definedName name="_xlnm.Print_Titles" localSheetId="1">Source!$7:$7</definedName>
    <definedName name="Imprimante">Paramètres!$D$52</definedName>
    <definedName name="Incoterm">Paramètres!$D$17</definedName>
    <definedName name="IRS">Paramètres!$D$16</definedName>
    <definedName name="Langue">Paramètres!$D$49</definedName>
    <definedName name="LangueColonne">Paramètres!$E$49</definedName>
    <definedName name="Ligne1">Source!$A$8</definedName>
    <definedName name="Ligne1BL">'Bon #BL25-0002'!$B$23</definedName>
    <definedName name="Ligne1PI">'Proforma Invoice'!$B$27</definedName>
    <definedName name="livraison">Paramètres!$D$33</definedName>
    <definedName name="livraisonAdresse">'Bon #BL25-0002'!$B$14:$Q$18</definedName>
    <definedName name="livraisonAdresse1">Paramètres!$D$39</definedName>
    <definedName name="livraisonAdresse2">Paramètres!$D$40</definedName>
    <definedName name="livraisonCel">Paramètres!$D$37</definedName>
    <definedName name="livraisonCP">Paramètres!$D$44</definedName>
    <definedName name="livraisonFax">Paramètres!$D$38</definedName>
    <definedName name="livraisonNom">Paramètres!$D$35</definedName>
    <definedName name="livraisonPays">Paramètres!$D$43</definedName>
    <definedName name="livraisonPrenom">Paramètres!$D$34</definedName>
    <definedName name="livraisonRegion">Paramètres!$D$42</definedName>
    <definedName name="livraisonTel">Paramètres!$D$36</definedName>
    <definedName name="livraisonVille">Paramètres!$D$41</definedName>
    <definedName name="LOADAdresse1">Paramètres!$D$67</definedName>
    <definedName name="LOADAdresse2">Paramètres!$D$68</definedName>
    <definedName name="LOADAdresse3">Paramètres!$D$69</definedName>
    <definedName name="LOADCode">Paramètres!$D$75</definedName>
    <definedName name="LOADName">Paramètres!$D$66</definedName>
    <definedName name="LOADPays">Paramètres!$D$74</definedName>
    <definedName name="LOADPaysTraduit">Paramètres!$D$73</definedName>
    <definedName name="LOADRegion">Paramètres!$D$72</definedName>
    <definedName name="LOADRegiondsp">Paramètres!$D$71</definedName>
    <definedName name="LOADVille">Paramètres!$D$70</definedName>
    <definedName name="NbrPalette">Paramètres!$D$26</definedName>
    <definedName name="nomClient">Paramètres!$D$6</definedName>
    <definedName name="NumeroBL">Paramètres!$D$5</definedName>
    <definedName name="pcal" localSheetId="4">'[1]C-1551 R1'!$AC$3</definedName>
    <definedName name="projet">Paramètres!$D$27</definedName>
    <definedName name="sctAdresse1">Paramètres!$D$58</definedName>
    <definedName name="sctAdresse2">Paramètres!$D$59</definedName>
    <definedName name="sctAdresse3">Paramètres!$D$60</definedName>
    <definedName name="sctExpCode">Paramètres!$D$65</definedName>
    <definedName name="sctExportName">Paramètres!$D$57</definedName>
    <definedName name="sctExpPays">Paramètres!$D$64</definedName>
    <definedName name="sctExpPaysTraduit">Paramètres!$D$63</definedName>
    <definedName name="sctExpRegion">Paramètres!$D$62</definedName>
    <definedName name="sctExpVille">Paramètres!$D$61</definedName>
    <definedName name="sctVille">Paramètres!$D$61</definedName>
    <definedName name="tableauTraductions">Traduction!$B$5:$C$173</definedName>
    <definedName name="TauxChange">Paramètres!$D$30</definedName>
    <definedName name="TaxesIn">Paramètres!$D$19</definedName>
    <definedName name="TaxesPx">Paramètres!$D$20</definedName>
    <definedName name="Transporteur">Paramètres!$D$4</definedName>
    <definedName name="versionMacro">Paramètres!$D$46</definedName>
    <definedName name="Z_064AF5B7_2F1E_4DE8_8165_70146794B079_.wvu.FilterData" localSheetId="1" hidden="1">Source!$A$7:$IQ$7</definedName>
    <definedName name="Z_068E0267_7EF3_474F_B1E9_C3D57EDEADDD_.wvu.FilterData" localSheetId="1" hidden="1">Source!$A$7:$IQ$7</definedName>
    <definedName name="Z_073EE232_D2C3_4BCC_917A_21EFCCCA819C_.wvu.FilterData" localSheetId="1" hidden="1">Source!$A$7:$IQ$7</definedName>
    <definedName name="Z_18295593_2C6A_4B38_99D2_7F65C4B7FF3D_.wvu.FilterData" localSheetId="1" hidden="1">Source!$A$7:$IQ$7</definedName>
    <definedName name="Z_1AFFC90E_5457_4064_9C59_7C15D72EE861_.wvu.FilterData" localSheetId="1" hidden="1">Source!$A$7:$IQ$7</definedName>
    <definedName name="Z_26D2F2AD_E0B9_4DF8_95E5_F5F47CAE889D_.wvu.FilterData" localSheetId="1" hidden="1">Source!$7:$7</definedName>
    <definedName name="Z_27FCE98D_782B_4E3F_B5DB_31CB5B28BE77_.wvu.FilterData" localSheetId="1" hidden="1">Source!$A$7:$IQ$7</definedName>
    <definedName name="Z_29DDA6E3_F403_417A_93D3_30341869686F_.wvu.FilterData" localSheetId="1" hidden="1">Source!$A$7:$AH$7</definedName>
    <definedName name="Z_34C580A0_AF4F_4B10_ACC8_4E7526CB266E_.wvu.FilterData" localSheetId="1" hidden="1">Source!$7:$7</definedName>
    <definedName name="Z_38D0FF4E_BB17_48EB_9FB6_947235370A93_.wvu.FilterData" localSheetId="1" hidden="1">Source!$A$7:$IQ$7</definedName>
    <definedName name="Z_421C0C40_46E2_4A6A_AFC7_C5FB87170D38_.wvu.FilterData" localSheetId="1" hidden="1">Source!$A$7:$IQ$7</definedName>
    <definedName name="Z_4B5F002C_1A87_41C8_8194_C0EC0FA733A3_.wvu.FilterData" localSheetId="1" hidden="1">Source!$A$7:$IQ$7</definedName>
    <definedName name="Z_4C76A484_2B33_4D15_9E7E_2B64C60B82D6_.wvu.FilterData" localSheetId="1" hidden="1">Source!$A$7:$IQ$7</definedName>
    <definedName name="Z_4C9F778B_72EA_4222_9DD7_E7716E372F38_.wvu.FilterData" localSheetId="1" hidden="1">Source!$A$7:$IQ$7</definedName>
    <definedName name="Z_4CB34E22_8A70_4148_8A0C_28D3AA1EB39A_.wvu.FilterData" localSheetId="1" hidden="1">Source!$A$7:$IQ$7</definedName>
    <definedName name="Z_502F3262_8E25_4477_89BB_41021D47C275_.wvu.FilterData" localSheetId="1" hidden="1">Source!$A$7:$IQ$7</definedName>
    <definedName name="Z_53A4DFEB_E15C_49E8_84B2_416977173558_.wvu.FilterData" localSheetId="1" hidden="1">Source!$A$7:$IQ$7</definedName>
    <definedName name="Z_56723784_EF7A_449B_B2E0_C834EF6FE3F7_.wvu.FilterData" localSheetId="1" hidden="1">Source!$A$7:$IQ$7</definedName>
    <definedName name="Z_58766D4D_DCE8_4FFA_B95D_F3AEF4C576C8_.wvu.FilterData" localSheetId="1" hidden="1">Source!$A$7:$IQ$7</definedName>
    <definedName name="Z_5C8B6C98_CBC0_4D35_A723_1A818403A2A3_.wvu.FilterData" localSheetId="1" hidden="1">Source!$A$7:$IQ$7</definedName>
    <definedName name="Z_6327D75B_24CD_4C6E_BB1B_1F76DA5E3C64_.wvu.FilterData" localSheetId="1" hidden="1">#REF!</definedName>
    <definedName name="Z_6327D75B_24CD_4C6E_BB1B_1F76DA5E3C64_.wvu.FilterData" hidden="1">#REF!</definedName>
    <definedName name="Z_6327D75B_24CD_4C6E_BB1B_1F76DA5E3C64_.wvu.PrintArea" localSheetId="1" hidden="1">#REF!</definedName>
    <definedName name="Z_6327D75B_24CD_4C6E_BB1B_1F76DA5E3C64_.wvu.PrintArea" hidden="1">#REF!</definedName>
    <definedName name="Z_6D22BBDB_117B_4186_AED4_FBC018A1EF77_.wvu.FilterData" localSheetId="1" hidden="1">Source!$A$7:$IQ$7</definedName>
    <definedName name="Z_6F602C3B_9D6C_40B4_B608_A5209D01DC8A_.wvu.FilterData" localSheetId="1" hidden="1">Source!$A$7:$IU$7</definedName>
    <definedName name="Z_7C1B8E92_A133_4AAE_94FE_8BA274325668_.wvu.FilterData" localSheetId="1" hidden="1">Source!$A$7:$IQ$7</definedName>
    <definedName name="Z_80DB77CD_F5F2_4755_843C_4CFCCFD1A940_.wvu.FilterData" localSheetId="1" hidden="1">Source!#REF!</definedName>
    <definedName name="Z_89A108EB_5986_41EA_879F_C2B1F04F1B61_.wvu.FilterData" localSheetId="1" hidden="1">Source!$A$7:$AH$242</definedName>
    <definedName name="Z_89F6A343_0EED_492E_A4AA_5D2B13E46C73_.wvu.FilterData" localSheetId="1" hidden="1">#REF!</definedName>
    <definedName name="Z_89F6A343_0EED_492E_A4AA_5D2B13E46C73_.wvu.FilterData" hidden="1">#REF!</definedName>
    <definedName name="Z_8D09F730_2105_4D1B_A8DF_0CEC18154BB6_.wvu.FilterData" localSheetId="1" hidden="1">Source!$A$7:$AH$7</definedName>
    <definedName name="Z_9615B5C3_E1FA_4113_B79E_B7C2C6B57584_.wvu.FilterData" localSheetId="1" hidden="1">Source!$A$7:$IQ$7</definedName>
    <definedName name="Z_A07B6C29_5721_4A5F_83CD_44B06A3AC445_.wvu.FilterData" localSheetId="1" hidden="1">Source!$A$7:$IQ$7</definedName>
    <definedName name="Z_A168366A_E092_4A09_813E_1C1A2952D765_.wvu.Cols" localSheetId="1" hidden="1">#REF!,#REF!</definedName>
    <definedName name="Z_A168366A_E092_4A09_813E_1C1A2952D765_.wvu.Cols" hidden="1">#REF!,#REF!</definedName>
    <definedName name="Z_A168366A_E092_4A09_813E_1C1A2952D765_.wvu.FilterData" localSheetId="1" hidden="1">#REF!</definedName>
    <definedName name="Z_A168366A_E092_4A09_813E_1C1A2952D765_.wvu.FilterData" hidden="1">#REF!</definedName>
    <definedName name="Z_A168366A_E092_4A09_813E_1C1A2952D765_.wvu.PrintArea" localSheetId="1" hidden="1">#REF!</definedName>
    <definedName name="Z_A168366A_E092_4A09_813E_1C1A2952D765_.wvu.PrintArea" hidden="1">#REF!</definedName>
    <definedName name="Z_A168366A_E092_4A09_813E_1C1A2952D765_.wvu.PrintTitles" localSheetId="1" hidden="1">#REF!</definedName>
    <definedName name="Z_A168366A_E092_4A09_813E_1C1A2952D765_.wvu.PrintTitles" hidden="1">#REF!</definedName>
    <definedName name="Z_A192F974_5137_45B1_8CDF_7217FCC066DB_.wvu.FilterData" localSheetId="1" hidden="1">Source!$A$7:$IQ$7</definedName>
    <definedName name="Z_A5C17BA0_03E8_4372_9EB6_450987D2EEE5_.wvu.FilterData" localSheetId="1" hidden="1">Source!$A$7:$IQ$7</definedName>
    <definedName name="Z_A9461CE3_B400_42A8_8233_A3EDAE00525F_.wvu.FilterData" localSheetId="1" hidden="1">Source!$A$7:$AH$7</definedName>
    <definedName name="Z_BC00C690_1E00_4797_B1D3_35E012136E88_.wvu.FilterData" localSheetId="1" hidden="1">Source!$A$7:$IU$7</definedName>
    <definedName name="Z_C2FEA7BD_C36E_4837_AD4A_0CB1F8A29D1F_.wvu.FilterData" localSheetId="1" hidden="1">Source!$A$7:$IQ$7</definedName>
    <definedName name="Z_C387D1D5_94A0_4F63_911B_975B759007A3_.wvu.FilterData" localSheetId="1" hidden="1">#REF!</definedName>
    <definedName name="Z_C387D1D5_94A0_4F63_911B_975B759007A3_.wvu.FilterData" hidden="1">#REF!</definedName>
    <definedName name="Z_C387D1D5_94A0_4F63_911B_975B759007A3_.wvu.PrintArea" localSheetId="1" hidden="1">#REF!</definedName>
    <definedName name="Z_C387D1D5_94A0_4F63_911B_975B759007A3_.wvu.PrintArea" hidden="1">#REF!</definedName>
    <definedName name="Z_C387D1D5_94A0_4F63_911B_975B759007A3_.wvu.PrintTitles" localSheetId="1" hidden="1">#REF!</definedName>
    <definedName name="Z_C387D1D5_94A0_4F63_911B_975B759007A3_.wvu.PrintTitles" hidden="1">#REF!</definedName>
    <definedName name="Z_C9AB50BC_8CB2_4EBD_AF97_C9FDE0705C9B_.wvu.FilterData" localSheetId="1" hidden="1">Source!$A$7:$IQ$7</definedName>
    <definedName name="Z_CAB2E9D9_FD53_4B83_A765_61DF9312C581_.wvu.FilterData" localSheetId="1" hidden="1">Source!$A$7:$IQ$7</definedName>
    <definedName name="Z_CCA44B32_F0FF_47F7_B132_F85280E254ED_.wvu.FilterData" localSheetId="1" hidden="1">Source!$A$7:$IQ$7</definedName>
    <definedName name="Z_D61905F8_8C63_47C7_9B46_3566E1A13048_.wvu.FilterData" localSheetId="1" hidden="1">Source!#REF!</definedName>
    <definedName name="Z_DB9A5E3E_3700_4B9F_831F_68EFBC8EDC7E_.wvu.FilterData" localSheetId="1" hidden="1">Source!$A$7:$IQ$7</definedName>
    <definedName name="Z_E4DBB11F_883E_4D39_948E_238AE8183775_.wvu.FilterData" localSheetId="1" hidden="1">Source!$A$7:$IQ$7</definedName>
    <definedName name="Z_ECE54682_CC33_4A8A_89D3_BD874FE50592_.wvu.FilterData" localSheetId="1" hidden="1">Source!$A$7:$AH$606</definedName>
    <definedName name="Z_ECE54682_CC33_4A8A_89D3_BD874FE50592_.wvu.PrintTitles" localSheetId="1" hidden="1">Source!$7:$7</definedName>
    <definedName name="Z_F453CB2C_343B_4B4F_BC8C_BF7EE282A319_.wvu.FilterData" localSheetId="1" hidden="1">Source!$A$7:$IU$7</definedName>
    <definedName name="Z_F7C6F9EF_2706_486A_85F5_2A822E6AFFCA_.wvu.FilterData" localSheetId="1" hidden="1">Source!$A$7:$IQ$7</definedName>
    <definedName name="_xlnm.Print_Area" localSheetId="3">'Bon #BL25-0002'!$B$1:$Q$33</definedName>
    <definedName name="_xlnm.Print_Area" localSheetId="4">'Proforma Invoice'!$B$1:$O$40</definedName>
  </definedNames>
  <calcPr calcId="191029" calcMode="manual"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02" l="1"/>
  <c r="H28" i="11"/>
  <c r="H29" i="11"/>
  <c r="H30" i="11"/>
  <c r="H31" i="11"/>
  <c r="H32" i="11"/>
  <c r="H33" i="11"/>
  <c r="H34" i="11"/>
  <c r="H35" i="11"/>
  <c r="H36" i="11"/>
  <c r="H27" i="11"/>
  <c r="C18" i="11"/>
  <c r="B4" i="11"/>
  <c r="B3" i="11"/>
  <c r="E4" i="19"/>
  <c r="E3" i="19"/>
  <c r="E2" i="19"/>
  <c r="C239" i="19"/>
  <c r="C238" i="19"/>
  <c r="C237" i="19"/>
  <c r="C236" i="19"/>
  <c r="C235" i="19"/>
  <c r="C234" i="19"/>
  <c r="C233" i="19"/>
  <c r="C232" i="19"/>
  <c r="C231" i="19"/>
  <c r="C230" i="19"/>
  <c r="C229" i="19"/>
  <c r="C228" i="19"/>
  <c r="C227" i="19"/>
  <c r="C226" i="19"/>
  <c r="C225" i="19"/>
  <c r="C224" i="19"/>
  <c r="C223" i="19"/>
  <c r="C222" i="19"/>
  <c r="C221" i="19"/>
  <c r="C220" i="19"/>
  <c r="C219" i="19"/>
  <c r="C218" i="19"/>
  <c r="C217" i="19"/>
  <c r="C216" i="19"/>
  <c r="C215" i="19"/>
  <c r="C214" i="19"/>
  <c r="C213" i="19"/>
  <c r="C212" i="19"/>
  <c r="C211" i="19"/>
  <c r="C210" i="19"/>
  <c r="C209" i="19"/>
  <c r="C208" i="19"/>
  <c r="C207" i="19"/>
  <c r="C206" i="19"/>
  <c r="C205" i="19"/>
  <c r="C204" i="19"/>
  <c r="C203" i="19"/>
  <c r="C202" i="19"/>
  <c r="C201" i="19"/>
  <c r="C200" i="19"/>
  <c r="C199" i="19"/>
  <c r="C198" i="19"/>
  <c r="C197" i="19"/>
  <c r="C196" i="19"/>
  <c r="C195" i="19"/>
  <c r="C194" i="19"/>
  <c r="C193" i="19"/>
  <c r="C192" i="19"/>
  <c r="C191" i="19"/>
  <c r="C190" i="19"/>
  <c r="C189" i="19"/>
  <c r="C188" i="19"/>
  <c r="C187" i="19"/>
  <c r="C186" i="19"/>
  <c r="C185" i="19"/>
  <c r="C184" i="19"/>
  <c r="C183" i="19"/>
  <c r="C182" i="19"/>
  <c r="C181" i="19"/>
  <c r="C180" i="19"/>
  <c r="C179" i="19"/>
  <c r="C178" i="19"/>
  <c r="C177" i="19"/>
  <c r="C176" i="19"/>
  <c r="C175" i="19"/>
  <c r="C174" i="19"/>
  <c r="C173" i="19"/>
  <c r="C172" i="19"/>
  <c r="C171" i="19"/>
  <c r="C170" i="19"/>
  <c r="C169" i="19"/>
  <c r="C168" i="19"/>
  <c r="C167" i="19"/>
  <c r="C166" i="19"/>
  <c r="C165" i="19"/>
  <c r="C164" i="19"/>
  <c r="C163" i="19"/>
  <c r="C162" i="19"/>
  <c r="C161" i="19"/>
  <c r="C160" i="19"/>
  <c r="C159" i="19"/>
  <c r="C158" i="19"/>
  <c r="C157" i="19"/>
  <c r="C156" i="19"/>
  <c r="C155" i="19"/>
  <c r="C154" i="19"/>
  <c r="C153" i="19"/>
  <c r="C152" i="19"/>
  <c r="C151" i="19"/>
  <c r="C150" i="19"/>
  <c r="C149" i="19"/>
  <c r="C148" i="19"/>
  <c r="C147" i="19"/>
  <c r="C146" i="19"/>
  <c r="C145" i="19"/>
  <c r="C144" i="19"/>
  <c r="C143" i="19"/>
  <c r="C142" i="19"/>
  <c r="C141" i="19"/>
  <c r="C140" i="19"/>
  <c r="C139" i="19"/>
  <c r="C138" i="19"/>
  <c r="C137" i="19"/>
  <c r="C136" i="19"/>
  <c r="C135" i="19"/>
  <c r="C134" i="19"/>
  <c r="C133" i="19"/>
  <c r="C132" i="19"/>
  <c r="C131" i="19"/>
  <c r="C130" i="19"/>
  <c r="C129" i="19"/>
  <c r="C128" i="19"/>
  <c r="C127" i="19"/>
  <c r="C126" i="19"/>
  <c r="C125" i="19"/>
  <c r="C124" i="19"/>
  <c r="C123" i="19"/>
  <c r="C122" i="19"/>
  <c r="C121" i="19"/>
  <c r="C120" i="19"/>
  <c r="C119" i="19"/>
  <c r="C118" i="19"/>
  <c r="C117" i="19"/>
  <c r="C116" i="19"/>
  <c r="C115" i="19"/>
  <c r="C114" i="19"/>
  <c r="C113" i="19"/>
  <c r="C112" i="19"/>
  <c r="C111" i="19"/>
  <c r="C110" i="19"/>
  <c r="C109" i="19"/>
  <c r="C108" i="19"/>
  <c r="C107" i="19"/>
  <c r="C106" i="19"/>
  <c r="C105" i="19"/>
  <c r="C104" i="19"/>
  <c r="C103" i="19"/>
  <c r="C102" i="19"/>
  <c r="C101" i="19"/>
  <c r="C100" i="19"/>
  <c r="C99" i="19"/>
  <c r="C98" i="19"/>
  <c r="C97" i="19"/>
  <c r="C96" i="19"/>
  <c r="C95" i="19"/>
  <c r="C94" i="19"/>
  <c r="C93" i="19"/>
  <c r="C92" i="19"/>
  <c r="C91" i="19"/>
  <c r="C90" i="19"/>
  <c r="C89" i="19"/>
  <c r="C88" i="19"/>
  <c r="C87" i="19"/>
  <c r="C86" i="19"/>
  <c r="C85" i="19"/>
  <c r="C84" i="19"/>
  <c r="C83" i="19"/>
  <c r="C82" i="19"/>
  <c r="C81" i="19"/>
  <c r="C80" i="19"/>
  <c r="C79" i="19"/>
  <c r="C78" i="19"/>
  <c r="C77" i="19"/>
  <c r="C76" i="19"/>
  <c r="C75" i="19"/>
  <c r="C74" i="19"/>
  <c r="C73" i="19"/>
  <c r="C72" i="19"/>
  <c r="C71" i="19"/>
  <c r="C70" i="19"/>
  <c r="C69" i="19"/>
  <c r="C68" i="19"/>
  <c r="C67" i="19"/>
  <c r="C66" i="19"/>
  <c r="C65" i="19"/>
  <c r="C64" i="19"/>
  <c r="C63" i="19"/>
  <c r="C62" i="19"/>
  <c r="C61" i="19"/>
  <c r="C60" i="19"/>
  <c r="C59" i="19"/>
  <c r="C58" i="19"/>
  <c r="C57" i="19"/>
  <c r="C56" i="19"/>
  <c r="C55" i="19"/>
  <c r="C54" i="19"/>
  <c r="C53" i="19"/>
  <c r="C52" i="19"/>
  <c r="C51" i="19"/>
  <c r="C50" i="19"/>
  <c r="C49" i="19"/>
  <c r="C48" i="19"/>
  <c r="C47" i="19"/>
  <c r="C46" i="19"/>
  <c r="C45" i="19"/>
  <c r="C44" i="19"/>
  <c r="C43" i="19"/>
  <c r="C42" i="19"/>
  <c r="C41" i="19"/>
  <c r="C40" i="19"/>
  <c r="C39" i="19"/>
  <c r="C38" i="19"/>
  <c r="C37" i="19"/>
  <c r="C36" i="19"/>
  <c r="C35" i="19"/>
  <c r="C34" i="19"/>
  <c r="C33" i="19"/>
  <c r="C32" i="19"/>
  <c r="C31" i="19"/>
  <c r="C30" i="19"/>
  <c r="C29" i="19"/>
  <c r="C28" i="19"/>
  <c r="C27" i="19"/>
  <c r="C26" i="19"/>
  <c r="C25" i="19"/>
  <c r="C24" i="19"/>
  <c r="C23" i="19"/>
  <c r="E49" i="102"/>
  <c r="C21" i="19"/>
  <c r="D21" i="19"/>
  <c r="D12" i="19"/>
  <c r="D11" i="19"/>
  <c r="C11" i="19"/>
  <c r="D10" i="19"/>
  <c r="C10" i="19"/>
  <c r="D9" i="19"/>
  <c r="D8" i="19"/>
  <c r="C9" i="19"/>
  <c r="C8" i="19"/>
  <c r="K24" i="19"/>
  <c r="L24" i="19"/>
  <c r="M24" i="19"/>
  <c r="K25" i="19"/>
  <c r="L25" i="19"/>
  <c r="M25" i="19"/>
  <c r="K26" i="19"/>
  <c r="L26" i="19"/>
  <c r="M26" i="19"/>
  <c r="I30" i="11" s="1"/>
  <c r="K27" i="19"/>
  <c r="L27" i="19"/>
  <c r="M27" i="19"/>
  <c r="K28" i="19"/>
  <c r="L28" i="19"/>
  <c r="M28" i="19"/>
  <c r="K29" i="19"/>
  <c r="L29" i="19"/>
  <c r="M29" i="19"/>
  <c r="K30" i="19"/>
  <c r="L30" i="19"/>
  <c r="M30" i="19"/>
  <c r="K31" i="19"/>
  <c r="L31" i="19"/>
  <c r="M31" i="19"/>
  <c r="K32" i="19"/>
  <c r="L32" i="19"/>
  <c r="M32" i="19"/>
  <c r="K33" i="19"/>
  <c r="L33" i="19"/>
  <c r="M33" i="19"/>
  <c r="K34" i="19"/>
  <c r="L34" i="19"/>
  <c r="M34" i="19"/>
  <c r="K35" i="19"/>
  <c r="L35" i="19"/>
  <c r="M35" i="19"/>
  <c r="K36" i="19"/>
  <c r="L36" i="19"/>
  <c r="M36" i="19"/>
  <c r="K37" i="19"/>
  <c r="L37" i="19"/>
  <c r="M37" i="19"/>
  <c r="K38" i="19"/>
  <c r="L38" i="19"/>
  <c r="M38" i="19"/>
  <c r="K39" i="19"/>
  <c r="L39" i="19"/>
  <c r="M39" i="19"/>
  <c r="K40" i="19"/>
  <c r="L40" i="19"/>
  <c r="M40" i="19"/>
  <c r="K41" i="19"/>
  <c r="L41" i="19"/>
  <c r="M41" i="19"/>
  <c r="K42" i="19"/>
  <c r="L42" i="19"/>
  <c r="M42" i="19"/>
  <c r="K43" i="19"/>
  <c r="L43" i="19"/>
  <c r="M43" i="19"/>
  <c r="K44" i="19"/>
  <c r="L44" i="19"/>
  <c r="M44" i="19"/>
  <c r="K45" i="19"/>
  <c r="L45" i="19"/>
  <c r="M45" i="19"/>
  <c r="K46" i="19"/>
  <c r="L46" i="19"/>
  <c r="M46" i="19"/>
  <c r="K47" i="19"/>
  <c r="L47" i="19"/>
  <c r="M47" i="19"/>
  <c r="K48" i="19"/>
  <c r="L48" i="19"/>
  <c r="M48" i="19"/>
  <c r="K49" i="19"/>
  <c r="L49" i="19"/>
  <c r="M49" i="19"/>
  <c r="K50" i="19"/>
  <c r="L50" i="19"/>
  <c r="M50" i="19"/>
  <c r="K51" i="19"/>
  <c r="L51" i="19"/>
  <c r="M51" i="19"/>
  <c r="K52" i="19"/>
  <c r="L52" i="19"/>
  <c r="M52" i="19"/>
  <c r="K53" i="19"/>
  <c r="L53" i="19"/>
  <c r="M53" i="19"/>
  <c r="K54" i="19"/>
  <c r="L54" i="19"/>
  <c r="M54" i="19"/>
  <c r="K55" i="19"/>
  <c r="L55" i="19"/>
  <c r="M55" i="19"/>
  <c r="K56" i="19"/>
  <c r="L56" i="19"/>
  <c r="M56" i="19"/>
  <c r="K57" i="19"/>
  <c r="L57" i="19"/>
  <c r="M57" i="19"/>
  <c r="K58" i="19"/>
  <c r="L58" i="19"/>
  <c r="M58" i="19"/>
  <c r="K59" i="19"/>
  <c r="L59" i="19"/>
  <c r="M59" i="19"/>
  <c r="K60" i="19"/>
  <c r="L60" i="19"/>
  <c r="M60" i="19"/>
  <c r="K61" i="19"/>
  <c r="L61" i="19"/>
  <c r="M61" i="19"/>
  <c r="K62" i="19"/>
  <c r="L62" i="19"/>
  <c r="M62" i="19"/>
  <c r="K63" i="19"/>
  <c r="L63" i="19"/>
  <c r="M63" i="19"/>
  <c r="K64" i="19"/>
  <c r="L64" i="19"/>
  <c r="M64" i="19"/>
  <c r="K65" i="19"/>
  <c r="L65" i="19"/>
  <c r="M65" i="19"/>
  <c r="K66" i="19"/>
  <c r="L66" i="19"/>
  <c r="M66" i="19"/>
  <c r="K67" i="19"/>
  <c r="L67" i="19"/>
  <c r="M67" i="19"/>
  <c r="K68" i="19"/>
  <c r="L68" i="19"/>
  <c r="M68" i="19"/>
  <c r="K69" i="19"/>
  <c r="L69" i="19"/>
  <c r="M69" i="19"/>
  <c r="K70" i="19"/>
  <c r="L70" i="19"/>
  <c r="M70" i="19"/>
  <c r="K71" i="19"/>
  <c r="L71" i="19"/>
  <c r="M71" i="19"/>
  <c r="K72" i="19"/>
  <c r="L72" i="19"/>
  <c r="M72" i="19"/>
  <c r="K73" i="19"/>
  <c r="L73" i="19"/>
  <c r="M73" i="19"/>
  <c r="K74" i="19"/>
  <c r="L74" i="19"/>
  <c r="M74" i="19"/>
  <c r="K75" i="19"/>
  <c r="L75" i="19"/>
  <c r="M75" i="19"/>
  <c r="K76" i="19"/>
  <c r="L76" i="19"/>
  <c r="M76" i="19"/>
  <c r="K77" i="19"/>
  <c r="L77" i="19"/>
  <c r="M77" i="19"/>
  <c r="K78" i="19"/>
  <c r="L78" i="19"/>
  <c r="M78" i="19"/>
  <c r="K79" i="19"/>
  <c r="L79" i="19"/>
  <c r="M79" i="19"/>
  <c r="K80" i="19"/>
  <c r="L80" i="19"/>
  <c r="M80" i="19"/>
  <c r="K81" i="19"/>
  <c r="L81" i="19"/>
  <c r="M81" i="19"/>
  <c r="K82" i="19"/>
  <c r="L82" i="19"/>
  <c r="M82" i="19"/>
  <c r="K83" i="19"/>
  <c r="L83" i="19"/>
  <c r="M83" i="19"/>
  <c r="K84" i="19"/>
  <c r="L84" i="19"/>
  <c r="M84" i="19"/>
  <c r="K85" i="19"/>
  <c r="L85" i="19"/>
  <c r="M85" i="19"/>
  <c r="K86" i="19"/>
  <c r="L86" i="19"/>
  <c r="M86" i="19"/>
  <c r="K87" i="19"/>
  <c r="L87" i="19"/>
  <c r="M87" i="19"/>
  <c r="K88" i="19"/>
  <c r="L88" i="19"/>
  <c r="M88" i="19"/>
  <c r="K89" i="19"/>
  <c r="L89" i="19"/>
  <c r="M89" i="19"/>
  <c r="K90" i="19"/>
  <c r="L90" i="19"/>
  <c r="M90" i="19"/>
  <c r="K91" i="19"/>
  <c r="L91" i="19"/>
  <c r="M91" i="19"/>
  <c r="K92" i="19"/>
  <c r="L92" i="19"/>
  <c r="M92" i="19"/>
  <c r="K93" i="19"/>
  <c r="L93" i="19"/>
  <c r="M93" i="19"/>
  <c r="K94" i="19"/>
  <c r="L94" i="19"/>
  <c r="M94" i="19"/>
  <c r="K95" i="19"/>
  <c r="L95" i="19"/>
  <c r="M95" i="19"/>
  <c r="K96" i="19"/>
  <c r="L96" i="19"/>
  <c r="M96" i="19"/>
  <c r="K97" i="19"/>
  <c r="L97" i="19"/>
  <c r="M97" i="19"/>
  <c r="K98" i="19"/>
  <c r="L98" i="19"/>
  <c r="M98" i="19"/>
  <c r="K99" i="19"/>
  <c r="L99" i="19"/>
  <c r="M99" i="19"/>
  <c r="K100" i="19"/>
  <c r="L100" i="19"/>
  <c r="M100" i="19"/>
  <c r="K101" i="19"/>
  <c r="L101" i="19"/>
  <c r="M101" i="19"/>
  <c r="K102" i="19"/>
  <c r="L102" i="19"/>
  <c r="M102" i="19"/>
  <c r="K103" i="19"/>
  <c r="L103" i="19"/>
  <c r="M103" i="19"/>
  <c r="K104" i="19"/>
  <c r="L104" i="19"/>
  <c r="M104" i="19"/>
  <c r="K105" i="19"/>
  <c r="L105" i="19"/>
  <c r="M105" i="19"/>
  <c r="K106" i="19"/>
  <c r="L106" i="19"/>
  <c r="M106" i="19"/>
  <c r="K107" i="19"/>
  <c r="L107" i="19"/>
  <c r="M107" i="19"/>
  <c r="K108" i="19"/>
  <c r="L108" i="19"/>
  <c r="M108" i="19"/>
  <c r="K109" i="19"/>
  <c r="L109" i="19"/>
  <c r="M109" i="19"/>
  <c r="K110" i="19"/>
  <c r="L110" i="19"/>
  <c r="M110" i="19"/>
  <c r="K111" i="19"/>
  <c r="L111" i="19"/>
  <c r="M111" i="19"/>
  <c r="K112" i="19"/>
  <c r="L112" i="19"/>
  <c r="M112" i="19"/>
  <c r="K113" i="19"/>
  <c r="L113" i="19"/>
  <c r="M113" i="19"/>
  <c r="K114" i="19"/>
  <c r="L114" i="19"/>
  <c r="M114" i="19"/>
  <c r="K115" i="19"/>
  <c r="L115" i="19"/>
  <c r="M115" i="19"/>
  <c r="K116" i="19"/>
  <c r="L116" i="19"/>
  <c r="M116" i="19"/>
  <c r="K117" i="19"/>
  <c r="L117" i="19"/>
  <c r="M117" i="19"/>
  <c r="K118" i="19"/>
  <c r="L118" i="19"/>
  <c r="M118" i="19"/>
  <c r="K119" i="19"/>
  <c r="L119" i="19"/>
  <c r="M119" i="19"/>
  <c r="K120" i="19"/>
  <c r="L120" i="19"/>
  <c r="M120" i="19"/>
  <c r="K121" i="19"/>
  <c r="L121" i="19"/>
  <c r="M121" i="19"/>
  <c r="K122" i="19"/>
  <c r="L122" i="19"/>
  <c r="M122" i="19"/>
  <c r="K123" i="19"/>
  <c r="L123" i="19"/>
  <c r="M123" i="19"/>
  <c r="K124" i="19"/>
  <c r="L124" i="19"/>
  <c r="M124" i="19"/>
  <c r="K125" i="19"/>
  <c r="L125" i="19"/>
  <c r="M125" i="19"/>
  <c r="K126" i="19"/>
  <c r="L126" i="19"/>
  <c r="M126" i="19"/>
  <c r="K127" i="19"/>
  <c r="L127" i="19"/>
  <c r="M127" i="19"/>
  <c r="K128" i="19"/>
  <c r="L128" i="19"/>
  <c r="M128" i="19"/>
  <c r="K129" i="19"/>
  <c r="L129" i="19"/>
  <c r="M129" i="19"/>
  <c r="K130" i="19"/>
  <c r="L130" i="19"/>
  <c r="M130" i="19"/>
  <c r="K131" i="19"/>
  <c r="L131" i="19"/>
  <c r="M131" i="19"/>
  <c r="K132" i="19"/>
  <c r="L132" i="19"/>
  <c r="M132" i="19"/>
  <c r="K133" i="19"/>
  <c r="L133" i="19"/>
  <c r="M133" i="19"/>
  <c r="K134" i="19"/>
  <c r="L134" i="19"/>
  <c r="M134" i="19"/>
  <c r="K135" i="19"/>
  <c r="L135" i="19"/>
  <c r="M135" i="19"/>
  <c r="K136" i="19"/>
  <c r="L136" i="19"/>
  <c r="M136" i="19"/>
  <c r="K137" i="19"/>
  <c r="L137" i="19"/>
  <c r="M137" i="19"/>
  <c r="K138" i="19"/>
  <c r="L138" i="19"/>
  <c r="M138" i="19"/>
  <c r="K139" i="19"/>
  <c r="L139" i="19"/>
  <c r="M139" i="19"/>
  <c r="K140" i="19"/>
  <c r="L140" i="19"/>
  <c r="M140" i="19"/>
  <c r="K141" i="19"/>
  <c r="L141" i="19"/>
  <c r="M141" i="19"/>
  <c r="K142" i="19"/>
  <c r="L142" i="19"/>
  <c r="M142" i="19"/>
  <c r="K143" i="19"/>
  <c r="L143" i="19"/>
  <c r="M143" i="19"/>
  <c r="K144" i="19"/>
  <c r="L144" i="19"/>
  <c r="M144" i="19"/>
  <c r="K145" i="19"/>
  <c r="L145" i="19"/>
  <c r="M145" i="19"/>
  <c r="K146" i="19"/>
  <c r="L146" i="19"/>
  <c r="M146" i="19"/>
  <c r="K147" i="19"/>
  <c r="L147" i="19"/>
  <c r="M147" i="19"/>
  <c r="K148" i="19"/>
  <c r="L148" i="19"/>
  <c r="M148" i="19"/>
  <c r="K149" i="19"/>
  <c r="L149" i="19"/>
  <c r="M149" i="19"/>
  <c r="K150" i="19"/>
  <c r="L150" i="19"/>
  <c r="M150" i="19"/>
  <c r="K151" i="19"/>
  <c r="L151" i="19"/>
  <c r="M151" i="19"/>
  <c r="K152" i="19"/>
  <c r="L152" i="19"/>
  <c r="M152" i="19"/>
  <c r="K153" i="19"/>
  <c r="L153" i="19"/>
  <c r="M153" i="19"/>
  <c r="K154" i="19"/>
  <c r="L154" i="19"/>
  <c r="M154" i="19"/>
  <c r="K155" i="19"/>
  <c r="L155" i="19"/>
  <c r="M155" i="19"/>
  <c r="K156" i="19"/>
  <c r="L156" i="19"/>
  <c r="M156" i="19"/>
  <c r="K157" i="19"/>
  <c r="L157" i="19"/>
  <c r="M157" i="19"/>
  <c r="K158" i="19"/>
  <c r="L158" i="19"/>
  <c r="M158" i="19"/>
  <c r="K159" i="19"/>
  <c r="L159" i="19"/>
  <c r="M159" i="19"/>
  <c r="K160" i="19"/>
  <c r="L160" i="19"/>
  <c r="M160" i="19"/>
  <c r="K161" i="19"/>
  <c r="L161" i="19"/>
  <c r="M161" i="19"/>
  <c r="K162" i="19"/>
  <c r="L162" i="19"/>
  <c r="M162" i="19"/>
  <c r="K163" i="19"/>
  <c r="L163" i="19"/>
  <c r="M163" i="19"/>
  <c r="K164" i="19"/>
  <c r="L164" i="19"/>
  <c r="M164" i="19"/>
  <c r="K165" i="19"/>
  <c r="L165" i="19"/>
  <c r="M165" i="19"/>
  <c r="K166" i="19"/>
  <c r="L166" i="19"/>
  <c r="M166" i="19"/>
  <c r="K167" i="19"/>
  <c r="L167" i="19"/>
  <c r="M167" i="19"/>
  <c r="K168" i="19"/>
  <c r="L168" i="19"/>
  <c r="M168" i="19"/>
  <c r="K169" i="19"/>
  <c r="L169" i="19"/>
  <c r="M169" i="19"/>
  <c r="K170" i="19"/>
  <c r="L170" i="19"/>
  <c r="M170" i="19"/>
  <c r="K171" i="19"/>
  <c r="L171" i="19"/>
  <c r="M171" i="19"/>
  <c r="K172" i="19"/>
  <c r="L172" i="19"/>
  <c r="M172" i="19"/>
  <c r="K173" i="19"/>
  <c r="L173" i="19"/>
  <c r="M173" i="19"/>
  <c r="K174" i="19"/>
  <c r="L174" i="19"/>
  <c r="M174" i="19"/>
  <c r="K175" i="19"/>
  <c r="L175" i="19"/>
  <c r="M175" i="19"/>
  <c r="K176" i="19"/>
  <c r="L176" i="19"/>
  <c r="M176" i="19"/>
  <c r="K177" i="19"/>
  <c r="L177" i="19"/>
  <c r="M177" i="19"/>
  <c r="K178" i="19"/>
  <c r="L178" i="19"/>
  <c r="M178" i="19"/>
  <c r="K179" i="19"/>
  <c r="L179" i="19"/>
  <c r="M179" i="19"/>
  <c r="K180" i="19"/>
  <c r="L180" i="19"/>
  <c r="M180" i="19"/>
  <c r="K181" i="19"/>
  <c r="L181" i="19"/>
  <c r="M181" i="19"/>
  <c r="K182" i="19"/>
  <c r="L182" i="19"/>
  <c r="M182" i="19"/>
  <c r="K183" i="19"/>
  <c r="L183" i="19"/>
  <c r="M183" i="19"/>
  <c r="K184" i="19"/>
  <c r="L184" i="19"/>
  <c r="M184" i="19"/>
  <c r="K185" i="19"/>
  <c r="L185" i="19"/>
  <c r="M185" i="19"/>
  <c r="K186" i="19"/>
  <c r="L186" i="19"/>
  <c r="M186" i="19"/>
  <c r="K187" i="19"/>
  <c r="L187" i="19"/>
  <c r="M187" i="19"/>
  <c r="K188" i="19"/>
  <c r="L188" i="19"/>
  <c r="M188" i="19"/>
  <c r="K189" i="19"/>
  <c r="L189" i="19"/>
  <c r="M189" i="19"/>
  <c r="K190" i="19"/>
  <c r="L190" i="19"/>
  <c r="M190" i="19"/>
  <c r="K191" i="19"/>
  <c r="L191" i="19"/>
  <c r="M191" i="19"/>
  <c r="K192" i="19"/>
  <c r="L192" i="19"/>
  <c r="M192" i="19"/>
  <c r="K193" i="19"/>
  <c r="L193" i="19"/>
  <c r="M193" i="19"/>
  <c r="K194" i="19"/>
  <c r="L194" i="19"/>
  <c r="M194" i="19"/>
  <c r="K195" i="19"/>
  <c r="L195" i="19"/>
  <c r="M195" i="19"/>
  <c r="K196" i="19"/>
  <c r="L196" i="19"/>
  <c r="M196" i="19"/>
  <c r="K197" i="19"/>
  <c r="L197" i="19"/>
  <c r="M197" i="19"/>
  <c r="K198" i="19"/>
  <c r="L198" i="19"/>
  <c r="M198" i="19"/>
  <c r="K199" i="19"/>
  <c r="L199" i="19"/>
  <c r="M199" i="19"/>
  <c r="K200" i="19"/>
  <c r="L200" i="19"/>
  <c r="M200" i="19"/>
  <c r="K201" i="19"/>
  <c r="L201" i="19"/>
  <c r="M201" i="19"/>
  <c r="K202" i="19"/>
  <c r="L202" i="19"/>
  <c r="M202" i="19"/>
  <c r="K203" i="19"/>
  <c r="L203" i="19"/>
  <c r="M203" i="19"/>
  <c r="K204" i="19"/>
  <c r="L204" i="19"/>
  <c r="M204" i="19"/>
  <c r="K205" i="19"/>
  <c r="L205" i="19"/>
  <c r="M205" i="19"/>
  <c r="K206" i="19"/>
  <c r="L206" i="19"/>
  <c r="M206" i="19"/>
  <c r="K207" i="19"/>
  <c r="L207" i="19"/>
  <c r="M207" i="19"/>
  <c r="K208" i="19"/>
  <c r="L208" i="19"/>
  <c r="M208" i="19"/>
  <c r="K209" i="19"/>
  <c r="L209" i="19"/>
  <c r="M209" i="19"/>
  <c r="K210" i="19"/>
  <c r="L210" i="19"/>
  <c r="M210" i="19"/>
  <c r="K211" i="19"/>
  <c r="L211" i="19"/>
  <c r="M211" i="19"/>
  <c r="K212" i="19"/>
  <c r="L212" i="19"/>
  <c r="M212" i="19"/>
  <c r="K213" i="19"/>
  <c r="L213" i="19"/>
  <c r="M213" i="19"/>
  <c r="K214" i="19"/>
  <c r="L214" i="19"/>
  <c r="M214" i="19"/>
  <c r="K215" i="19"/>
  <c r="L215" i="19"/>
  <c r="M215" i="19"/>
  <c r="K216" i="19"/>
  <c r="L216" i="19"/>
  <c r="M216" i="19"/>
  <c r="K217" i="19"/>
  <c r="L217" i="19"/>
  <c r="M217" i="19"/>
  <c r="K218" i="19"/>
  <c r="L218" i="19"/>
  <c r="M218" i="19"/>
  <c r="K219" i="19"/>
  <c r="L219" i="19"/>
  <c r="M219" i="19"/>
  <c r="K220" i="19"/>
  <c r="L220" i="19"/>
  <c r="M220" i="19"/>
  <c r="K221" i="19"/>
  <c r="L221" i="19"/>
  <c r="M221" i="19"/>
  <c r="K222" i="19"/>
  <c r="L222" i="19"/>
  <c r="M222" i="19"/>
  <c r="K223" i="19"/>
  <c r="L223" i="19"/>
  <c r="M223" i="19"/>
  <c r="K224" i="19"/>
  <c r="L224" i="19"/>
  <c r="M224" i="19"/>
  <c r="K225" i="19"/>
  <c r="L225" i="19"/>
  <c r="M225" i="19"/>
  <c r="K226" i="19"/>
  <c r="L226" i="19"/>
  <c r="M226" i="19"/>
  <c r="K227" i="19"/>
  <c r="L227" i="19"/>
  <c r="M227" i="19"/>
  <c r="K228" i="19"/>
  <c r="L228" i="19"/>
  <c r="M228" i="19"/>
  <c r="K229" i="19"/>
  <c r="L229" i="19"/>
  <c r="M229" i="19"/>
  <c r="K230" i="19"/>
  <c r="L230" i="19"/>
  <c r="M230" i="19"/>
  <c r="K231" i="19"/>
  <c r="L231" i="19"/>
  <c r="M231" i="19"/>
  <c r="K232" i="19"/>
  <c r="L232" i="19"/>
  <c r="M232" i="19"/>
  <c r="K233" i="19"/>
  <c r="L233" i="19"/>
  <c r="M233" i="19"/>
  <c r="K234" i="19"/>
  <c r="L234" i="19"/>
  <c r="M234" i="19"/>
  <c r="K235" i="19"/>
  <c r="L235" i="19"/>
  <c r="M235" i="19"/>
  <c r="K236" i="19"/>
  <c r="L236" i="19"/>
  <c r="M236" i="19"/>
  <c r="K237" i="19"/>
  <c r="L237" i="19"/>
  <c r="M237" i="19"/>
  <c r="K238" i="19"/>
  <c r="L238" i="19"/>
  <c r="M238" i="19"/>
  <c r="K239" i="19"/>
  <c r="L239" i="19"/>
  <c r="M239" i="19"/>
  <c r="M23" i="19"/>
  <c r="I27" i="11" s="1"/>
  <c r="L23" i="19"/>
  <c r="L11" i="19"/>
  <c r="L10" i="19"/>
  <c r="K14" i="11"/>
  <c r="P20" i="19"/>
  <c r="J2" i="11"/>
  <c r="B2" i="11"/>
  <c r="M6" i="100"/>
  <c r="N6" i="100"/>
  <c r="U6" i="100"/>
  <c r="V6" i="100"/>
  <c r="W6" i="100"/>
  <c r="X6" i="100"/>
  <c r="AC7" i="100"/>
  <c r="F8" i="100"/>
  <c r="AC6" i="100"/>
  <c r="F9" i="100"/>
  <c r="F10" i="100"/>
  <c r="F11" i="100"/>
  <c r="F12" i="100"/>
  <c r="F13" i="100"/>
  <c r="F14" i="100"/>
  <c r="F15" i="100"/>
  <c r="F16" i="100"/>
  <c r="F17" i="100"/>
  <c r="F18" i="100"/>
  <c r="F19" i="100"/>
  <c r="F20" i="100"/>
  <c r="F21" i="100"/>
  <c r="F22" i="100"/>
  <c r="F23" i="100"/>
  <c r="F24" i="100"/>
  <c r="F25" i="100"/>
  <c r="F26" i="100"/>
  <c r="F27" i="100"/>
  <c r="F28" i="100"/>
  <c r="F29" i="100"/>
  <c r="F30" i="100"/>
  <c r="F31" i="100"/>
  <c r="F32" i="100"/>
  <c r="F33" i="100"/>
  <c r="F34" i="100"/>
  <c r="F35" i="100"/>
  <c r="F36" i="100"/>
  <c r="F37" i="100"/>
  <c r="F38" i="100"/>
  <c r="F39" i="100"/>
  <c r="F40" i="100"/>
  <c r="F41" i="100"/>
  <c r="F42" i="100"/>
  <c r="F43" i="100"/>
  <c r="F44" i="100"/>
  <c r="F45" i="100"/>
  <c r="F46" i="100"/>
  <c r="F47" i="100"/>
  <c r="F48" i="100"/>
  <c r="F49" i="100"/>
  <c r="F50" i="100"/>
  <c r="F51" i="100"/>
  <c r="F52" i="100"/>
  <c r="F53" i="100"/>
  <c r="F54" i="100"/>
  <c r="F55" i="100"/>
  <c r="F56" i="100"/>
  <c r="F57" i="100"/>
  <c r="F58" i="100"/>
  <c r="F59" i="100"/>
  <c r="F60" i="100"/>
  <c r="F61" i="100"/>
  <c r="F62" i="100"/>
  <c r="F63" i="100"/>
  <c r="F64" i="100"/>
  <c r="F65" i="100"/>
  <c r="F66" i="100"/>
  <c r="F67" i="100"/>
  <c r="F68" i="100"/>
  <c r="F69" i="100"/>
  <c r="F70" i="100"/>
  <c r="F71" i="100"/>
  <c r="F72" i="100"/>
  <c r="F73" i="100"/>
  <c r="F74" i="100"/>
  <c r="F75" i="100"/>
  <c r="F76" i="100"/>
  <c r="F77" i="100"/>
  <c r="F78" i="100"/>
  <c r="F79" i="100"/>
  <c r="F80" i="100"/>
  <c r="F81" i="100"/>
  <c r="F82" i="100"/>
  <c r="F83" i="100"/>
  <c r="F84" i="100"/>
  <c r="F85" i="100"/>
  <c r="F86" i="100"/>
  <c r="F87" i="100"/>
  <c r="F88" i="100"/>
  <c r="F89" i="100"/>
  <c r="F90" i="100"/>
  <c r="F91" i="100"/>
  <c r="F92" i="100"/>
  <c r="F93" i="100"/>
  <c r="F94" i="100"/>
  <c r="F95" i="100"/>
  <c r="F96" i="100"/>
  <c r="F97" i="100"/>
  <c r="F98" i="100"/>
  <c r="F99" i="100"/>
  <c r="F100" i="100"/>
  <c r="F101" i="100"/>
  <c r="F102" i="100"/>
  <c r="F103" i="100"/>
  <c r="F104" i="100"/>
  <c r="F105" i="100"/>
  <c r="F106" i="100"/>
  <c r="F107" i="100"/>
  <c r="F108" i="100"/>
  <c r="F109" i="100"/>
  <c r="F110" i="100"/>
  <c r="F111" i="100"/>
  <c r="F112" i="100"/>
  <c r="F113" i="100"/>
  <c r="F114" i="100"/>
  <c r="F115" i="100"/>
  <c r="F116" i="100"/>
  <c r="F117" i="100"/>
  <c r="F118" i="100"/>
  <c r="F119" i="100"/>
  <c r="F120" i="100"/>
  <c r="F121" i="100"/>
  <c r="F122" i="100"/>
  <c r="F123" i="100"/>
  <c r="F124" i="100"/>
  <c r="F125" i="100"/>
  <c r="F126" i="100"/>
  <c r="F127" i="100"/>
  <c r="F128" i="100"/>
  <c r="F129" i="100"/>
  <c r="F130" i="100"/>
  <c r="F131" i="100"/>
  <c r="F132" i="100"/>
  <c r="F133" i="100"/>
  <c r="F134" i="100"/>
  <c r="F135" i="100"/>
  <c r="F136" i="100"/>
  <c r="F137" i="100"/>
  <c r="F138" i="100"/>
  <c r="F139" i="100"/>
  <c r="F140" i="100"/>
  <c r="F141" i="100"/>
  <c r="F142" i="100"/>
  <c r="F143" i="100"/>
  <c r="F144" i="100"/>
  <c r="F145" i="100"/>
  <c r="F146" i="100"/>
  <c r="F147" i="100"/>
  <c r="F148" i="100"/>
  <c r="F149" i="100"/>
  <c r="F150" i="100"/>
  <c r="F151" i="100"/>
  <c r="F152" i="100"/>
  <c r="F153" i="100"/>
  <c r="F154" i="100"/>
  <c r="F155" i="100"/>
  <c r="F156" i="100"/>
  <c r="F157" i="100"/>
  <c r="F158" i="100"/>
  <c r="F159" i="100"/>
  <c r="F160" i="100"/>
  <c r="F161" i="100"/>
  <c r="F162" i="100"/>
  <c r="F163" i="100"/>
  <c r="F164" i="100"/>
  <c r="F165" i="100"/>
  <c r="F166" i="100"/>
  <c r="F167" i="100"/>
  <c r="F168" i="100"/>
  <c r="F169" i="100"/>
  <c r="F170" i="100"/>
  <c r="F171" i="100"/>
  <c r="F172" i="100"/>
  <c r="F173" i="100"/>
  <c r="F174" i="100"/>
  <c r="F175" i="100"/>
  <c r="F176" i="100"/>
  <c r="F177" i="100"/>
  <c r="F178" i="100"/>
  <c r="F179" i="100"/>
  <c r="F180" i="100"/>
  <c r="F181" i="100"/>
  <c r="F182" i="100"/>
  <c r="F183" i="100"/>
  <c r="F184" i="100"/>
  <c r="F185" i="100"/>
  <c r="F186" i="100"/>
  <c r="F187" i="100"/>
  <c r="F188" i="100"/>
  <c r="F189" i="100"/>
  <c r="F190" i="100"/>
  <c r="F191" i="100"/>
  <c r="F192" i="100"/>
  <c r="F193" i="100"/>
  <c r="F194" i="100"/>
  <c r="F195" i="100"/>
  <c r="F196" i="100"/>
  <c r="F197" i="100"/>
  <c r="F198" i="100"/>
  <c r="F199" i="100"/>
  <c r="F200" i="100"/>
  <c r="F201" i="100"/>
  <c r="F202" i="100"/>
  <c r="F203" i="100"/>
  <c r="F204" i="100"/>
  <c r="F205" i="100"/>
  <c r="F206" i="100"/>
  <c r="F207" i="100"/>
  <c r="F208" i="100"/>
  <c r="F209" i="100"/>
  <c r="F210" i="100"/>
  <c r="F211" i="100"/>
  <c r="F212" i="100"/>
  <c r="F213" i="100"/>
  <c r="F214" i="100"/>
  <c r="F215" i="100"/>
  <c r="F216" i="100"/>
  <c r="F217" i="100"/>
  <c r="F218" i="100"/>
  <c r="F219" i="100"/>
  <c r="F220" i="100"/>
  <c r="F221" i="100"/>
  <c r="F222" i="100"/>
  <c r="F223" i="100"/>
  <c r="F224" i="100"/>
  <c r="F225" i="100"/>
  <c r="F226" i="100"/>
  <c r="F227" i="100"/>
  <c r="F228" i="100"/>
  <c r="F229" i="100"/>
  <c r="F230" i="100"/>
  <c r="F231" i="100"/>
  <c r="F232" i="100"/>
  <c r="F233" i="100"/>
  <c r="F234" i="100"/>
  <c r="F235" i="100"/>
  <c r="F236" i="100"/>
  <c r="F237" i="100"/>
  <c r="F238" i="100"/>
  <c r="F239" i="100"/>
  <c r="F240" i="100"/>
  <c r="F241" i="100"/>
  <c r="F242" i="100"/>
  <c r="F243" i="100"/>
  <c r="F244" i="100"/>
  <c r="F245" i="100"/>
  <c r="F246" i="100"/>
  <c r="F247" i="100"/>
  <c r="F248" i="100"/>
  <c r="F249" i="100"/>
  <c r="F250" i="100"/>
  <c r="F251" i="100"/>
  <c r="F252" i="100"/>
  <c r="F253" i="100"/>
  <c r="F254" i="100"/>
  <c r="F255" i="100"/>
  <c r="F256" i="100"/>
  <c r="F257" i="100"/>
  <c r="F258" i="100"/>
  <c r="F259" i="100"/>
  <c r="F260" i="100"/>
  <c r="F261" i="100"/>
  <c r="F262" i="100"/>
  <c r="F263" i="100"/>
  <c r="F264" i="100"/>
  <c r="F265" i="100"/>
  <c r="F266" i="100"/>
  <c r="F267" i="100"/>
  <c r="F268" i="100"/>
  <c r="F269" i="100"/>
  <c r="F270" i="100"/>
  <c r="F271" i="100"/>
  <c r="F272" i="100"/>
  <c r="F273" i="100"/>
  <c r="F274" i="100"/>
  <c r="F275" i="100"/>
  <c r="F276" i="100"/>
  <c r="F277" i="100"/>
  <c r="F278" i="100"/>
  <c r="F279" i="100"/>
  <c r="F280" i="100"/>
  <c r="F281" i="100"/>
  <c r="F282" i="100"/>
  <c r="F283" i="100"/>
  <c r="F284" i="100"/>
  <c r="F285" i="100"/>
  <c r="F286" i="100"/>
  <c r="F287" i="100"/>
  <c r="F288" i="100"/>
  <c r="F289" i="100"/>
  <c r="F290" i="100"/>
  <c r="F291" i="100"/>
  <c r="F292" i="100"/>
  <c r="F293" i="100"/>
  <c r="F294" i="100"/>
  <c r="F295" i="100"/>
  <c r="F296" i="100"/>
  <c r="F297" i="100"/>
  <c r="F298" i="100"/>
  <c r="F299" i="100"/>
  <c r="F300" i="100"/>
  <c r="F301" i="100"/>
  <c r="F302" i="100"/>
  <c r="F303" i="100"/>
  <c r="F304" i="100"/>
  <c r="F305" i="100"/>
  <c r="F306" i="100"/>
  <c r="F307" i="100"/>
  <c r="F308" i="100"/>
  <c r="F309" i="100"/>
  <c r="F310" i="100"/>
  <c r="F311" i="100"/>
  <c r="F312" i="100"/>
  <c r="F313" i="100"/>
  <c r="F314" i="100"/>
  <c r="F315" i="100"/>
  <c r="F316" i="100"/>
  <c r="F317" i="100"/>
  <c r="F318" i="100"/>
  <c r="F319" i="100"/>
  <c r="F320" i="100"/>
  <c r="F321" i="100"/>
  <c r="F322" i="100"/>
  <c r="F323" i="100"/>
  <c r="F324" i="100"/>
  <c r="F325" i="100"/>
  <c r="F326" i="100"/>
  <c r="F327" i="100"/>
  <c r="F328" i="100"/>
  <c r="F329" i="100"/>
  <c r="F330" i="100"/>
  <c r="F331" i="100"/>
  <c r="F332" i="100"/>
  <c r="F333" i="100"/>
  <c r="F334" i="100"/>
  <c r="F335" i="100"/>
  <c r="F336" i="100"/>
  <c r="F337" i="100"/>
  <c r="F338" i="100"/>
  <c r="F339" i="100"/>
  <c r="F340" i="100"/>
  <c r="F341" i="100"/>
  <c r="F342" i="100"/>
  <c r="F343" i="100"/>
  <c r="F344" i="100"/>
  <c r="F345" i="100"/>
  <c r="F346" i="100"/>
  <c r="F347" i="100"/>
  <c r="F348" i="100"/>
  <c r="F349" i="100"/>
  <c r="F350" i="100"/>
  <c r="F351" i="100"/>
  <c r="F352" i="100"/>
  <c r="F353" i="100"/>
  <c r="F354" i="100"/>
  <c r="F355" i="100"/>
  <c r="F356" i="100"/>
  <c r="F357" i="100"/>
  <c r="F358" i="100"/>
  <c r="F359" i="100"/>
  <c r="F360" i="100"/>
  <c r="F361" i="100"/>
  <c r="F362" i="100"/>
  <c r="F363" i="100"/>
  <c r="F364" i="100"/>
  <c r="F365" i="100"/>
  <c r="F366" i="100"/>
  <c r="F367" i="100"/>
  <c r="F368" i="100"/>
  <c r="F369" i="100"/>
  <c r="F370" i="100"/>
  <c r="F371" i="100"/>
  <c r="F372" i="100"/>
  <c r="F373" i="100"/>
  <c r="F374" i="100"/>
  <c r="F375" i="100"/>
  <c r="F376" i="100"/>
  <c r="F377" i="100"/>
  <c r="F378" i="100"/>
  <c r="F379" i="100"/>
  <c r="F380" i="100"/>
  <c r="F381" i="100"/>
  <c r="F382" i="100"/>
  <c r="F383" i="100"/>
  <c r="F384" i="100"/>
  <c r="F385" i="100"/>
  <c r="F386" i="100"/>
  <c r="F387" i="100"/>
  <c r="F388" i="100"/>
  <c r="F389" i="100"/>
  <c r="F390" i="100"/>
  <c r="F391" i="100"/>
  <c r="F392" i="100"/>
  <c r="F393" i="100"/>
  <c r="F394" i="100"/>
  <c r="F395" i="100"/>
  <c r="F396" i="100"/>
  <c r="F397" i="100"/>
  <c r="F398" i="100"/>
  <c r="F399" i="100"/>
  <c r="F400" i="100"/>
  <c r="F401" i="100"/>
  <c r="F402" i="100"/>
  <c r="F403" i="100"/>
  <c r="F404" i="100"/>
  <c r="F405" i="100"/>
  <c r="F406" i="100"/>
  <c r="F407" i="100"/>
  <c r="F408" i="100"/>
  <c r="F409" i="100"/>
  <c r="F410" i="100"/>
  <c r="F411" i="100"/>
  <c r="F412" i="100"/>
  <c r="F413" i="100"/>
  <c r="F414" i="100"/>
  <c r="F415" i="100"/>
  <c r="F416" i="100"/>
  <c r="F417" i="100"/>
  <c r="F418" i="100"/>
  <c r="F419" i="100"/>
  <c r="F420" i="100"/>
  <c r="F421" i="100"/>
  <c r="F422" i="100"/>
  <c r="F423" i="100"/>
  <c r="F424" i="100"/>
  <c r="F425" i="100"/>
  <c r="F426" i="100"/>
  <c r="F427" i="100"/>
  <c r="F428" i="100"/>
  <c r="F429" i="100"/>
  <c r="F430" i="100"/>
  <c r="F431" i="100"/>
  <c r="F432" i="100"/>
  <c r="F433" i="100"/>
  <c r="F434" i="100"/>
  <c r="F435" i="100"/>
  <c r="F436" i="100"/>
  <c r="F437" i="100"/>
  <c r="F438" i="100"/>
  <c r="F439" i="100"/>
  <c r="F440" i="100"/>
  <c r="F441" i="100"/>
  <c r="F442" i="100"/>
  <c r="F443" i="100"/>
  <c r="F444" i="100"/>
  <c r="F445" i="100"/>
  <c r="F446" i="100"/>
  <c r="F447" i="100"/>
  <c r="F448" i="100"/>
  <c r="F449" i="100"/>
  <c r="F450" i="100"/>
  <c r="F451" i="100"/>
  <c r="F452" i="100"/>
  <c r="F453" i="100"/>
  <c r="F454" i="100"/>
  <c r="F455" i="100"/>
  <c r="F456" i="100"/>
  <c r="F457" i="100"/>
  <c r="F458" i="100"/>
  <c r="F459" i="100"/>
  <c r="F460" i="100"/>
  <c r="F461" i="100"/>
  <c r="F462" i="100"/>
  <c r="F463" i="100"/>
  <c r="F464" i="100"/>
  <c r="F465" i="100"/>
  <c r="F466" i="100"/>
  <c r="F467" i="100"/>
  <c r="F468" i="100"/>
  <c r="F469" i="100"/>
  <c r="F470" i="100"/>
  <c r="F471" i="100"/>
  <c r="F472" i="100"/>
  <c r="F473" i="100"/>
  <c r="F474" i="100"/>
  <c r="F475" i="100"/>
  <c r="F476" i="100"/>
  <c r="F477" i="100"/>
  <c r="F478" i="100"/>
  <c r="F479" i="100"/>
  <c r="F480" i="100"/>
  <c r="F481" i="100"/>
  <c r="F482" i="100"/>
  <c r="F483" i="100"/>
  <c r="F484" i="100"/>
  <c r="F485" i="100"/>
  <c r="F486" i="100"/>
  <c r="F487" i="100"/>
  <c r="F488" i="100"/>
  <c r="F489" i="100"/>
  <c r="F490" i="100"/>
  <c r="F491" i="100"/>
  <c r="F492" i="100"/>
  <c r="F493" i="100"/>
  <c r="F494" i="100"/>
  <c r="F495" i="100"/>
  <c r="F496" i="100"/>
  <c r="F497" i="100"/>
  <c r="F498" i="100"/>
  <c r="F499" i="100"/>
  <c r="F500" i="100"/>
  <c r="F501" i="100"/>
  <c r="F502" i="100"/>
  <c r="F503" i="100"/>
  <c r="F504" i="100"/>
  <c r="F505" i="100"/>
  <c r="F506" i="100"/>
  <c r="F507" i="100"/>
  <c r="F508" i="100"/>
  <c r="F509" i="100"/>
  <c r="F510" i="100"/>
  <c r="F511" i="100"/>
  <c r="F512" i="100"/>
  <c r="F513" i="100"/>
  <c r="F514" i="100"/>
  <c r="F515" i="100"/>
  <c r="F516" i="100"/>
  <c r="F517" i="100"/>
  <c r="F518" i="100"/>
  <c r="F519" i="100"/>
  <c r="F520" i="100"/>
  <c r="F521" i="100"/>
  <c r="F522" i="100"/>
  <c r="F523" i="100"/>
  <c r="F524" i="100"/>
  <c r="F525" i="100"/>
  <c r="F526" i="100"/>
  <c r="F527" i="100"/>
  <c r="F528" i="100"/>
  <c r="F529" i="100"/>
  <c r="F530" i="100"/>
  <c r="F531" i="100"/>
  <c r="F532" i="100"/>
  <c r="F533" i="100"/>
  <c r="F534" i="100"/>
  <c r="F535" i="100"/>
  <c r="F536" i="100"/>
  <c r="F537" i="100"/>
  <c r="F538" i="100"/>
  <c r="F539" i="100"/>
  <c r="F540" i="100"/>
  <c r="F541" i="100"/>
  <c r="F542" i="100"/>
  <c r="F543" i="100"/>
  <c r="F544" i="100"/>
  <c r="F545" i="100"/>
  <c r="F546" i="100"/>
  <c r="F547" i="100"/>
  <c r="F548" i="100"/>
  <c r="F549" i="100"/>
  <c r="F550" i="100"/>
  <c r="F551" i="100"/>
  <c r="F552" i="100"/>
  <c r="F553" i="100"/>
  <c r="F554" i="100"/>
  <c r="F555" i="100"/>
  <c r="F556" i="100"/>
  <c r="F557" i="100"/>
  <c r="F558" i="100"/>
  <c r="F559" i="100"/>
  <c r="F560" i="100"/>
  <c r="F561" i="100"/>
  <c r="F562" i="100"/>
  <c r="F563" i="100"/>
  <c r="F564" i="100"/>
  <c r="F565" i="100"/>
  <c r="F566" i="100"/>
  <c r="F567" i="100"/>
  <c r="F568" i="100"/>
  <c r="F569" i="100"/>
  <c r="F570" i="100"/>
  <c r="F571" i="100"/>
  <c r="F572" i="100"/>
  <c r="F573" i="100"/>
  <c r="F574" i="100"/>
  <c r="F575" i="100"/>
  <c r="F576" i="100"/>
  <c r="F577" i="100"/>
  <c r="F578" i="100"/>
  <c r="F579" i="100"/>
  <c r="F580" i="100"/>
  <c r="F581" i="100"/>
  <c r="F582" i="100"/>
  <c r="F583" i="100"/>
  <c r="F584" i="100"/>
  <c r="F585" i="100"/>
  <c r="F586" i="100"/>
  <c r="F587" i="100"/>
  <c r="F588" i="100"/>
  <c r="F589" i="100"/>
  <c r="F590" i="100"/>
  <c r="F591" i="100"/>
  <c r="F592" i="100"/>
  <c r="F593" i="100"/>
  <c r="F594" i="100"/>
  <c r="F595" i="100"/>
  <c r="F596" i="100"/>
  <c r="F597" i="100"/>
  <c r="F598" i="100"/>
  <c r="F599" i="100"/>
  <c r="F600" i="100"/>
  <c r="F601" i="100"/>
  <c r="F602" i="100"/>
  <c r="F603" i="100"/>
  <c r="F604" i="100"/>
  <c r="F605" i="100"/>
  <c r="F606" i="100"/>
  <c r="N2" i="19"/>
  <c r="A8" i="100" s="1"/>
  <c r="E14" i="19"/>
  <c r="H6" i="11" s="1"/>
  <c r="E15" i="19"/>
  <c r="H7" i="11" s="1"/>
  <c r="E16" i="19"/>
  <c r="H8" i="11" s="1"/>
  <c r="E17" i="19"/>
  <c r="H9" i="11" s="1"/>
  <c r="B20" i="19"/>
  <c r="B24" i="11" s="1"/>
  <c r="U20" i="19"/>
  <c r="B23" i="19"/>
  <c r="B27" i="11"/>
  <c r="D23" i="19"/>
  <c r="E23" i="19"/>
  <c r="D27" i="11" s="1"/>
  <c r="F23" i="19"/>
  <c r="G23" i="19"/>
  <c r="H23" i="19"/>
  <c r="I23" i="19"/>
  <c r="F27" i="11" s="1"/>
  <c r="J23" i="19"/>
  <c r="G27" i="11"/>
  <c r="K23" i="19"/>
  <c r="N23" i="19"/>
  <c r="K27" i="11"/>
  <c r="O23" i="19"/>
  <c r="J27" i="11"/>
  <c r="Q23" i="19"/>
  <c r="L27" i="11"/>
  <c r="R23" i="19"/>
  <c r="M27" i="11" s="1"/>
  <c r="S23" i="19"/>
  <c r="N27" i="11"/>
  <c r="B24" i="19"/>
  <c r="D24" i="19"/>
  <c r="C28" i="11" s="1"/>
  <c r="E24" i="19"/>
  <c r="D28" i="11" s="1"/>
  <c r="F24" i="19"/>
  <c r="G24" i="19"/>
  <c r="H24" i="19"/>
  <c r="E28" i="11" s="1"/>
  <c r="I24" i="19"/>
  <c r="F28" i="11" s="1"/>
  <c r="J24" i="19"/>
  <c r="G28" i="11" s="1"/>
  <c r="I28" i="11"/>
  <c r="N24" i="19"/>
  <c r="K28" i="11" s="1"/>
  <c r="O24" i="19"/>
  <c r="Q24" i="19"/>
  <c r="R24" i="19"/>
  <c r="M28" i="11" s="1"/>
  <c r="S24" i="19"/>
  <c r="N28" i="11" s="1"/>
  <c r="T24" i="19"/>
  <c r="O28" i="11" s="1"/>
  <c r="B25" i="19"/>
  <c r="B29" i="11"/>
  <c r="D25" i="19"/>
  <c r="C29" i="11" s="1"/>
  <c r="E25" i="19"/>
  <c r="D29" i="11" s="1"/>
  <c r="F25" i="19"/>
  <c r="G25" i="19"/>
  <c r="H25" i="19"/>
  <c r="E29" i="11"/>
  <c r="I25" i="19"/>
  <c r="J25" i="19"/>
  <c r="I29" i="11"/>
  <c r="N25" i="19"/>
  <c r="K29" i="11" s="1"/>
  <c r="O25" i="19"/>
  <c r="J29" i="11" s="1"/>
  <c r="Q25" i="19"/>
  <c r="L29" i="11" s="1"/>
  <c r="R25" i="19"/>
  <c r="M29" i="11" s="1"/>
  <c r="S25" i="19"/>
  <c r="N29" i="11" s="1"/>
  <c r="T25" i="19"/>
  <c r="O29" i="11" s="1"/>
  <c r="B26" i="19"/>
  <c r="B30" i="11" s="1"/>
  <c r="D26" i="19"/>
  <c r="C30" i="11" s="1"/>
  <c r="E26" i="19"/>
  <c r="D30" i="11" s="1"/>
  <c r="F26" i="19"/>
  <c r="G26" i="19"/>
  <c r="H26" i="19"/>
  <c r="E30" i="11" s="1"/>
  <c r="I26" i="19"/>
  <c r="F30" i="11" s="1"/>
  <c r="J26" i="19"/>
  <c r="G30" i="11" s="1"/>
  <c r="N26" i="19"/>
  <c r="O26" i="19"/>
  <c r="J30" i="11" s="1"/>
  <c r="Q26" i="19"/>
  <c r="L30" i="11" s="1"/>
  <c r="R26" i="19"/>
  <c r="S26" i="19"/>
  <c r="T26" i="19"/>
  <c r="O30" i="11" s="1"/>
  <c r="B27" i="19"/>
  <c r="B31" i="11" s="1"/>
  <c r="D27" i="19"/>
  <c r="C31" i="11" s="1"/>
  <c r="E27" i="19"/>
  <c r="D31" i="11" s="1"/>
  <c r="F27" i="19"/>
  <c r="G27" i="19"/>
  <c r="H27" i="19"/>
  <c r="E31" i="11" s="1"/>
  <c r="I27" i="19"/>
  <c r="F31" i="11" s="1"/>
  <c r="J27" i="19"/>
  <c r="G31" i="11" s="1"/>
  <c r="I31" i="11"/>
  <c r="N27" i="19"/>
  <c r="K31" i="11" s="1"/>
  <c r="O27" i="19"/>
  <c r="J31" i="11" s="1"/>
  <c r="Q27" i="19"/>
  <c r="R27" i="19"/>
  <c r="M31" i="11" s="1"/>
  <c r="S27" i="19"/>
  <c r="N31" i="11" s="1"/>
  <c r="T27" i="19"/>
  <c r="O31" i="11" s="1"/>
  <c r="B28" i="19"/>
  <c r="B32" i="11" s="1"/>
  <c r="D28" i="19"/>
  <c r="C32" i="11" s="1"/>
  <c r="E28" i="19"/>
  <c r="D32" i="11" s="1"/>
  <c r="F28" i="19"/>
  <c r="G28" i="19"/>
  <c r="H28" i="19"/>
  <c r="I28" i="19"/>
  <c r="F32" i="11"/>
  <c r="J28" i="19"/>
  <c r="G32" i="11" s="1"/>
  <c r="I32" i="11"/>
  <c r="N28" i="19"/>
  <c r="K32" i="11" s="1"/>
  <c r="O28" i="19"/>
  <c r="J32" i="11" s="1"/>
  <c r="Q28" i="19"/>
  <c r="R28" i="19"/>
  <c r="M32" i="11"/>
  <c r="S28" i="19"/>
  <c r="N32" i="11" s="1"/>
  <c r="T28" i="19"/>
  <c r="O32" i="11" s="1"/>
  <c r="B29" i="19"/>
  <c r="B33" i="11" s="1"/>
  <c r="D29" i="19"/>
  <c r="C33" i="11"/>
  <c r="E29" i="19"/>
  <c r="D33" i="11" s="1"/>
  <c r="F29" i="19"/>
  <c r="G29" i="19"/>
  <c r="H29" i="19"/>
  <c r="E33" i="11" s="1"/>
  <c r="I29" i="19"/>
  <c r="F33" i="11"/>
  <c r="J29" i="19"/>
  <c r="G33" i="11" s="1"/>
  <c r="I33" i="11"/>
  <c r="N29" i="19"/>
  <c r="K33" i="11" s="1"/>
  <c r="O29" i="19"/>
  <c r="Q29" i="19"/>
  <c r="L33" i="11"/>
  <c r="R29" i="19"/>
  <c r="M33" i="11" s="1"/>
  <c r="S29" i="19"/>
  <c r="N33" i="11"/>
  <c r="T29" i="19"/>
  <c r="O33" i="11" s="1"/>
  <c r="B30" i="19"/>
  <c r="B34" i="11"/>
  <c r="D30" i="19"/>
  <c r="C34" i="11" s="1"/>
  <c r="E30" i="19"/>
  <c r="F30" i="19"/>
  <c r="G30" i="19"/>
  <c r="H30" i="19"/>
  <c r="E34" i="11" s="1"/>
  <c r="I30" i="19"/>
  <c r="F34" i="11" s="1"/>
  <c r="J30" i="19"/>
  <c r="N30" i="19"/>
  <c r="K34" i="11" s="1"/>
  <c r="O30" i="19"/>
  <c r="J34" i="11"/>
  <c r="Q30" i="19"/>
  <c r="L34" i="11" s="1"/>
  <c r="R30" i="19"/>
  <c r="M34" i="11"/>
  <c r="S30" i="19"/>
  <c r="T30" i="19"/>
  <c r="O34" i="11" s="1"/>
  <c r="B31" i="19"/>
  <c r="B35" i="11" s="1"/>
  <c r="D31" i="19"/>
  <c r="C35" i="11" s="1"/>
  <c r="E31" i="19"/>
  <c r="D35" i="11" s="1"/>
  <c r="F31" i="19"/>
  <c r="G31" i="19"/>
  <c r="H31" i="19"/>
  <c r="E35" i="11" s="1"/>
  <c r="I31" i="19"/>
  <c r="J31" i="19"/>
  <c r="G35" i="11" s="1"/>
  <c r="N31" i="19"/>
  <c r="K35" i="11" s="1"/>
  <c r="O31" i="19"/>
  <c r="J35" i="11" s="1"/>
  <c r="Q31" i="19"/>
  <c r="L35" i="11"/>
  <c r="R31" i="19"/>
  <c r="M35" i="11" s="1"/>
  <c r="S31" i="19"/>
  <c r="N35" i="11" s="1"/>
  <c r="T31" i="19"/>
  <c r="O35" i="11" s="1"/>
  <c r="B32" i="19"/>
  <c r="D32" i="19"/>
  <c r="E32" i="19"/>
  <c r="D36" i="11" s="1"/>
  <c r="F32" i="19"/>
  <c r="G32" i="19"/>
  <c r="H32" i="19"/>
  <c r="E36" i="11" s="1"/>
  <c r="I32" i="19"/>
  <c r="F36" i="11"/>
  <c r="J32" i="19"/>
  <c r="G36" i="11" s="1"/>
  <c r="I36" i="11"/>
  <c r="N32" i="19"/>
  <c r="O32" i="19"/>
  <c r="Q32" i="19"/>
  <c r="L36" i="11" s="1"/>
  <c r="R32" i="19"/>
  <c r="M36" i="11" s="1"/>
  <c r="S32" i="19"/>
  <c r="N36" i="11" s="1"/>
  <c r="T32" i="19"/>
  <c r="O36" i="11" s="1"/>
  <c r="B33" i="19"/>
  <c r="D33" i="19"/>
  <c r="E33" i="19"/>
  <c r="F33" i="19"/>
  <c r="G33" i="19"/>
  <c r="H33" i="19"/>
  <c r="I33" i="19"/>
  <c r="J33" i="19"/>
  <c r="N33" i="19"/>
  <c r="O33" i="19"/>
  <c r="Q33" i="19"/>
  <c r="R33" i="19"/>
  <c r="S33" i="19"/>
  <c r="T33" i="19"/>
  <c r="B34" i="19"/>
  <c r="D34" i="19"/>
  <c r="E34" i="19"/>
  <c r="F34" i="19"/>
  <c r="G34" i="19"/>
  <c r="H34" i="19"/>
  <c r="I34" i="19"/>
  <c r="J34" i="19"/>
  <c r="N34" i="19"/>
  <c r="O34" i="19"/>
  <c r="Q34" i="19"/>
  <c r="R34" i="19"/>
  <c r="S34" i="19"/>
  <c r="T34" i="19"/>
  <c r="B35" i="19"/>
  <c r="D35" i="19"/>
  <c r="E35" i="19"/>
  <c r="F35" i="19"/>
  <c r="G35" i="19"/>
  <c r="H35" i="19"/>
  <c r="I35" i="19"/>
  <c r="J35" i="19"/>
  <c r="N35" i="19"/>
  <c r="O35" i="19"/>
  <c r="Q35" i="19"/>
  <c r="R35" i="19"/>
  <c r="S35" i="19"/>
  <c r="T35" i="19"/>
  <c r="B36" i="19"/>
  <c r="D36" i="19"/>
  <c r="E36" i="19"/>
  <c r="F36" i="19"/>
  <c r="G36" i="19"/>
  <c r="H36" i="19"/>
  <c r="I36" i="19"/>
  <c r="J36" i="19"/>
  <c r="N36" i="19"/>
  <c r="O36" i="19"/>
  <c r="Q36" i="19"/>
  <c r="R36" i="19"/>
  <c r="S36" i="19"/>
  <c r="T36" i="19"/>
  <c r="B37" i="19"/>
  <c r="D37" i="19"/>
  <c r="E37" i="19"/>
  <c r="F37" i="19"/>
  <c r="G37" i="19"/>
  <c r="H37" i="19"/>
  <c r="I37" i="19"/>
  <c r="J37" i="19"/>
  <c r="N37" i="19"/>
  <c r="O37" i="19"/>
  <c r="Q37" i="19"/>
  <c r="R37" i="19"/>
  <c r="S37" i="19"/>
  <c r="T37" i="19"/>
  <c r="B38" i="19"/>
  <c r="D38" i="19"/>
  <c r="E38" i="19"/>
  <c r="F38" i="19"/>
  <c r="G38" i="19"/>
  <c r="H38" i="19"/>
  <c r="I38" i="19"/>
  <c r="J38" i="19"/>
  <c r="N38" i="19"/>
  <c r="O38" i="19"/>
  <c r="Q38" i="19"/>
  <c r="R38" i="19"/>
  <c r="S38" i="19"/>
  <c r="T38" i="19"/>
  <c r="B39" i="19"/>
  <c r="D39" i="19"/>
  <c r="E39" i="19"/>
  <c r="F39" i="19"/>
  <c r="G39" i="19"/>
  <c r="H39" i="19"/>
  <c r="I39" i="19"/>
  <c r="J39" i="19"/>
  <c r="N39" i="19"/>
  <c r="O39" i="19"/>
  <c r="Q39" i="19"/>
  <c r="R39" i="19"/>
  <c r="S39" i="19"/>
  <c r="T39" i="19"/>
  <c r="B40" i="19"/>
  <c r="D40" i="19"/>
  <c r="E40" i="19"/>
  <c r="F40" i="19"/>
  <c r="G40" i="19"/>
  <c r="H40" i="19"/>
  <c r="I40" i="19"/>
  <c r="J40" i="19"/>
  <c r="N40" i="19"/>
  <c r="O40" i="19"/>
  <c r="Q40" i="19"/>
  <c r="R40" i="19"/>
  <c r="S40" i="19"/>
  <c r="T40" i="19"/>
  <c r="B41" i="19"/>
  <c r="D41" i="19"/>
  <c r="E41" i="19"/>
  <c r="F41" i="19"/>
  <c r="G41" i="19"/>
  <c r="H41" i="19"/>
  <c r="I41" i="19"/>
  <c r="J41" i="19"/>
  <c r="N41" i="19"/>
  <c r="O41" i="19"/>
  <c r="Q41" i="19"/>
  <c r="R41" i="19"/>
  <c r="S41" i="19"/>
  <c r="T41" i="19"/>
  <c r="B42" i="19"/>
  <c r="D42" i="19"/>
  <c r="E42" i="19"/>
  <c r="F42" i="19"/>
  <c r="G42" i="19"/>
  <c r="H42" i="19"/>
  <c r="I42" i="19"/>
  <c r="J42" i="19"/>
  <c r="N42" i="19"/>
  <c r="O42" i="19"/>
  <c r="Q42" i="19"/>
  <c r="R42" i="19"/>
  <c r="S42" i="19"/>
  <c r="T42" i="19"/>
  <c r="B43" i="19"/>
  <c r="D43" i="19"/>
  <c r="E43" i="19"/>
  <c r="F43" i="19"/>
  <c r="G43" i="19"/>
  <c r="H43" i="19"/>
  <c r="I43" i="19"/>
  <c r="J43" i="19"/>
  <c r="N43" i="19"/>
  <c r="O43" i="19"/>
  <c r="Q43" i="19"/>
  <c r="R43" i="19"/>
  <c r="S43" i="19"/>
  <c r="T43" i="19"/>
  <c r="B44" i="19"/>
  <c r="D44" i="19"/>
  <c r="E44" i="19"/>
  <c r="F44" i="19"/>
  <c r="G44" i="19"/>
  <c r="H44" i="19"/>
  <c r="I44" i="19"/>
  <c r="J44" i="19"/>
  <c r="N44" i="19"/>
  <c r="O44" i="19"/>
  <c r="Q44" i="19"/>
  <c r="R44" i="19"/>
  <c r="S44" i="19"/>
  <c r="T44" i="19"/>
  <c r="B45" i="19"/>
  <c r="D45" i="19"/>
  <c r="E45" i="19"/>
  <c r="F45" i="19"/>
  <c r="G45" i="19"/>
  <c r="H45" i="19"/>
  <c r="I45" i="19"/>
  <c r="J45" i="19"/>
  <c r="N45" i="19"/>
  <c r="O45" i="19"/>
  <c r="Q45" i="19"/>
  <c r="R45" i="19"/>
  <c r="S45" i="19"/>
  <c r="T45" i="19"/>
  <c r="B46" i="19"/>
  <c r="D46" i="19"/>
  <c r="E46" i="19"/>
  <c r="F46" i="19"/>
  <c r="G46" i="19"/>
  <c r="H46" i="19"/>
  <c r="I46" i="19"/>
  <c r="J46" i="19"/>
  <c r="N46" i="19"/>
  <c r="O46" i="19"/>
  <c r="Q46" i="19"/>
  <c r="R46" i="19"/>
  <c r="S46" i="19"/>
  <c r="T46" i="19"/>
  <c r="B47" i="19"/>
  <c r="D47" i="19"/>
  <c r="E47" i="19"/>
  <c r="F47" i="19"/>
  <c r="G47" i="19"/>
  <c r="H47" i="19"/>
  <c r="I47" i="19"/>
  <c r="J47" i="19"/>
  <c r="N47" i="19"/>
  <c r="O47" i="19"/>
  <c r="Q47" i="19"/>
  <c r="R47" i="19"/>
  <c r="S47" i="19"/>
  <c r="T47" i="19"/>
  <c r="B48" i="19"/>
  <c r="D48" i="19"/>
  <c r="E48" i="19"/>
  <c r="F48" i="19"/>
  <c r="G48" i="19"/>
  <c r="H48" i="19"/>
  <c r="I48" i="19"/>
  <c r="J48" i="19"/>
  <c r="N48" i="19"/>
  <c r="O48" i="19"/>
  <c r="Q48" i="19"/>
  <c r="R48" i="19"/>
  <c r="S48" i="19"/>
  <c r="T48" i="19"/>
  <c r="B49" i="19"/>
  <c r="D49" i="19"/>
  <c r="E49" i="19"/>
  <c r="F49" i="19"/>
  <c r="G49" i="19"/>
  <c r="H49" i="19"/>
  <c r="I49" i="19"/>
  <c r="J49" i="19"/>
  <c r="N49" i="19"/>
  <c r="O49" i="19"/>
  <c r="Q49" i="19"/>
  <c r="R49" i="19"/>
  <c r="S49" i="19"/>
  <c r="T49" i="19"/>
  <c r="B50" i="19"/>
  <c r="D50" i="19"/>
  <c r="E50" i="19"/>
  <c r="F50" i="19"/>
  <c r="G50" i="19"/>
  <c r="H50" i="19"/>
  <c r="I50" i="19"/>
  <c r="J50" i="19"/>
  <c r="N50" i="19"/>
  <c r="O50" i="19"/>
  <c r="Q50" i="19"/>
  <c r="R50" i="19"/>
  <c r="S50" i="19"/>
  <c r="T50" i="19"/>
  <c r="B51" i="19"/>
  <c r="D51" i="19"/>
  <c r="E51" i="19"/>
  <c r="F51" i="19"/>
  <c r="G51" i="19"/>
  <c r="H51" i="19"/>
  <c r="I51" i="19"/>
  <c r="J51" i="19"/>
  <c r="N51" i="19"/>
  <c r="O51" i="19"/>
  <c r="Q51" i="19"/>
  <c r="R51" i="19"/>
  <c r="S51" i="19"/>
  <c r="T51" i="19"/>
  <c r="B52" i="19"/>
  <c r="D52" i="19"/>
  <c r="E52" i="19"/>
  <c r="F52" i="19"/>
  <c r="G52" i="19"/>
  <c r="H52" i="19"/>
  <c r="I52" i="19"/>
  <c r="J52" i="19"/>
  <c r="N52" i="19"/>
  <c r="O52" i="19"/>
  <c r="Q52" i="19"/>
  <c r="R52" i="19"/>
  <c r="S52" i="19"/>
  <c r="T52" i="19"/>
  <c r="B53" i="19"/>
  <c r="D53" i="19"/>
  <c r="E53" i="19"/>
  <c r="F53" i="19"/>
  <c r="G53" i="19"/>
  <c r="H53" i="19"/>
  <c r="I53" i="19"/>
  <c r="J53" i="19"/>
  <c r="N53" i="19"/>
  <c r="O53" i="19"/>
  <c r="Q53" i="19"/>
  <c r="R53" i="19"/>
  <c r="S53" i="19"/>
  <c r="T53" i="19"/>
  <c r="B54" i="19"/>
  <c r="D54" i="19"/>
  <c r="E54" i="19"/>
  <c r="F54" i="19"/>
  <c r="G54" i="19"/>
  <c r="H54" i="19"/>
  <c r="I54" i="19"/>
  <c r="J54" i="19"/>
  <c r="N54" i="19"/>
  <c r="O54" i="19"/>
  <c r="Q54" i="19"/>
  <c r="R54" i="19"/>
  <c r="S54" i="19"/>
  <c r="T54" i="19"/>
  <c r="B55" i="19"/>
  <c r="D55" i="19"/>
  <c r="E55" i="19"/>
  <c r="F55" i="19"/>
  <c r="G55" i="19"/>
  <c r="H55" i="19"/>
  <c r="I55" i="19"/>
  <c r="J55" i="19"/>
  <c r="N55" i="19"/>
  <c r="O55" i="19"/>
  <c r="Q55" i="19"/>
  <c r="R55" i="19"/>
  <c r="S55" i="19"/>
  <c r="T55" i="19"/>
  <c r="B56" i="19"/>
  <c r="D56" i="19"/>
  <c r="E56" i="19"/>
  <c r="F56" i="19"/>
  <c r="G56" i="19"/>
  <c r="H56" i="19"/>
  <c r="I56" i="19"/>
  <c r="J56" i="19"/>
  <c r="N56" i="19"/>
  <c r="O56" i="19"/>
  <c r="Q56" i="19"/>
  <c r="R56" i="19"/>
  <c r="S56" i="19"/>
  <c r="T56" i="19"/>
  <c r="B57" i="19"/>
  <c r="D57" i="19"/>
  <c r="E57" i="19"/>
  <c r="F57" i="19"/>
  <c r="G57" i="19"/>
  <c r="H57" i="19"/>
  <c r="I57" i="19"/>
  <c r="J57" i="19"/>
  <c r="N57" i="19"/>
  <c r="O57" i="19"/>
  <c r="Q57" i="19"/>
  <c r="R57" i="19"/>
  <c r="S57" i="19"/>
  <c r="T57" i="19"/>
  <c r="B58" i="19"/>
  <c r="D58" i="19"/>
  <c r="E58" i="19"/>
  <c r="F58" i="19"/>
  <c r="G58" i="19"/>
  <c r="H58" i="19"/>
  <c r="I58" i="19"/>
  <c r="J58" i="19"/>
  <c r="N58" i="19"/>
  <c r="O58" i="19"/>
  <c r="Q58" i="19"/>
  <c r="R58" i="19"/>
  <c r="S58" i="19"/>
  <c r="T58" i="19"/>
  <c r="B59" i="19"/>
  <c r="D59" i="19"/>
  <c r="E59" i="19"/>
  <c r="F59" i="19"/>
  <c r="G59" i="19"/>
  <c r="H59" i="19"/>
  <c r="I59" i="19"/>
  <c r="J59" i="19"/>
  <c r="N59" i="19"/>
  <c r="O59" i="19"/>
  <c r="Q59" i="19"/>
  <c r="R59" i="19"/>
  <c r="S59" i="19"/>
  <c r="T59" i="19"/>
  <c r="B60" i="19"/>
  <c r="D60" i="19"/>
  <c r="E60" i="19"/>
  <c r="F60" i="19"/>
  <c r="G60" i="19"/>
  <c r="H60" i="19"/>
  <c r="I60" i="19"/>
  <c r="J60" i="19"/>
  <c r="N60" i="19"/>
  <c r="O60" i="19"/>
  <c r="Q60" i="19"/>
  <c r="R60" i="19"/>
  <c r="S60" i="19"/>
  <c r="T60" i="19"/>
  <c r="B61" i="19"/>
  <c r="D61" i="19"/>
  <c r="E61" i="19"/>
  <c r="F61" i="19"/>
  <c r="G61" i="19"/>
  <c r="H61" i="19"/>
  <c r="I61" i="19"/>
  <c r="J61" i="19"/>
  <c r="N61" i="19"/>
  <c r="O61" i="19"/>
  <c r="Q61" i="19"/>
  <c r="R61" i="19"/>
  <c r="S61" i="19"/>
  <c r="T61" i="19"/>
  <c r="B62" i="19"/>
  <c r="D62" i="19"/>
  <c r="E62" i="19"/>
  <c r="F62" i="19"/>
  <c r="G62" i="19"/>
  <c r="H62" i="19"/>
  <c r="I62" i="19"/>
  <c r="J62" i="19"/>
  <c r="N62" i="19"/>
  <c r="O62" i="19"/>
  <c r="Q62" i="19"/>
  <c r="R62" i="19"/>
  <c r="S62" i="19"/>
  <c r="T62" i="19"/>
  <c r="B63" i="19"/>
  <c r="D63" i="19"/>
  <c r="E63" i="19"/>
  <c r="F63" i="19"/>
  <c r="G63" i="19"/>
  <c r="H63" i="19"/>
  <c r="I63" i="19"/>
  <c r="J63" i="19"/>
  <c r="N63" i="19"/>
  <c r="O63" i="19"/>
  <c r="Q63" i="19"/>
  <c r="R63" i="19"/>
  <c r="S63" i="19"/>
  <c r="T63" i="19"/>
  <c r="B64" i="19"/>
  <c r="D64" i="19"/>
  <c r="E64" i="19"/>
  <c r="F64" i="19"/>
  <c r="G64" i="19"/>
  <c r="H64" i="19"/>
  <c r="I64" i="19"/>
  <c r="J64" i="19"/>
  <c r="N64" i="19"/>
  <c r="O64" i="19"/>
  <c r="Q64" i="19"/>
  <c r="R64" i="19"/>
  <c r="S64" i="19"/>
  <c r="T64" i="19"/>
  <c r="B65" i="19"/>
  <c r="D65" i="19"/>
  <c r="E65" i="19"/>
  <c r="F65" i="19"/>
  <c r="G65" i="19"/>
  <c r="H65" i="19"/>
  <c r="I65" i="19"/>
  <c r="J65" i="19"/>
  <c r="N65" i="19"/>
  <c r="O65" i="19"/>
  <c r="Q65" i="19"/>
  <c r="R65" i="19"/>
  <c r="S65" i="19"/>
  <c r="T65" i="19"/>
  <c r="B66" i="19"/>
  <c r="D66" i="19"/>
  <c r="E66" i="19"/>
  <c r="F66" i="19"/>
  <c r="G66" i="19"/>
  <c r="H66" i="19"/>
  <c r="I66" i="19"/>
  <c r="J66" i="19"/>
  <c r="N66" i="19"/>
  <c r="O66" i="19"/>
  <c r="Q66" i="19"/>
  <c r="R66" i="19"/>
  <c r="S66" i="19"/>
  <c r="T66" i="19"/>
  <c r="B67" i="19"/>
  <c r="D67" i="19"/>
  <c r="E67" i="19"/>
  <c r="F67" i="19"/>
  <c r="G67" i="19"/>
  <c r="H67" i="19"/>
  <c r="I67" i="19"/>
  <c r="J67" i="19"/>
  <c r="N67" i="19"/>
  <c r="O67" i="19"/>
  <c r="Q67" i="19"/>
  <c r="R67" i="19"/>
  <c r="S67" i="19"/>
  <c r="T67" i="19"/>
  <c r="B68" i="19"/>
  <c r="D68" i="19"/>
  <c r="E68" i="19"/>
  <c r="F68" i="19"/>
  <c r="G68" i="19"/>
  <c r="H68" i="19"/>
  <c r="I68" i="19"/>
  <c r="J68" i="19"/>
  <c r="N68" i="19"/>
  <c r="O68" i="19"/>
  <c r="Q68" i="19"/>
  <c r="R68" i="19"/>
  <c r="S68" i="19"/>
  <c r="T68" i="19"/>
  <c r="B69" i="19"/>
  <c r="D69" i="19"/>
  <c r="E69" i="19"/>
  <c r="F69" i="19"/>
  <c r="G69" i="19"/>
  <c r="H69" i="19"/>
  <c r="I69" i="19"/>
  <c r="J69" i="19"/>
  <c r="N69" i="19"/>
  <c r="O69" i="19"/>
  <c r="Q69" i="19"/>
  <c r="R69" i="19"/>
  <c r="S69" i="19"/>
  <c r="T69" i="19"/>
  <c r="B70" i="19"/>
  <c r="D70" i="19"/>
  <c r="E70" i="19"/>
  <c r="F70" i="19"/>
  <c r="G70" i="19"/>
  <c r="H70" i="19"/>
  <c r="I70" i="19"/>
  <c r="J70" i="19"/>
  <c r="N70" i="19"/>
  <c r="O70" i="19"/>
  <c r="Q70" i="19"/>
  <c r="R70" i="19"/>
  <c r="S70" i="19"/>
  <c r="T70" i="19"/>
  <c r="B71" i="19"/>
  <c r="D71" i="19"/>
  <c r="E71" i="19"/>
  <c r="F71" i="19"/>
  <c r="G71" i="19"/>
  <c r="H71" i="19"/>
  <c r="I71" i="19"/>
  <c r="J71" i="19"/>
  <c r="N71" i="19"/>
  <c r="O71" i="19"/>
  <c r="Q71" i="19"/>
  <c r="R71" i="19"/>
  <c r="S71" i="19"/>
  <c r="T71" i="19"/>
  <c r="B72" i="19"/>
  <c r="D72" i="19"/>
  <c r="E72" i="19"/>
  <c r="F72" i="19"/>
  <c r="G72" i="19"/>
  <c r="H72" i="19"/>
  <c r="I72" i="19"/>
  <c r="J72" i="19"/>
  <c r="N72" i="19"/>
  <c r="O72" i="19"/>
  <c r="Q72" i="19"/>
  <c r="R72" i="19"/>
  <c r="S72" i="19"/>
  <c r="T72" i="19"/>
  <c r="B73" i="19"/>
  <c r="D73" i="19"/>
  <c r="E73" i="19"/>
  <c r="F73" i="19"/>
  <c r="G73" i="19"/>
  <c r="H73" i="19"/>
  <c r="I73" i="19"/>
  <c r="J73" i="19"/>
  <c r="N73" i="19"/>
  <c r="O73" i="19"/>
  <c r="Q73" i="19"/>
  <c r="R73" i="19"/>
  <c r="S73" i="19"/>
  <c r="T73" i="19"/>
  <c r="B74" i="19"/>
  <c r="D74" i="19"/>
  <c r="E74" i="19"/>
  <c r="F74" i="19"/>
  <c r="G74" i="19"/>
  <c r="H74" i="19"/>
  <c r="I74" i="19"/>
  <c r="J74" i="19"/>
  <c r="N74" i="19"/>
  <c r="O74" i="19"/>
  <c r="Q74" i="19"/>
  <c r="R74" i="19"/>
  <c r="S74" i="19"/>
  <c r="T74" i="19"/>
  <c r="B75" i="19"/>
  <c r="D75" i="19"/>
  <c r="E75" i="19"/>
  <c r="F75" i="19"/>
  <c r="G75" i="19"/>
  <c r="H75" i="19"/>
  <c r="I75" i="19"/>
  <c r="J75" i="19"/>
  <c r="N75" i="19"/>
  <c r="O75" i="19"/>
  <c r="Q75" i="19"/>
  <c r="R75" i="19"/>
  <c r="S75" i="19"/>
  <c r="T75" i="19"/>
  <c r="B76" i="19"/>
  <c r="D76" i="19"/>
  <c r="E76" i="19"/>
  <c r="F76" i="19"/>
  <c r="G76" i="19"/>
  <c r="H76" i="19"/>
  <c r="I76" i="19"/>
  <c r="J76" i="19"/>
  <c r="N76" i="19"/>
  <c r="O76" i="19"/>
  <c r="Q76" i="19"/>
  <c r="R76" i="19"/>
  <c r="S76" i="19"/>
  <c r="T76" i="19"/>
  <c r="B77" i="19"/>
  <c r="D77" i="19"/>
  <c r="E77" i="19"/>
  <c r="F77" i="19"/>
  <c r="G77" i="19"/>
  <c r="H77" i="19"/>
  <c r="I77" i="19"/>
  <c r="J77" i="19"/>
  <c r="N77" i="19"/>
  <c r="O77" i="19"/>
  <c r="Q77" i="19"/>
  <c r="R77" i="19"/>
  <c r="S77" i="19"/>
  <c r="T77" i="19"/>
  <c r="B78" i="19"/>
  <c r="D78" i="19"/>
  <c r="E78" i="19"/>
  <c r="F78" i="19"/>
  <c r="G78" i="19"/>
  <c r="H78" i="19"/>
  <c r="I78" i="19"/>
  <c r="J78" i="19"/>
  <c r="N78" i="19"/>
  <c r="O78" i="19"/>
  <c r="Q78" i="19"/>
  <c r="R78" i="19"/>
  <c r="S78" i="19"/>
  <c r="T78" i="19"/>
  <c r="B79" i="19"/>
  <c r="D79" i="19"/>
  <c r="E79" i="19"/>
  <c r="F79" i="19"/>
  <c r="G79" i="19"/>
  <c r="H79" i="19"/>
  <c r="I79" i="19"/>
  <c r="J79" i="19"/>
  <c r="N79" i="19"/>
  <c r="O79" i="19"/>
  <c r="Q79" i="19"/>
  <c r="R79" i="19"/>
  <c r="S79" i="19"/>
  <c r="T79" i="19"/>
  <c r="B80" i="19"/>
  <c r="D80" i="19"/>
  <c r="E80" i="19"/>
  <c r="F80" i="19"/>
  <c r="G80" i="19"/>
  <c r="H80" i="19"/>
  <c r="I80" i="19"/>
  <c r="J80" i="19"/>
  <c r="N80" i="19"/>
  <c r="O80" i="19"/>
  <c r="Q80" i="19"/>
  <c r="R80" i="19"/>
  <c r="S80" i="19"/>
  <c r="T80" i="19"/>
  <c r="B81" i="19"/>
  <c r="D81" i="19"/>
  <c r="E81" i="19"/>
  <c r="F81" i="19"/>
  <c r="G81" i="19"/>
  <c r="H81" i="19"/>
  <c r="I81" i="19"/>
  <c r="J81" i="19"/>
  <c r="N81" i="19"/>
  <c r="O81" i="19"/>
  <c r="Q81" i="19"/>
  <c r="R81" i="19"/>
  <c r="S81" i="19"/>
  <c r="T81" i="19"/>
  <c r="B82" i="19"/>
  <c r="D82" i="19"/>
  <c r="E82" i="19"/>
  <c r="F82" i="19"/>
  <c r="G82" i="19"/>
  <c r="H82" i="19"/>
  <c r="I82" i="19"/>
  <c r="J82" i="19"/>
  <c r="N82" i="19"/>
  <c r="O82" i="19"/>
  <c r="Q82" i="19"/>
  <c r="R82" i="19"/>
  <c r="S82" i="19"/>
  <c r="T82" i="19"/>
  <c r="B83" i="19"/>
  <c r="D83" i="19"/>
  <c r="E83" i="19"/>
  <c r="F83" i="19"/>
  <c r="G83" i="19"/>
  <c r="H83" i="19"/>
  <c r="I83" i="19"/>
  <c r="J83" i="19"/>
  <c r="N83" i="19"/>
  <c r="O83" i="19"/>
  <c r="Q83" i="19"/>
  <c r="R83" i="19"/>
  <c r="S83" i="19"/>
  <c r="T83" i="19"/>
  <c r="B84" i="19"/>
  <c r="D84" i="19"/>
  <c r="E84" i="19"/>
  <c r="F84" i="19"/>
  <c r="G84" i="19"/>
  <c r="H84" i="19"/>
  <c r="I84" i="19"/>
  <c r="J84" i="19"/>
  <c r="N84" i="19"/>
  <c r="O84" i="19"/>
  <c r="Q84" i="19"/>
  <c r="R84" i="19"/>
  <c r="S84" i="19"/>
  <c r="T84" i="19"/>
  <c r="B85" i="19"/>
  <c r="D85" i="19"/>
  <c r="E85" i="19"/>
  <c r="F85" i="19"/>
  <c r="G85" i="19"/>
  <c r="H85" i="19"/>
  <c r="I85" i="19"/>
  <c r="J85" i="19"/>
  <c r="N85" i="19"/>
  <c r="O85" i="19"/>
  <c r="Q85" i="19"/>
  <c r="R85" i="19"/>
  <c r="S85" i="19"/>
  <c r="T85" i="19"/>
  <c r="B86" i="19"/>
  <c r="D86" i="19"/>
  <c r="E86" i="19"/>
  <c r="F86" i="19"/>
  <c r="G86" i="19"/>
  <c r="H86" i="19"/>
  <c r="I86" i="19"/>
  <c r="J86" i="19"/>
  <c r="N86" i="19"/>
  <c r="O86" i="19"/>
  <c r="Q86" i="19"/>
  <c r="R86" i="19"/>
  <c r="S86" i="19"/>
  <c r="T86" i="19"/>
  <c r="B87" i="19"/>
  <c r="D87" i="19"/>
  <c r="E87" i="19"/>
  <c r="F87" i="19"/>
  <c r="G87" i="19"/>
  <c r="H87" i="19"/>
  <c r="I87" i="19"/>
  <c r="J87" i="19"/>
  <c r="N87" i="19"/>
  <c r="O87" i="19"/>
  <c r="Q87" i="19"/>
  <c r="R87" i="19"/>
  <c r="S87" i="19"/>
  <c r="T87" i="19"/>
  <c r="B88" i="19"/>
  <c r="D88" i="19"/>
  <c r="E88" i="19"/>
  <c r="F88" i="19"/>
  <c r="G88" i="19"/>
  <c r="H88" i="19"/>
  <c r="I88" i="19"/>
  <c r="J88" i="19"/>
  <c r="N88" i="19"/>
  <c r="O88" i="19"/>
  <c r="Q88" i="19"/>
  <c r="R88" i="19"/>
  <c r="S88" i="19"/>
  <c r="T88" i="19"/>
  <c r="B89" i="19"/>
  <c r="D89" i="19"/>
  <c r="E89" i="19"/>
  <c r="F89" i="19"/>
  <c r="G89" i="19"/>
  <c r="H89" i="19"/>
  <c r="I89" i="19"/>
  <c r="J89" i="19"/>
  <c r="N89" i="19"/>
  <c r="O89" i="19"/>
  <c r="Q89" i="19"/>
  <c r="R89" i="19"/>
  <c r="S89" i="19"/>
  <c r="T89" i="19"/>
  <c r="B90" i="19"/>
  <c r="D90" i="19"/>
  <c r="E90" i="19"/>
  <c r="F90" i="19"/>
  <c r="G90" i="19"/>
  <c r="H90" i="19"/>
  <c r="I90" i="19"/>
  <c r="J90" i="19"/>
  <c r="N90" i="19"/>
  <c r="O90" i="19"/>
  <c r="Q90" i="19"/>
  <c r="R90" i="19"/>
  <c r="S90" i="19"/>
  <c r="T90" i="19"/>
  <c r="B91" i="19"/>
  <c r="D91" i="19"/>
  <c r="E91" i="19"/>
  <c r="F91" i="19"/>
  <c r="G91" i="19"/>
  <c r="H91" i="19"/>
  <c r="I91" i="19"/>
  <c r="J91" i="19"/>
  <c r="N91" i="19"/>
  <c r="O91" i="19"/>
  <c r="Q91" i="19"/>
  <c r="R91" i="19"/>
  <c r="S91" i="19"/>
  <c r="T91" i="19"/>
  <c r="B92" i="19"/>
  <c r="D92" i="19"/>
  <c r="E92" i="19"/>
  <c r="F92" i="19"/>
  <c r="G92" i="19"/>
  <c r="H92" i="19"/>
  <c r="I92" i="19"/>
  <c r="J92" i="19"/>
  <c r="N92" i="19"/>
  <c r="O92" i="19"/>
  <c r="Q92" i="19"/>
  <c r="R92" i="19"/>
  <c r="S92" i="19"/>
  <c r="T92" i="19"/>
  <c r="B93" i="19"/>
  <c r="D93" i="19"/>
  <c r="E93" i="19"/>
  <c r="F93" i="19"/>
  <c r="G93" i="19"/>
  <c r="H93" i="19"/>
  <c r="I93" i="19"/>
  <c r="J93" i="19"/>
  <c r="N93" i="19"/>
  <c r="O93" i="19"/>
  <c r="Q93" i="19"/>
  <c r="R93" i="19"/>
  <c r="S93" i="19"/>
  <c r="T93" i="19"/>
  <c r="B94" i="19"/>
  <c r="D94" i="19"/>
  <c r="E94" i="19"/>
  <c r="F94" i="19"/>
  <c r="G94" i="19"/>
  <c r="H94" i="19"/>
  <c r="I94" i="19"/>
  <c r="J94" i="19"/>
  <c r="N94" i="19"/>
  <c r="O94" i="19"/>
  <c r="Q94" i="19"/>
  <c r="R94" i="19"/>
  <c r="S94" i="19"/>
  <c r="T94" i="19"/>
  <c r="B95" i="19"/>
  <c r="D95" i="19"/>
  <c r="E95" i="19"/>
  <c r="F95" i="19"/>
  <c r="G95" i="19"/>
  <c r="H95" i="19"/>
  <c r="I95" i="19"/>
  <c r="J95" i="19"/>
  <c r="N95" i="19"/>
  <c r="O95" i="19"/>
  <c r="Q95" i="19"/>
  <c r="R95" i="19"/>
  <c r="S95" i="19"/>
  <c r="T95" i="19"/>
  <c r="B96" i="19"/>
  <c r="D96" i="19"/>
  <c r="E96" i="19"/>
  <c r="F96" i="19"/>
  <c r="G96" i="19"/>
  <c r="H96" i="19"/>
  <c r="I96" i="19"/>
  <c r="J96" i="19"/>
  <c r="N96" i="19"/>
  <c r="O96" i="19"/>
  <c r="Q96" i="19"/>
  <c r="R96" i="19"/>
  <c r="S96" i="19"/>
  <c r="T96" i="19"/>
  <c r="B97" i="19"/>
  <c r="D97" i="19"/>
  <c r="E97" i="19"/>
  <c r="F97" i="19"/>
  <c r="G97" i="19"/>
  <c r="H97" i="19"/>
  <c r="I97" i="19"/>
  <c r="J97" i="19"/>
  <c r="N97" i="19"/>
  <c r="O97" i="19"/>
  <c r="Q97" i="19"/>
  <c r="R97" i="19"/>
  <c r="S97" i="19"/>
  <c r="T97" i="19"/>
  <c r="B98" i="19"/>
  <c r="D98" i="19"/>
  <c r="E98" i="19"/>
  <c r="F98" i="19"/>
  <c r="G98" i="19"/>
  <c r="H98" i="19"/>
  <c r="I98" i="19"/>
  <c r="J98" i="19"/>
  <c r="N98" i="19"/>
  <c r="O98" i="19"/>
  <c r="Q98" i="19"/>
  <c r="R98" i="19"/>
  <c r="S98" i="19"/>
  <c r="T98" i="19"/>
  <c r="B99" i="19"/>
  <c r="D99" i="19"/>
  <c r="E99" i="19"/>
  <c r="F99" i="19"/>
  <c r="G99" i="19"/>
  <c r="H99" i="19"/>
  <c r="I99" i="19"/>
  <c r="J99" i="19"/>
  <c r="N99" i="19"/>
  <c r="O99" i="19"/>
  <c r="Q99" i="19"/>
  <c r="R99" i="19"/>
  <c r="S99" i="19"/>
  <c r="T99" i="19"/>
  <c r="B100" i="19"/>
  <c r="D100" i="19"/>
  <c r="E100" i="19"/>
  <c r="F100" i="19"/>
  <c r="G100" i="19"/>
  <c r="H100" i="19"/>
  <c r="I100" i="19"/>
  <c r="J100" i="19"/>
  <c r="N100" i="19"/>
  <c r="O100" i="19"/>
  <c r="Q100" i="19"/>
  <c r="R100" i="19"/>
  <c r="S100" i="19"/>
  <c r="T100" i="19"/>
  <c r="B101" i="19"/>
  <c r="D101" i="19"/>
  <c r="E101" i="19"/>
  <c r="F101" i="19"/>
  <c r="G101" i="19"/>
  <c r="H101" i="19"/>
  <c r="I101" i="19"/>
  <c r="J101" i="19"/>
  <c r="N101" i="19"/>
  <c r="O101" i="19"/>
  <c r="Q101" i="19"/>
  <c r="R101" i="19"/>
  <c r="S101" i="19"/>
  <c r="T101" i="19"/>
  <c r="B102" i="19"/>
  <c r="D102" i="19"/>
  <c r="E102" i="19"/>
  <c r="F102" i="19"/>
  <c r="G102" i="19"/>
  <c r="H102" i="19"/>
  <c r="I102" i="19"/>
  <c r="J102" i="19"/>
  <c r="N102" i="19"/>
  <c r="O102" i="19"/>
  <c r="Q102" i="19"/>
  <c r="R102" i="19"/>
  <c r="S102" i="19"/>
  <c r="T102" i="19"/>
  <c r="B103" i="19"/>
  <c r="D103" i="19"/>
  <c r="E103" i="19"/>
  <c r="F103" i="19"/>
  <c r="G103" i="19"/>
  <c r="H103" i="19"/>
  <c r="I103" i="19"/>
  <c r="J103" i="19"/>
  <c r="N103" i="19"/>
  <c r="O103" i="19"/>
  <c r="Q103" i="19"/>
  <c r="R103" i="19"/>
  <c r="S103" i="19"/>
  <c r="T103" i="19"/>
  <c r="B104" i="19"/>
  <c r="D104" i="19"/>
  <c r="E104" i="19"/>
  <c r="F104" i="19"/>
  <c r="G104" i="19"/>
  <c r="H104" i="19"/>
  <c r="I104" i="19"/>
  <c r="J104" i="19"/>
  <c r="N104" i="19"/>
  <c r="O104" i="19"/>
  <c r="Q104" i="19"/>
  <c r="R104" i="19"/>
  <c r="S104" i="19"/>
  <c r="T104" i="19"/>
  <c r="B105" i="19"/>
  <c r="D105" i="19"/>
  <c r="E105" i="19"/>
  <c r="F105" i="19"/>
  <c r="G105" i="19"/>
  <c r="H105" i="19"/>
  <c r="I105" i="19"/>
  <c r="J105" i="19"/>
  <c r="N105" i="19"/>
  <c r="O105" i="19"/>
  <c r="Q105" i="19"/>
  <c r="R105" i="19"/>
  <c r="S105" i="19"/>
  <c r="T105" i="19"/>
  <c r="B106" i="19"/>
  <c r="D106" i="19"/>
  <c r="E106" i="19"/>
  <c r="F106" i="19"/>
  <c r="G106" i="19"/>
  <c r="H106" i="19"/>
  <c r="I106" i="19"/>
  <c r="J106" i="19"/>
  <c r="N106" i="19"/>
  <c r="O106" i="19"/>
  <c r="Q106" i="19"/>
  <c r="R106" i="19"/>
  <c r="S106" i="19"/>
  <c r="T106" i="19"/>
  <c r="B107" i="19"/>
  <c r="D107" i="19"/>
  <c r="E107" i="19"/>
  <c r="F107" i="19"/>
  <c r="G107" i="19"/>
  <c r="H107" i="19"/>
  <c r="I107" i="19"/>
  <c r="J107" i="19"/>
  <c r="N107" i="19"/>
  <c r="O107" i="19"/>
  <c r="Q107" i="19"/>
  <c r="R107" i="19"/>
  <c r="S107" i="19"/>
  <c r="T107" i="19"/>
  <c r="B108" i="19"/>
  <c r="D108" i="19"/>
  <c r="E108" i="19"/>
  <c r="F108" i="19"/>
  <c r="G108" i="19"/>
  <c r="H108" i="19"/>
  <c r="I108" i="19"/>
  <c r="J108" i="19"/>
  <c r="N108" i="19"/>
  <c r="O108" i="19"/>
  <c r="Q108" i="19"/>
  <c r="R108" i="19"/>
  <c r="S108" i="19"/>
  <c r="T108" i="19"/>
  <c r="B109" i="19"/>
  <c r="D109" i="19"/>
  <c r="E109" i="19"/>
  <c r="F109" i="19"/>
  <c r="G109" i="19"/>
  <c r="H109" i="19"/>
  <c r="I109" i="19"/>
  <c r="J109" i="19"/>
  <c r="N109" i="19"/>
  <c r="O109" i="19"/>
  <c r="Q109" i="19"/>
  <c r="R109" i="19"/>
  <c r="S109" i="19"/>
  <c r="T109" i="19"/>
  <c r="B110" i="19"/>
  <c r="D110" i="19"/>
  <c r="E110" i="19"/>
  <c r="F110" i="19"/>
  <c r="G110" i="19"/>
  <c r="H110" i="19"/>
  <c r="I110" i="19"/>
  <c r="J110" i="19"/>
  <c r="N110" i="19"/>
  <c r="O110" i="19"/>
  <c r="Q110" i="19"/>
  <c r="R110" i="19"/>
  <c r="S110" i="19"/>
  <c r="T110" i="19"/>
  <c r="B111" i="19"/>
  <c r="D111" i="19"/>
  <c r="E111" i="19"/>
  <c r="F111" i="19"/>
  <c r="G111" i="19"/>
  <c r="H111" i="19"/>
  <c r="I111" i="19"/>
  <c r="J111" i="19"/>
  <c r="N111" i="19"/>
  <c r="O111" i="19"/>
  <c r="Q111" i="19"/>
  <c r="R111" i="19"/>
  <c r="S111" i="19"/>
  <c r="T111" i="19"/>
  <c r="B112" i="19"/>
  <c r="D112" i="19"/>
  <c r="E112" i="19"/>
  <c r="F112" i="19"/>
  <c r="G112" i="19"/>
  <c r="H112" i="19"/>
  <c r="I112" i="19"/>
  <c r="J112" i="19"/>
  <c r="N112" i="19"/>
  <c r="O112" i="19"/>
  <c r="Q112" i="19"/>
  <c r="R112" i="19"/>
  <c r="S112" i="19"/>
  <c r="T112" i="19"/>
  <c r="B113" i="19"/>
  <c r="D113" i="19"/>
  <c r="E113" i="19"/>
  <c r="F113" i="19"/>
  <c r="G113" i="19"/>
  <c r="H113" i="19"/>
  <c r="I113" i="19"/>
  <c r="J113" i="19"/>
  <c r="N113" i="19"/>
  <c r="O113" i="19"/>
  <c r="Q113" i="19"/>
  <c r="R113" i="19"/>
  <c r="S113" i="19"/>
  <c r="T113" i="19"/>
  <c r="B114" i="19"/>
  <c r="D114" i="19"/>
  <c r="E114" i="19"/>
  <c r="F114" i="19"/>
  <c r="G114" i="19"/>
  <c r="H114" i="19"/>
  <c r="I114" i="19"/>
  <c r="J114" i="19"/>
  <c r="N114" i="19"/>
  <c r="O114" i="19"/>
  <c r="Q114" i="19"/>
  <c r="R114" i="19"/>
  <c r="S114" i="19"/>
  <c r="T114" i="19"/>
  <c r="B115" i="19"/>
  <c r="D115" i="19"/>
  <c r="E115" i="19"/>
  <c r="F115" i="19"/>
  <c r="G115" i="19"/>
  <c r="H115" i="19"/>
  <c r="I115" i="19"/>
  <c r="J115" i="19"/>
  <c r="N115" i="19"/>
  <c r="O115" i="19"/>
  <c r="Q115" i="19"/>
  <c r="R115" i="19"/>
  <c r="S115" i="19"/>
  <c r="T115" i="19"/>
  <c r="B116" i="19"/>
  <c r="D116" i="19"/>
  <c r="E116" i="19"/>
  <c r="F116" i="19"/>
  <c r="G116" i="19"/>
  <c r="H116" i="19"/>
  <c r="I116" i="19"/>
  <c r="J116" i="19"/>
  <c r="N116" i="19"/>
  <c r="O116" i="19"/>
  <c r="Q116" i="19"/>
  <c r="R116" i="19"/>
  <c r="S116" i="19"/>
  <c r="T116" i="19"/>
  <c r="B117" i="19"/>
  <c r="D117" i="19"/>
  <c r="E117" i="19"/>
  <c r="F117" i="19"/>
  <c r="G117" i="19"/>
  <c r="H117" i="19"/>
  <c r="I117" i="19"/>
  <c r="J117" i="19"/>
  <c r="N117" i="19"/>
  <c r="O117" i="19"/>
  <c r="Q117" i="19"/>
  <c r="R117" i="19"/>
  <c r="S117" i="19"/>
  <c r="T117" i="19"/>
  <c r="B118" i="19"/>
  <c r="D118" i="19"/>
  <c r="E118" i="19"/>
  <c r="F118" i="19"/>
  <c r="G118" i="19"/>
  <c r="H118" i="19"/>
  <c r="I118" i="19"/>
  <c r="J118" i="19"/>
  <c r="N118" i="19"/>
  <c r="O118" i="19"/>
  <c r="Q118" i="19"/>
  <c r="R118" i="19"/>
  <c r="S118" i="19"/>
  <c r="T118" i="19"/>
  <c r="B119" i="19"/>
  <c r="D119" i="19"/>
  <c r="E119" i="19"/>
  <c r="F119" i="19"/>
  <c r="G119" i="19"/>
  <c r="H119" i="19"/>
  <c r="I119" i="19"/>
  <c r="J119" i="19"/>
  <c r="N119" i="19"/>
  <c r="O119" i="19"/>
  <c r="Q119" i="19"/>
  <c r="R119" i="19"/>
  <c r="S119" i="19"/>
  <c r="T119" i="19"/>
  <c r="B120" i="19"/>
  <c r="D120" i="19"/>
  <c r="E120" i="19"/>
  <c r="F120" i="19"/>
  <c r="G120" i="19"/>
  <c r="H120" i="19"/>
  <c r="I120" i="19"/>
  <c r="J120" i="19"/>
  <c r="N120" i="19"/>
  <c r="O120" i="19"/>
  <c r="Q120" i="19"/>
  <c r="R120" i="19"/>
  <c r="S120" i="19"/>
  <c r="T120" i="19"/>
  <c r="B121" i="19"/>
  <c r="D121" i="19"/>
  <c r="E121" i="19"/>
  <c r="F121" i="19"/>
  <c r="G121" i="19"/>
  <c r="H121" i="19"/>
  <c r="I121" i="19"/>
  <c r="J121" i="19"/>
  <c r="N121" i="19"/>
  <c r="O121" i="19"/>
  <c r="Q121" i="19"/>
  <c r="R121" i="19"/>
  <c r="S121" i="19"/>
  <c r="T121" i="19"/>
  <c r="B122" i="19"/>
  <c r="D122" i="19"/>
  <c r="E122" i="19"/>
  <c r="F122" i="19"/>
  <c r="G122" i="19"/>
  <c r="H122" i="19"/>
  <c r="I122" i="19"/>
  <c r="J122" i="19"/>
  <c r="N122" i="19"/>
  <c r="O122" i="19"/>
  <c r="Q122" i="19"/>
  <c r="R122" i="19"/>
  <c r="S122" i="19"/>
  <c r="T122" i="19"/>
  <c r="B123" i="19"/>
  <c r="D123" i="19"/>
  <c r="E123" i="19"/>
  <c r="F123" i="19"/>
  <c r="G123" i="19"/>
  <c r="H123" i="19"/>
  <c r="I123" i="19"/>
  <c r="J123" i="19"/>
  <c r="N123" i="19"/>
  <c r="O123" i="19"/>
  <c r="Q123" i="19"/>
  <c r="R123" i="19"/>
  <c r="S123" i="19"/>
  <c r="T123" i="19"/>
  <c r="B124" i="19"/>
  <c r="D124" i="19"/>
  <c r="E124" i="19"/>
  <c r="F124" i="19"/>
  <c r="G124" i="19"/>
  <c r="H124" i="19"/>
  <c r="I124" i="19"/>
  <c r="J124" i="19"/>
  <c r="N124" i="19"/>
  <c r="O124" i="19"/>
  <c r="Q124" i="19"/>
  <c r="R124" i="19"/>
  <c r="S124" i="19"/>
  <c r="T124" i="19"/>
  <c r="B125" i="19"/>
  <c r="D125" i="19"/>
  <c r="E125" i="19"/>
  <c r="F125" i="19"/>
  <c r="G125" i="19"/>
  <c r="H125" i="19"/>
  <c r="I125" i="19"/>
  <c r="J125" i="19"/>
  <c r="N125" i="19"/>
  <c r="O125" i="19"/>
  <c r="Q125" i="19"/>
  <c r="R125" i="19"/>
  <c r="S125" i="19"/>
  <c r="T125" i="19"/>
  <c r="B126" i="19"/>
  <c r="D126" i="19"/>
  <c r="E126" i="19"/>
  <c r="F126" i="19"/>
  <c r="G126" i="19"/>
  <c r="H126" i="19"/>
  <c r="I126" i="19"/>
  <c r="J126" i="19"/>
  <c r="N126" i="19"/>
  <c r="O126" i="19"/>
  <c r="Q126" i="19"/>
  <c r="R126" i="19"/>
  <c r="S126" i="19"/>
  <c r="T126" i="19"/>
  <c r="B127" i="19"/>
  <c r="D127" i="19"/>
  <c r="E127" i="19"/>
  <c r="F127" i="19"/>
  <c r="G127" i="19"/>
  <c r="H127" i="19"/>
  <c r="I127" i="19"/>
  <c r="J127" i="19"/>
  <c r="N127" i="19"/>
  <c r="O127" i="19"/>
  <c r="Q127" i="19"/>
  <c r="R127" i="19"/>
  <c r="S127" i="19"/>
  <c r="T127" i="19"/>
  <c r="B128" i="19"/>
  <c r="D128" i="19"/>
  <c r="E128" i="19"/>
  <c r="F128" i="19"/>
  <c r="G128" i="19"/>
  <c r="H128" i="19"/>
  <c r="I128" i="19"/>
  <c r="J128" i="19"/>
  <c r="N128" i="19"/>
  <c r="O128" i="19"/>
  <c r="Q128" i="19"/>
  <c r="R128" i="19"/>
  <c r="S128" i="19"/>
  <c r="T128" i="19"/>
  <c r="B129" i="19"/>
  <c r="D129" i="19"/>
  <c r="E129" i="19"/>
  <c r="F129" i="19"/>
  <c r="G129" i="19"/>
  <c r="H129" i="19"/>
  <c r="I129" i="19"/>
  <c r="J129" i="19"/>
  <c r="N129" i="19"/>
  <c r="O129" i="19"/>
  <c r="Q129" i="19"/>
  <c r="R129" i="19"/>
  <c r="S129" i="19"/>
  <c r="T129" i="19"/>
  <c r="B130" i="19"/>
  <c r="D130" i="19"/>
  <c r="E130" i="19"/>
  <c r="F130" i="19"/>
  <c r="G130" i="19"/>
  <c r="H130" i="19"/>
  <c r="I130" i="19"/>
  <c r="J130" i="19"/>
  <c r="N130" i="19"/>
  <c r="O130" i="19"/>
  <c r="Q130" i="19"/>
  <c r="R130" i="19"/>
  <c r="S130" i="19"/>
  <c r="T130" i="19"/>
  <c r="B131" i="19"/>
  <c r="D131" i="19"/>
  <c r="E131" i="19"/>
  <c r="F131" i="19"/>
  <c r="G131" i="19"/>
  <c r="H131" i="19"/>
  <c r="I131" i="19"/>
  <c r="J131" i="19"/>
  <c r="N131" i="19"/>
  <c r="O131" i="19"/>
  <c r="Q131" i="19"/>
  <c r="R131" i="19"/>
  <c r="S131" i="19"/>
  <c r="T131" i="19"/>
  <c r="B132" i="19"/>
  <c r="D132" i="19"/>
  <c r="E132" i="19"/>
  <c r="F132" i="19"/>
  <c r="G132" i="19"/>
  <c r="H132" i="19"/>
  <c r="I132" i="19"/>
  <c r="J132" i="19"/>
  <c r="N132" i="19"/>
  <c r="O132" i="19"/>
  <c r="Q132" i="19"/>
  <c r="R132" i="19"/>
  <c r="S132" i="19"/>
  <c r="T132" i="19"/>
  <c r="B133" i="19"/>
  <c r="D133" i="19"/>
  <c r="E133" i="19"/>
  <c r="F133" i="19"/>
  <c r="G133" i="19"/>
  <c r="H133" i="19"/>
  <c r="I133" i="19"/>
  <c r="J133" i="19"/>
  <c r="N133" i="19"/>
  <c r="O133" i="19"/>
  <c r="Q133" i="19"/>
  <c r="R133" i="19"/>
  <c r="S133" i="19"/>
  <c r="T133" i="19"/>
  <c r="B134" i="19"/>
  <c r="D134" i="19"/>
  <c r="E134" i="19"/>
  <c r="F134" i="19"/>
  <c r="G134" i="19"/>
  <c r="H134" i="19"/>
  <c r="I134" i="19"/>
  <c r="J134" i="19"/>
  <c r="N134" i="19"/>
  <c r="O134" i="19"/>
  <c r="Q134" i="19"/>
  <c r="R134" i="19"/>
  <c r="S134" i="19"/>
  <c r="T134" i="19"/>
  <c r="B135" i="19"/>
  <c r="D135" i="19"/>
  <c r="E135" i="19"/>
  <c r="F135" i="19"/>
  <c r="G135" i="19"/>
  <c r="H135" i="19"/>
  <c r="I135" i="19"/>
  <c r="J135" i="19"/>
  <c r="N135" i="19"/>
  <c r="O135" i="19"/>
  <c r="Q135" i="19"/>
  <c r="R135" i="19"/>
  <c r="S135" i="19"/>
  <c r="T135" i="19"/>
  <c r="B136" i="19"/>
  <c r="D136" i="19"/>
  <c r="E136" i="19"/>
  <c r="F136" i="19"/>
  <c r="G136" i="19"/>
  <c r="H136" i="19"/>
  <c r="I136" i="19"/>
  <c r="J136" i="19"/>
  <c r="N136" i="19"/>
  <c r="O136" i="19"/>
  <c r="Q136" i="19"/>
  <c r="R136" i="19"/>
  <c r="S136" i="19"/>
  <c r="T136" i="19"/>
  <c r="B137" i="19"/>
  <c r="D137" i="19"/>
  <c r="E137" i="19"/>
  <c r="F137" i="19"/>
  <c r="G137" i="19"/>
  <c r="H137" i="19"/>
  <c r="I137" i="19"/>
  <c r="J137" i="19"/>
  <c r="N137" i="19"/>
  <c r="O137" i="19"/>
  <c r="Q137" i="19"/>
  <c r="R137" i="19"/>
  <c r="S137" i="19"/>
  <c r="T137" i="19"/>
  <c r="B138" i="19"/>
  <c r="D138" i="19"/>
  <c r="E138" i="19"/>
  <c r="F138" i="19"/>
  <c r="G138" i="19"/>
  <c r="H138" i="19"/>
  <c r="I138" i="19"/>
  <c r="J138" i="19"/>
  <c r="N138" i="19"/>
  <c r="O138" i="19"/>
  <c r="Q138" i="19"/>
  <c r="R138" i="19"/>
  <c r="S138" i="19"/>
  <c r="T138" i="19"/>
  <c r="B139" i="19"/>
  <c r="D139" i="19"/>
  <c r="E139" i="19"/>
  <c r="F139" i="19"/>
  <c r="G139" i="19"/>
  <c r="H139" i="19"/>
  <c r="I139" i="19"/>
  <c r="J139" i="19"/>
  <c r="N139" i="19"/>
  <c r="O139" i="19"/>
  <c r="Q139" i="19"/>
  <c r="R139" i="19"/>
  <c r="S139" i="19"/>
  <c r="T139" i="19"/>
  <c r="B140" i="19"/>
  <c r="D140" i="19"/>
  <c r="E140" i="19"/>
  <c r="F140" i="19"/>
  <c r="G140" i="19"/>
  <c r="H140" i="19"/>
  <c r="I140" i="19"/>
  <c r="J140" i="19"/>
  <c r="N140" i="19"/>
  <c r="O140" i="19"/>
  <c r="Q140" i="19"/>
  <c r="R140" i="19"/>
  <c r="S140" i="19"/>
  <c r="T140" i="19"/>
  <c r="B141" i="19"/>
  <c r="D141" i="19"/>
  <c r="E141" i="19"/>
  <c r="F141" i="19"/>
  <c r="G141" i="19"/>
  <c r="H141" i="19"/>
  <c r="I141" i="19"/>
  <c r="J141" i="19"/>
  <c r="N141" i="19"/>
  <c r="O141" i="19"/>
  <c r="Q141" i="19"/>
  <c r="R141" i="19"/>
  <c r="S141" i="19"/>
  <c r="T141" i="19"/>
  <c r="B142" i="19"/>
  <c r="D142" i="19"/>
  <c r="E142" i="19"/>
  <c r="F142" i="19"/>
  <c r="G142" i="19"/>
  <c r="H142" i="19"/>
  <c r="I142" i="19"/>
  <c r="J142" i="19"/>
  <c r="N142" i="19"/>
  <c r="O142" i="19"/>
  <c r="Q142" i="19"/>
  <c r="R142" i="19"/>
  <c r="S142" i="19"/>
  <c r="T142" i="19"/>
  <c r="B143" i="19"/>
  <c r="D143" i="19"/>
  <c r="E143" i="19"/>
  <c r="F143" i="19"/>
  <c r="G143" i="19"/>
  <c r="H143" i="19"/>
  <c r="I143" i="19"/>
  <c r="J143" i="19"/>
  <c r="N143" i="19"/>
  <c r="O143" i="19"/>
  <c r="Q143" i="19"/>
  <c r="R143" i="19"/>
  <c r="S143" i="19"/>
  <c r="T143" i="19"/>
  <c r="B144" i="19"/>
  <c r="D144" i="19"/>
  <c r="E144" i="19"/>
  <c r="F144" i="19"/>
  <c r="G144" i="19"/>
  <c r="H144" i="19"/>
  <c r="I144" i="19"/>
  <c r="J144" i="19"/>
  <c r="N144" i="19"/>
  <c r="O144" i="19"/>
  <c r="Q144" i="19"/>
  <c r="R144" i="19"/>
  <c r="S144" i="19"/>
  <c r="T144" i="19"/>
  <c r="B145" i="19"/>
  <c r="D145" i="19"/>
  <c r="E145" i="19"/>
  <c r="F145" i="19"/>
  <c r="G145" i="19"/>
  <c r="H145" i="19"/>
  <c r="I145" i="19"/>
  <c r="J145" i="19"/>
  <c r="N145" i="19"/>
  <c r="O145" i="19"/>
  <c r="Q145" i="19"/>
  <c r="R145" i="19"/>
  <c r="S145" i="19"/>
  <c r="T145" i="19"/>
  <c r="B146" i="19"/>
  <c r="D146" i="19"/>
  <c r="E146" i="19"/>
  <c r="F146" i="19"/>
  <c r="G146" i="19"/>
  <c r="H146" i="19"/>
  <c r="I146" i="19"/>
  <c r="J146" i="19"/>
  <c r="N146" i="19"/>
  <c r="O146" i="19"/>
  <c r="Q146" i="19"/>
  <c r="R146" i="19"/>
  <c r="S146" i="19"/>
  <c r="T146" i="19"/>
  <c r="B147" i="19"/>
  <c r="D147" i="19"/>
  <c r="E147" i="19"/>
  <c r="F147" i="19"/>
  <c r="G147" i="19"/>
  <c r="H147" i="19"/>
  <c r="I147" i="19"/>
  <c r="J147" i="19"/>
  <c r="N147" i="19"/>
  <c r="O147" i="19"/>
  <c r="Q147" i="19"/>
  <c r="R147" i="19"/>
  <c r="S147" i="19"/>
  <c r="T147" i="19"/>
  <c r="B148" i="19"/>
  <c r="D148" i="19"/>
  <c r="E148" i="19"/>
  <c r="F148" i="19"/>
  <c r="G148" i="19"/>
  <c r="H148" i="19"/>
  <c r="I148" i="19"/>
  <c r="J148" i="19"/>
  <c r="N148" i="19"/>
  <c r="O148" i="19"/>
  <c r="Q148" i="19"/>
  <c r="R148" i="19"/>
  <c r="S148" i="19"/>
  <c r="T148" i="19"/>
  <c r="B149" i="19"/>
  <c r="D149" i="19"/>
  <c r="E149" i="19"/>
  <c r="F149" i="19"/>
  <c r="G149" i="19"/>
  <c r="H149" i="19"/>
  <c r="I149" i="19"/>
  <c r="J149" i="19"/>
  <c r="N149" i="19"/>
  <c r="O149" i="19"/>
  <c r="Q149" i="19"/>
  <c r="R149" i="19"/>
  <c r="S149" i="19"/>
  <c r="T149" i="19"/>
  <c r="B150" i="19"/>
  <c r="D150" i="19"/>
  <c r="E150" i="19"/>
  <c r="F150" i="19"/>
  <c r="G150" i="19"/>
  <c r="H150" i="19"/>
  <c r="I150" i="19"/>
  <c r="J150" i="19"/>
  <c r="N150" i="19"/>
  <c r="O150" i="19"/>
  <c r="Q150" i="19"/>
  <c r="R150" i="19"/>
  <c r="S150" i="19"/>
  <c r="T150" i="19"/>
  <c r="B151" i="19"/>
  <c r="D151" i="19"/>
  <c r="E151" i="19"/>
  <c r="F151" i="19"/>
  <c r="G151" i="19"/>
  <c r="H151" i="19"/>
  <c r="I151" i="19"/>
  <c r="J151" i="19"/>
  <c r="N151" i="19"/>
  <c r="O151" i="19"/>
  <c r="Q151" i="19"/>
  <c r="R151" i="19"/>
  <c r="S151" i="19"/>
  <c r="T151" i="19"/>
  <c r="B152" i="19"/>
  <c r="D152" i="19"/>
  <c r="E152" i="19"/>
  <c r="F152" i="19"/>
  <c r="G152" i="19"/>
  <c r="H152" i="19"/>
  <c r="I152" i="19"/>
  <c r="J152" i="19"/>
  <c r="N152" i="19"/>
  <c r="O152" i="19"/>
  <c r="Q152" i="19"/>
  <c r="R152" i="19"/>
  <c r="S152" i="19"/>
  <c r="T152" i="19"/>
  <c r="B153" i="19"/>
  <c r="D153" i="19"/>
  <c r="E153" i="19"/>
  <c r="F153" i="19"/>
  <c r="G153" i="19"/>
  <c r="H153" i="19"/>
  <c r="I153" i="19"/>
  <c r="J153" i="19"/>
  <c r="N153" i="19"/>
  <c r="O153" i="19"/>
  <c r="Q153" i="19"/>
  <c r="R153" i="19"/>
  <c r="S153" i="19"/>
  <c r="T153" i="19"/>
  <c r="B154" i="19"/>
  <c r="D154" i="19"/>
  <c r="E154" i="19"/>
  <c r="F154" i="19"/>
  <c r="G154" i="19"/>
  <c r="H154" i="19"/>
  <c r="I154" i="19"/>
  <c r="J154" i="19"/>
  <c r="N154" i="19"/>
  <c r="O154" i="19"/>
  <c r="Q154" i="19"/>
  <c r="R154" i="19"/>
  <c r="S154" i="19"/>
  <c r="T154" i="19"/>
  <c r="B155" i="19"/>
  <c r="D155" i="19"/>
  <c r="E155" i="19"/>
  <c r="F155" i="19"/>
  <c r="G155" i="19"/>
  <c r="H155" i="19"/>
  <c r="I155" i="19"/>
  <c r="J155" i="19"/>
  <c r="N155" i="19"/>
  <c r="O155" i="19"/>
  <c r="Q155" i="19"/>
  <c r="R155" i="19"/>
  <c r="S155" i="19"/>
  <c r="T155" i="19"/>
  <c r="B156" i="19"/>
  <c r="D156" i="19"/>
  <c r="E156" i="19"/>
  <c r="F156" i="19"/>
  <c r="G156" i="19"/>
  <c r="H156" i="19"/>
  <c r="I156" i="19"/>
  <c r="J156" i="19"/>
  <c r="N156" i="19"/>
  <c r="O156" i="19"/>
  <c r="Q156" i="19"/>
  <c r="R156" i="19"/>
  <c r="S156" i="19"/>
  <c r="T156" i="19"/>
  <c r="B157" i="19"/>
  <c r="D157" i="19"/>
  <c r="E157" i="19"/>
  <c r="F157" i="19"/>
  <c r="G157" i="19"/>
  <c r="H157" i="19"/>
  <c r="I157" i="19"/>
  <c r="J157" i="19"/>
  <c r="N157" i="19"/>
  <c r="O157" i="19"/>
  <c r="Q157" i="19"/>
  <c r="R157" i="19"/>
  <c r="S157" i="19"/>
  <c r="T157" i="19"/>
  <c r="B158" i="19"/>
  <c r="D158" i="19"/>
  <c r="E158" i="19"/>
  <c r="F158" i="19"/>
  <c r="G158" i="19"/>
  <c r="H158" i="19"/>
  <c r="I158" i="19"/>
  <c r="J158" i="19"/>
  <c r="N158" i="19"/>
  <c r="O158" i="19"/>
  <c r="Q158" i="19"/>
  <c r="R158" i="19"/>
  <c r="S158" i="19"/>
  <c r="T158" i="19"/>
  <c r="B159" i="19"/>
  <c r="D159" i="19"/>
  <c r="E159" i="19"/>
  <c r="F159" i="19"/>
  <c r="G159" i="19"/>
  <c r="H159" i="19"/>
  <c r="I159" i="19"/>
  <c r="J159" i="19"/>
  <c r="N159" i="19"/>
  <c r="O159" i="19"/>
  <c r="Q159" i="19"/>
  <c r="R159" i="19"/>
  <c r="S159" i="19"/>
  <c r="T159" i="19"/>
  <c r="B160" i="19"/>
  <c r="D160" i="19"/>
  <c r="E160" i="19"/>
  <c r="F160" i="19"/>
  <c r="G160" i="19"/>
  <c r="H160" i="19"/>
  <c r="I160" i="19"/>
  <c r="J160" i="19"/>
  <c r="N160" i="19"/>
  <c r="O160" i="19"/>
  <c r="Q160" i="19"/>
  <c r="R160" i="19"/>
  <c r="S160" i="19"/>
  <c r="T160" i="19"/>
  <c r="B161" i="19"/>
  <c r="D161" i="19"/>
  <c r="E161" i="19"/>
  <c r="F161" i="19"/>
  <c r="G161" i="19"/>
  <c r="H161" i="19"/>
  <c r="I161" i="19"/>
  <c r="J161" i="19"/>
  <c r="N161" i="19"/>
  <c r="O161" i="19"/>
  <c r="Q161" i="19"/>
  <c r="R161" i="19"/>
  <c r="S161" i="19"/>
  <c r="T161" i="19"/>
  <c r="B162" i="19"/>
  <c r="D162" i="19"/>
  <c r="E162" i="19"/>
  <c r="F162" i="19"/>
  <c r="G162" i="19"/>
  <c r="H162" i="19"/>
  <c r="I162" i="19"/>
  <c r="J162" i="19"/>
  <c r="N162" i="19"/>
  <c r="O162" i="19"/>
  <c r="Q162" i="19"/>
  <c r="R162" i="19"/>
  <c r="S162" i="19"/>
  <c r="T162" i="19"/>
  <c r="B163" i="19"/>
  <c r="D163" i="19"/>
  <c r="E163" i="19"/>
  <c r="F163" i="19"/>
  <c r="G163" i="19"/>
  <c r="H163" i="19"/>
  <c r="I163" i="19"/>
  <c r="J163" i="19"/>
  <c r="N163" i="19"/>
  <c r="O163" i="19"/>
  <c r="Q163" i="19"/>
  <c r="R163" i="19"/>
  <c r="S163" i="19"/>
  <c r="T163" i="19"/>
  <c r="B164" i="19"/>
  <c r="D164" i="19"/>
  <c r="E164" i="19"/>
  <c r="F164" i="19"/>
  <c r="G164" i="19"/>
  <c r="H164" i="19"/>
  <c r="I164" i="19"/>
  <c r="J164" i="19"/>
  <c r="N164" i="19"/>
  <c r="O164" i="19"/>
  <c r="Q164" i="19"/>
  <c r="R164" i="19"/>
  <c r="S164" i="19"/>
  <c r="T164" i="19"/>
  <c r="B165" i="19"/>
  <c r="D165" i="19"/>
  <c r="E165" i="19"/>
  <c r="F165" i="19"/>
  <c r="G165" i="19"/>
  <c r="H165" i="19"/>
  <c r="I165" i="19"/>
  <c r="J165" i="19"/>
  <c r="N165" i="19"/>
  <c r="O165" i="19"/>
  <c r="Q165" i="19"/>
  <c r="R165" i="19"/>
  <c r="S165" i="19"/>
  <c r="T165" i="19"/>
  <c r="B166" i="19"/>
  <c r="D166" i="19"/>
  <c r="E166" i="19"/>
  <c r="F166" i="19"/>
  <c r="G166" i="19"/>
  <c r="H166" i="19"/>
  <c r="I166" i="19"/>
  <c r="J166" i="19"/>
  <c r="N166" i="19"/>
  <c r="O166" i="19"/>
  <c r="Q166" i="19"/>
  <c r="R166" i="19"/>
  <c r="S166" i="19"/>
  <c r="T166" i="19"/>
  <c r="B167" i="19"/>
  <c r="D167" i="19"/>
  <c r="E167" i="19"/>
  <c r="F167" i="19"/>
  <c r="G167" i="19"/>
  <c r="H167" i="19"/>
  <c r="I167" i="19"/>
  <c r="J167" i="19"/>
  <c r="N167" i="19"/>
  <c r="O167" i="19"/>
  <c r="Q167" i="19"/>
  <c r="R167" i="19"/>
  <c r="S167" i="19"/>
  <c r="T167" i="19"/>
  <c r="B168" i="19"/>
  <c r="D168" i="19"/>
  <c r="E168" i="19"/>
  <c r="F168" i="19"/>
  <c r="G168" i="19"/>
  <c r="H168" i="19"/>
  <c r="I168" i="19"/>
  <c r="J168" i="19"/>
  <c r="N168" i="19"/>
  <c r="O168" i="19"/>
  <c r="Q168" i="19"/>
  <c r="R168" i="19"/>
  <c r="S168" i="19"/>
  <c r="T168" i="19"/>
  <c r="B169" i="19"/>
  <c r="D169" i="19"/>
  <c r="E169" i="19"/>
  <c r="F169" i="19"/>
  <c r="G169" i="19"/>
  <c r="H169" i="19"/>
  <c r="I169" i="19"/>
  <c r="J169" i="19"/>
  <c r="N169" i="19"/>
  <c r="O169" i="19"/>
  <c r="Q169" i="19"/>
  <c r="R169" i="19"/>
  <c r="S169" i="19"/>
  <c r="T169" i="19"/>
  <c r="B170" i="19"/>
  <c r="D170" i="19"/>
  <c r="E170" i="19"/>
  <c r="F170" i="19"/>
  <c r="G170" i="19"/>
  <c r="H170" i="19"/>
  <c r="I170" i="19"/>
  <c r="J170" i="19"/>
  <c r="N170" i="19"/>
  <c r="O170" i="19"/>
  <c r="Q170" i="19"/>
  <c r="R170" i="19"/>
  <c r="S170" i="19"/>
  <c r="T170" i="19"/>
  <c r="B171" i="19"/>
  <c r="D171" i="19"/>
  <c r="E171" i="19"/>
  <c r="F171" i="19"/>
  <c r="G171" i="19"/>
  <c r="H171" i="19"/>
  <c r="I171" i="19"/>
  <c r="J171" i="19"/>
  <c r="N171" i="19"/>
  <c r="O171" i="19"/>
  <c r="Q171" i="19"/>
  <c r="R171" i="19"/>
  <c r="S171" i="19"/>
  <c r="T171" i="19"/>
  <c r="B172" i="19"/>
  <c r="D172" i="19"/>
  <c r="E172" i="19"/>
  <c r="F172" i="19"/>
  <c r="G172" i="19"/>
  <c r="H172" i="19"/>
  <c r="I172" i="19"/>
  <c r="J172" i="19"/>
  <c r="N172" i="19"/>
  <c r="O172" i="19"/>
  <c r="Q172" i="19"/>
  <c r="R172" i="19"/>
  <c r="S172" i="19"/>
  <c r="T172" i="19"/>
  <c r="B173" i="19"/>
  <c r="D173" i="19"/>
  <c r="E173" i="19"/>
  <c r="F173" i="19"/>
  <c r="G173" i="19"/>
  <c r="H173" i="19"/>
  <c r="I173" i="19"/>
  <c r="J173" i="19"/>
  <c r="N173" i="19"/>
  <c r="O173" i="19"/>
  <c r="Q173" i="19"/>
  <c r="R173" i="19"/>
  <c r="S173" i="19"/>
  <c r="T173" i="19"/>
  <c r="B174" i="19"/>
  <c r="D174" i="19"/>
  <c r="E174" i="19"/>
  <c r="F174" i="19"/>
  <c r="G174" i="19"/>
  <c r="H174" i="19"/>
  <c r="I174" i="19"/>
  <c r="J174" i="19"/>
  <c r="N174" i="19"/>
  <c r="O174" i="19"/>
  <c r="Q174" i="19"/>
  <c r="R174" i="19"/>
  <c r="S174" i="19"/>
  <c r="T174" i="19"/>
  <c r="B175" i="19"/>
  <c r="D175" i="19"/>
  <c r="E175" i="19"/>
  <c r="F175" i="19"/>
  <c r="G175" i="19"/>
  <c r="H175" i="19"/>
  <c r="I175" i="19"/>
  <c r="J175" i="19"/>
  <c r="N175" i="19"/>
  <c r="O175" i="19"/>
  <c r="Q175" i="19"/>
  <c r="R175" i="19"/>
  <c r="S175" i="19"/>
  <c r="T175" i="19"/>
  <c r="B176" i="19"/>
  <c r="D176" i="19"/>
  <c r="E176" i="19"/>
  <c r="F176" i="19"/>
  <c r="G176" i="19"/>
  <c r="H176" i="19"/>
  <c r="I176" i="19"/>
  <c r="J176" i="19"/>
  <c r="N176" i="19"/>
  <c r="O176" i="19"/>
  <c r="Q176" i="19"/>
  <c r="R176" i="19"/>
  <c r="S176" i="19"/>
  <c r="T176" i="19"/>
  <c r="B177" i="19"/>
  <c r="D177" i="19"/>
  <c r="E177" i="19"/>
  <c r="F177" i="19"/>
  <c r="G177" i="19"/>
  <c r="H177" i="19"/>
  <c r="I177" i="19"/>
  <c r="J177" i="19"/>
  <c r="N177" i="19"/>
  <c r="O177" i="19"/>
  <c r="Q177" i="19"/>
  <c r="R177" i="19"/>
  <c r="S177" i="19"/>
  <c r="T177" i="19"/>
  <c r="B178" i="19"/>
  <c r="D178" i="19"/>
  <c r="E178" i="19"/>
  <c r="F178" i="19"/>
  <c r="G178" i="19"/>
  <c r="H178" i="19"/>
  <c r="I178" i="19"/>
  <c r="J178" i="19"/>
  <c r="N178" i="19"/>
  <c r="O178" i="19"/>
  <c r="Q178" i="19"/>
  <c r="R178" i="19"/>
  <c r="S178" i="19"/>
  <c r="T178" i="19"/>
  <c r="B179" i="19"/>
  <c r="D179" i="19"/>
  <c r="E179" i="19"/>
  <c r="F179" i="19"/>
  <c r="G179" i="19"/>
  <c r="H179" i="19"/>
  <c r="I179" i="19"/>
  <c r="J179" i="19"/>
  <c r="N179" i="19"/>
  <c r="O179" i="19"/>
  <c r="Q179" i="19"/>
  <c r="R179" i="19"/>
  <c r="S179" i="19"/>
  <c r="T179" i="19"/>
  <c r="B180" i="19"/>
  <c r="D180" i="19"/>
  <c r="E180" i="19"/>
  <c r="F180" i="19"/>
  <c r="G180" i="19"/>
  <c r="H180" i="19"/>
  <c r="I180" i="19"/>
  <c r="J180" i="19"/>
  <c r="N180" i="19"/>
  <c r="O180" i="19"/>
  <c r="Q180" i="19"/>
  <c r="R180" i="19"/>
  <c r="S180" i="19"/>
  <c r="T180" i="19"/>
  <c r="B181" i="19"/>
  <c r="D181" i="19"/>
  <c r="E181" i="19"/>
  <c r="F181" i="19"/>
  <c r="G181" i="19"/>
  <c r="H181" i="19"/>
  <c r="I181" i="19"/>
  <c r="J181" i="19"/>
  <c r="N181" i="19"/>
  <c r="O181" i="19"/>
  <c r="Q181" i="19"/>
  <c r="R181" i="19"/>
  <c r="S181" i="19"/>
  <c r="T181" i="19"/>
  <c r="B182" i="19"/>
  <c r="D182" i="19"/>
  <c r="E182" i="19"/>
  <c r="F182" i="19"/>
  <c r="G182" i="19"/>
  <c r="H182" i="19"/>
  <c r="I182" i="19"/>
  <c r="J182" i="19"/>
  <c r="N182" i="19"/>
  <c r="O182" i="19"/>
  <c r="Q182" i="19"/>
  <c r="R182" i="19"/>
  <c r="S182" i="19"/>
  <c r="T182" i="19"/>
  <c r="B183" i="19"/>
  <c r="D183" i="19"/>
  <c r="E183" i="19"/>
  <c r="F183" i="19"/>
  <c r="G183" i="19"/>
  <c r="H183" i="19"/>
  <c r="I183" i="19"/>
  <c r="J183" i="19"/>
  <c r="N183" i="19"/>
  <c r="O183" i="19"/>
  <c r="Q183" i="19"/>
  <c r="R183" i="19"/>
  <c r="S183" i="19"/>
  <c r="T183" i="19"/>
  <c r="B184" i="19"/>
  <c r="D184" i="19"/>
  <c r="E184" i="19"/>
  <c r="F184" i="19"/>
  <c r="G184" i="19"/>
  <c r="H184" i="19"/>
  <c r="I184" i="19"/>
  <c r="J184" i="19"/>
  <c r="N184" i="19"/>
  <c r="O184" i="19"/>
  <c r="Q184" i="19"/>
  <c r="R184" i="19"/>
  <c r="S184" i="19"/>
  <c r="T184" i="19"/>
  <c r="B185" i="19"/>
  <c r="D185" i="19"/>
  <c r="E185" i="19"/>
  <c r="F185" i="19"/>
  <c r="G185" i="19"/>
  <c r="H185" i="19"/>
  <c r="I185" i="19"/>
  <c r="J185" i="19"/>
  <c r="N185" i="19"/>
  <c r="O185" i="19"/>
  <c r="Q185" i="19"/>
  <c r="R185" i="19"/>
  <c r="S185" i="19"/>
  <c r="T185" i="19"/>
  <c r="B186" i="19"/>
  <c r="D186" i="19"/>
  <c r="E186" i="19"/>
  <c r="F186" i="19"/>
  <c r="G186" i="19"/>
  <c r="H186" i="19"/>
  <c r="I186" i="19"/>
  <c r="J186" i="19"/>
  <c r="N186" i="19"/>
  <c r="O186" i="19"/>
  <c r="Q186" i="19"/>
  <c r="R186" i="19"/>
  <c r="S186" i="19"/>
  <c r="T186" i="19"/>
  <c r="B187" i="19"/>
  <c r="D187" i="19"/>
  <c r="E187" i="19"/>
  <c r="F187" i="19"/>
  <c r="G187" i="19"/>
  <c r="H187" i="19"/>
  <c r="I187" i="19"/>
  <c r="J187" i="19"/>
  <c r="N187" i="19"/>
  <c r="O187" i="19"/>
  <c r="Q187" i="19"/>
  <c r="R187" i="19"/>
  <c r="S187" i="19"/>
  <c r="T187" i="19"/>
  <c r="B188" i="19"/>
  <c r="D188" i="19"/>
  <c r="E188" i="19"/>
  <c r="F188" i="19"/>
  <c r="G188" i="19"/>
  <c r="H188" i="19"/>
  <c r="I188" i="19"/>
  <c r="J188" i="19"/>
  <c r="N188" i="19"/>
  <c r="O188" i="19"/>
  <c r="Q188" i="19"/>
  <c r="R188" i="19"/>
  <c r="S188" i="19"/>
  <c r="T188" i="19"/>
  <c r="B189" i="19"/>
  <c r="D189" i="19"/>
  <c r="E189" i="19"/>
  <c r="F189" i="19"/>
  <c r="G189" i="19"/>
  <c r="H189" i="19"/>
  <c r="I189" i="19"/>
  <c r="J189" i="19"/>
  <c r="N189" i="19"/>
  <c r="O189" i="19"/>
  <c r="Q189" i="19"/>
  <c r="R189" i="19"/>
  <c r="S189" i="19"/>
  <c r="T189" i="19"/>
  <c r="B190" i="19"/>
  <c r="D190" i="19"/>
  <c r="E190" i="19"/>
  <c r="F190" i="19"/>
  <c r="G190" i="19"/>
  <c r="H190" i="19"/>
  <c r="I190" i="19"/>
  <c r="J190" i="19"/>
  <c r="N190" i="19"/>
  <c r="O190" i="19"/>
  <c r="Q190" i="19"/>
  <c r="R190" i="19"/>
  <c r="S190" i="19"/>
  <c r="T190" i="19"/>
  <c r="B191" i="19"/>
  <c r="D191" i="19"/>
  <c r="E191" i="19"/>
  <c r="F191" i="19"/>
  <c r="G191" i="19"/>
  <c r="H191" i="19"/>
  <c r="I191" i="19"/>
  <c r="J191" i="19"/>
  <c r="N191" i="19"/>
  <c r="O191" i="19"/>
  <c r="Q191" i="19"/>
  <c r="R191" i="19"/>
  <c r="S191" i="19"/>
  <c r="T191" i="19"/>
  <c r="B192" i="19"/>
  <c r="D192" i="19"/>
  <c r="E192" i="19"/>
  <c r="F192" i="19"/>
  <c r="G192" i="19"/>
  <c r="H192" i="19"/>
  <c r="I192" i="19"/>
  <c r="J192" i="19"/>
  <c r="N192" i="19"/>
  <c r="O192" i="19"/>
  <c r="Q192" i="19"/>
  <c r="R192" i="19"/>
  <c r="S192" i="19"/>
  <c r="T192" i="19"/>
  <c r="B193" i="19"/>
  <c r="D193" i="19"/>
  <c r="E193" i="19"/>
  <c r="F193" i="19"/>
  <c r="G193" i="19"/>
  <c r="H193" i="19"/>
  <c r="I193" i="19"/>
  <c r="J193" i="19"/>
  <c r="N193" i="19"/>
  <c r="O193" i="19"/>
  <c r="Q193" i="19"/>
  <c r="R193" i="19"/>
  <c r="S193" i="19"/>
  <c r="T193" i="19"/>
  <c r="B194" i="19"/>
  <c r="D194" i="19"/>
  <c r="E194" i="19"/>
  <c r="F194" i="19"/>
  <c r="G194" i="19"/>
  <c r="H194" i="19"/>
  <c r="I194" i="19"/>
  <c r="J194" i="19"/>
  <c r="N194" i="19"/>
  <c r="O194" i="19"/>
  <c r="Q194" i="19"/>
  <c r="R194" i="19"/>
  <c r="S194" i="19"/>
  <c r="T194" i="19"/>
  <c r="B195" i="19"/>
  <c r="D195" i="19"/>
  <c r="E195" i="19"/>
  <c r="F195" i="19"/>
  <c r="G195" i="19"/>
  <c r="H195" i="19"/>
  <c r="I195" i="19"/>
  <c r="J195" i="19"/>
  <c r="N195" i="19"/>
  <c r="O195" i="19"/>
  <c r="Q195" i="19"/>
  <c r="R195" i="19"/>
  <c r="S195" i="19"/>
  <c r="T195" i="19"/>
  <c r="B196" i="19"/>
  <c r="D196" i="19"/>
  <c r="E196" i="19"/>
  <c r="F196" i="19"/>
  <c r="G196" i="19"/>
  <c r="H196" i="19"/>
  <c r="I196" i="19"/>
  <c r="J196" i="19"/>
  <c r="N196" i="19"/>
  <c r="O196" i="19"/>
  <c r="Q196" i="19"/>
  <c r="R196" i="19"/>
  <c r="S196" i="19"/>
  <c r="T196" i="19"/>
  <c r="B197" i="19"/>
  <c r="D197" i="19"/>
  <c r="E197" i="19"/>
  <c r="F197" i="19"/>
  <c r="G197" i="19"/>
  <c r="H197" i="19"/>
  <c r="I197" i="19"/>
  <c r="J197" i="19"/>
  <c r="N197" i="19"/>
  <c r="O197" i="19"/>
  <c r="Q197" i="19"/>
  <c r="R197" i="19"/>
  <c r="S197" i="19"/>
  <c r="T197" i="19"/>
  <c r="B198" i="19"/>
  <c r="D198" i="19"/>
  <c r="E198" i="19"/>
  <c r="F198" i="19"/>
  <c r="G198" i="19"/>
  <c r="H198" i="19"/>
  <c r="I198" i="19"/>
  <c r="J198" i="19"/>
  <c r="N198" i="19"/>
  <c r="O198" i="19"/>
  <c r="Q198" i="19"/>
  <c r="R198" i="19"/>
  <c r="S198" i="19"/>
  <c r="T198" i="19"/>
  <c r="B199" i="19"/>
  <c r="D199" i="19"/>
  <c r="E199" i="19"/>
  <c r="F199" i="19"/>
  <c r="G199" i="19"/>
  <c r="H199" i="19"/>
  <c r="I199" i="19"/>
  <c r="J199" i="19"/>
  <c r="N199" i="19"/>
  <c r="O199" i="19"/>
  <c r="Q199" i="19"/>
  <c r="R199" i="19"/>
  <c r="S199" i="19"/>
  <c r="T199" i="19"/>
  <c r="B200" i="19"/>
  <c r="D200" i="19"/>
  <c r="E200" i="19"/>
  <c r="F200" i="19"/>
  <c r="G200" i="19"/>
  <c r="H200" i="19"/>
  <c r="I200" i="19"/>
  <c r="J200" i="19"/>
  <c r="N200" i="19"/>
  <c r="O200" i="19"/>
  <c r="Q200" i="19"/>
  <c r="R200" i="19"/>
  <c r="S200" i="19"/>
  <c r="T200" i="19"/>
  <c r="B201" i="19"/>
  <c r="D201" i="19"/>
  <c r="E201" i="19"/>
  <c r="F201" i="19"/>
  <c r="G201" i="19"/>
  <c r="H201" i="19"/>
  <c r="I201" i="19"/>
  <c r="J201" i="19"/>
  <c r="N201" i="19"/>
  <c r="O201" i="19"/>
  <c r="Q201" i="19"/>
  <c r="R201" i="19"/>
  <c r="S201" i="19"/>
  <c r="T201" i="19"/>
  <c r="B202" i="19"/>
  <c r="D202" i="19"/>
  <c r="E202" i="19"/>
  <c r="F202" i="19"/>
  <c r="G202" i="19"/>
  <c r="H202" i="19"/>
  <c r="I202" i="19"/>
  <c r="J202" i="19"/>
  <c r="N202" i="19"/>
  <c r="O202" i="19"/>
  <c r="Q202" i="19"/>
  <c r="R202" i="19"/>
  <c r="S202" i="19"/>
  <c r="T202" i="19"/>
  <c r="B203" i="19"/>
  <c r="D203" i="19"/>
  <c r="E203" i="19"/>
  <c r="F203" i="19"/>
  <c r="G203" i="19"/>
  <c r="H203" i="19"/>
  <c r="I203" i="19"/>
  <c r="J203" i="19"/>
  <c r="N203" i="19"/>
  <c r="O203" i="19"/>
  <c r="Q203" i="19"/>
  <c r="R203" i="19"/>
  <c r="S203" i="19"/>
  <c r="T203" i="19"/>
  <c r="B204" i="19"/>
  <c r="D204" i="19"/>
  <c r="E204" i="19"/>
  <c r="F204" i="19"/>
  <c r="G204" i="19"/>
  <c r="H204" i="19"/>
  <c r="I204" i="19"/>
  <c r="J204" i="19"/>
  <c r="N204" i="19"/>
  <c r="O204" i="19"/>
  <c r="Q204" i="19"/>
  <c r="R204" i="19"/>
  <c r="S204" i="19"/>
  <c r="T204" i="19"/>
  <c r="B205" i="19"/>
  <c r="D205" i="19"/>
  <c r="E205" i="19"/>
  <c r="F205" i="19"/>
  <c r="G205" i="19"/>
  <c r="H205" i="19"/>
  <c r="I205" i="19"/>
  <c r="J205" i="19"/>
  <c r="N205" i="19"/>
  <c r="O205" i="19"/>
  <c r="Q205" i="19"/>
  <c r="R205" i="19"/>
  <c r="S205" i="19"/>
  <c r="T205" i="19"/>
  <c r="B206" i="19"/>
  <c r="D206" i="19"/>
  <c r="E206" i="19"/>
  <c r="F206" i="19"/>
  <c r="G206" i="19"/>
  <c r="H206" i="19"/>
  <c r="I206" i="19"/>
  <c r="J206" i="19"/>
  <c r="N206" i="19"/>
  <c r="O206" i="19"/>
  <c r="Q206" i="19"/>
  <c r="R206" i="19"/>
  <c r="S206" i="19"/>
  <c r="T206" i="19"/>
  <c r="B207" i="19"/>
  <c r="D207" i="19"/>
  <c r="E207" i="19"/>
  <c r="F207" i="19"/>
  <c r="G207" i="19"/>
  <c r="H207" i="19"/>
  <c r="I207" i="19"/>
  <c r="J207" i="19"/>
  <c r="N207" i="19"/>
  <c r="O207" i="19"/>
  <c r="Q207" i="19"/>
  <c r="R207" i="19"/>
  <c r="S207" i="19"/>
  <c r="T207" i="19"/>
  <c r="B208" i="19"/>
  <c r="D208" i="19"/>
  <c r="E208" i="19"/>
  <c r="F208" i="19"/>
  <c r="G208" i="19"/>
  <c r="H208" i="19"/>
  <c r="I208" i="19"/>
  <c r="J208" i="19"/>
  <c r="N208" i="19"/>
  <c r="O208" i="19"/>
  <c r="Q208" i="19"/>
  <c r="R208" i="19"/>
  <c r="S208" i="19"/>
  <c r="T208" i="19"/>
  <c r="B209" i="19"/>
  <c r="D209" i="19"/>
  <c r="E209" i="19"/>
  <c r="F209" i="19"/>
  <c r="G209" i="19"/>
  <c r="H209" i="19"/>
  <c r="I209" i="19"/>
  <c r="J209" i="19"/>
  <c r="N209" i="19"/>
  <c r="O209" i="19"/>
  <c r="Q209" i="19"/>
  <c r="R209" i="19"/>
  <c r="S209" i="19"/>
  <c r="T209" i="19"/>
  <c r="B210" i="19"/>
  <c r="D210" i="19"/>
  <c r="E210" i="19"/>
  <c r="F210" i="19"/>
  <c r="G210" i="19"/>
  <c r="H210" i="19"/>
  <c r="I210" i="19"/>
  <c r="J210" i="19"/>
  <c r="N210" i="19"/>
  <c r="O210" i="19"/>
  <c r="Q210" i="19"/>
  <c r="R210" i="19"/>
  <c r="S210" i="19"/>
  <c r="T210" i="19"/>
  <c r="B211" i="19"/>
  <c r="D211" i="19"/>
  <c r="E211" i="19"/>
  <c r="F211" i="19"/>
  <c r="G211" i="19"/>
  <c r="H211" i="19"/>
  <c r="I211" i="19"/>
  <c r="J211" i="19"/>
  <c r="N211" i="19"/>
  <c r="O211" i="19"/>
  <c r="Q211" i="19"/>
  <c r="R211" i="19"/>
  <c r="S211" i="19"/>
  <c r="T211" i="19"/>
  <c r="B212" i="19"/>
  <c r="D212" i="19"/>
  <c r="E212" i="19"/>
  <c r="F212" i="19"/>
  <c r="G212" i="19"/>
  <c r="H212" i="19"/>
  <c r="I212" i="19"/>
  <c r="J212" i="19"/>
  <c r="N212" i="19"/>
  <c r="O212" i="19"/>
  <c r="Q212" i="19"/>
  <c r="R212" i="19"/>
  <c r="S212" i="19"/>
  <c r="T212" i="19"/>
  <c r="B213" i="19"/>
  <c r="D213" i="19"/>
  <c r="E213" i="19"/>
  <c r="F213" i="19"/>
  <c r="G213" i="19"/>
  <c r="H213" i="19"/>
  <c r="I213" i="19"/>
  <c r="J213" i="19"/>
  <c r="N213" i="19"/>
  <c r="O213" i="19"/>
  <c r="Q213" i="19"/>
  <c r="R213" i="19"/>
  <c r="S213" i="19"/>
  <c r="T213" i="19"/>
  <c r="B214" i="19"/>
  <c r="D214" i="19"/>
  <c r="E214" i="19"/>
  <c r="F214" i="19"/>
  <c r="G214" i="19"/>
  <c r="H214" i="19"/>
  <c r="I214" i="19"/>
  <c r="J214" i="19"/>
  <c r="N214" i="19"/>
  <c r="O214" i="19"/>
  <c r="Q214" i="19"/>
  <c r="R214" i="19"/>
  <c r="S214" i="19"/>
  <c r="T214" i="19"/>
  <c r="B215" i="19"/>
  <c r="D215" i="19"/>
  <c r="E215" i="19"/>
  <c r="F215" i="19"/>
  <c r="G215" i="19"/>
  <c r="H215" i="19"/>
  <c r="I215" i="19"/>
  <c r="J215" i="19"/>
  <c r="N215" i="19"/>
  <c r="O215" i="19"/>
  <c r="Q215" i="19"/>
  <c r="R215" i="19"/>
  <c r="S215" i="19"/>
  <c r="T215" i="19"/>
  <c r="B216" i="19"/>
  <c r="D216" i="19"/>
  <c r="E216" i="19"/>
  <c r="F216" i="19"/>
  <c r="G216" i="19"/>
  <c r="H216" i="19"/>
  <c r="I216" i="19"/>
  <c r="J216" i="19"/>
  <c r="N216" i="19"/>
  <c r="O216" i="19"/>
  <c r="Q216" i="19"/>
  <c r="R216" i="19"/>
  <c r="S216" i="19"/>
  <c r="T216" i="19"/>
  <c r="B217" i="19"/>
  <c r="D217" i="19"/>
  <c r="E217" i="19"/>
  <c r="F217" i="19"/>
  <c r="G217" i="19"/>
  <c r="H217" i="19"/>
  <c r="I217" i="19"/>
  <c r="J217" i="19"/>
  <c r="N217" i="19"/>
  <c r="O217" i="19"/>
  <c r="Q217" i="19"/>
  <c r="R217" i="19"/>
  <c r="S217" i="19"/>
  <c r="T217" i="19"/>
  <c r="B218" i="19"/>
  <c r="D218" i="19"/>
  <c r="E218" i="19"/>
  <c r="F218" i="19"/>
  <c r="G218" i="19"/>
  <c r="H218" i="19"/>
  <c r="I218" i="19"/>
  <c r="J218" i="19"/>
  <c r="N218" i="19"/>
  <c r="O218" i="19"/>
  <c r="Q218" i="19"/>
  <c r="R218" i="19"/>
  <c r="S218" i="19"/>
  <c r="T218" i="19"/>
  <c r="B219" i="19"/>
  <c r="D219" i="19"/>
  <c r="E219" i="19"/>
  <c r="F219" i="19"/>
  <c r="G219" i="19"/>
  <c r="H219" i="19"/>
  <c r="I219" i="19"/>
  <c r="J219" i="19"/>
  <c r="N219" i="19"/>
  <c r="O219" i="19"/>
  <c r="Q219" i="19"/>
  <c r="R219" i="19"/>
  <c r="S219" i="19"/>
  <c r="T219" i="19"/>
  <c r="B220" i="19"/>
  <c r="D220" i="19"/>
  <c r="E220" i="19"/>
  <c r="F220" i="19"/>
  <c r="G220" i="19"/>
  <c r="H220" i="19"/>
  <c r="I220" i="19"/>
  <c r="J220" i="19"/>
  <c r="N220" i="19"/>
  <c r="O220" i="19"/>
  <c r="Q220" i="19"/>
  <c r="R220" i="19"/>
  <c r="S220" i="19"/>
  <c r="T220" i="19"/>
  <c r="B221" i="19"/>
  <c r="D221" i="19"/>
  <c r="E221" i="19"/>
  <c r="F221" i="19"/>
  <c r="G221" i="19"/>
  <c r="H221" i="19"/>
  <c r="I221" i="19"/>
  <c r="J221" i="19"/>
  <c r="N221" i="19"/>
  <c r="O221" i="19"/>
  <c r="Q221" i="19"/>
  <c r="R221" i="19"/>
  <c r="S221" i="19"/>
  <c r="T221" i="19"/>
  <c r="B222" i="19"/>
  <c r="D222" i="19"/>
  <c r="E222" i="19"/>
  <c r="F222" i="19"/>
  <c r="G222" i="19"/>
  <c r="H222" i="19"/>
  <c r="I222" i="19"/>
  <c r="J222" i="19"/>
  <c r="N222" i="19"/>
  <c r="O222" i="19"/>
  <c r="Q222" i="19"/>
  <c r="R222" i="19"/>
  <c r="S222" i="19"/>
  <c r="T222" i="19"/>
  <c r="B223" i="19"/>
  <c r="D223" i="19"/>
  <c r="E223" i="19"/>
  <c r="F223" i="19"/>
  <c r="G223" i="19"/>
  <c r="H223" i="19"/>
  <c r="I223" i="19"/>
  <c r="J223" i="19"/>
  <c r="N223" i="19"/>
  <c r="O223" i="19"/>
  <c r="Q223" i="19"/>
  <c r="R223" i="19"/>
  <c r="S223" i="19"/>
  <c r="T223" i="19"/>
  <c r="B224" i="19"/>
  <c r="D224" i="19"/>
  <c r="E224" i="19"/>
  <c r="F224" i="19"/>
  <c r="G224" i="19"/>
  <c r="H224" i="19"/>
  <c r="I224" i="19"/>
  <c r="J224" i="19"/>
  <c r="N224" i="19"/>
  <c r="O224" i="19"/>
  <c r="Q224" i="19"/>
  <c r="R224" i="19"/>
  <c r="S224" i="19"/>
  <c r="T224" i="19"/>
  <c r="B225" i="19"/>
  <c r="D225" i="19"/>
  <c r="E225" i="19"/>
  <c r="F225" i="19"/>
  <c r="G225" i="19"/>
  <c r="H225" i="19"/>
  <c r="I225" i="19"/>
  <c r="J225" i="19"/>
  <c r="N225" i="19"/>
  <c r="O225" i="19"/>
  <c r="Q225" i="19"/>
  <c r="R225" i="19"/>
  <c r="S225" i="19"/>
  <c r="T225" i="19"/>
  <c r="B226" i="19"/>
  <c r="D226" i="19"/>
  <c r="E226" i="19"/>
  <c r="F226" i="19"/>
  <c r="G226" i="19"/>
  <c r="H226" i="19"/>
  <c r="I226" i="19"/>
  <c r="J226" i="19"/>
  <c r="N226" i="19"/>
  <c r="O226" i="19"/>
  <c r="Q226" i="19"/>
  <c r="R226" i="19"/>
  <c r="S226" i="19"/>
  <c r="T226" i="19"/>
  <c r="B227" i="19"/>
  <c r="D227" i="19"/>
  <c r="E227" i="19"/>
  <c r="F227" i="19"/>
  <c r="G227" i="19"/>
  <c r="H227" i="19"/>
  <c r="I227" i="19"/>
  <c r="J227" i="19"/>
  <c r="N227" i="19"/>
  <c r="O227" i="19"/>
  <c r="Q227" i="19"/>
  <c r="R227" i="19"/>
  <c r="S227" i="19"/>
  <c r="T227" i="19"/>
  <c r="B228" i="19"/>
  <c r="D228" i="19"/>
  <c r="E228" i="19"/>
  <c r="F228" i="19"/>
  <c r="G228" i="19"/>
  <c r="H228" i="19"/>
  <c r="I228" i="19"/>
  <c r="J228" i="19"/>
  <c r="N228" i="19"/>
  <c r="O228" i="19"/>
  <c r="Q228" i="19"/>
  <c r="R228" i="19"/>
  <c r="S228" i="19"/>
  <c r="T228" i="19"/>
  <c r="B229" i="19"/>
  <c r="D229" i="19"/>
  <c r="E229" i="19"/>
  <c r="F229" i="19"/>
  <c r="G229" i="19"/>
  <c r="H229" i="19"/>
  <c r="I229" i="19"/>
  <c r="J229" i="19"/>
  <c r="N229" i="19"/>
  <c r="O229" i="19"/>
  <c r="Q229" i="19"/>
  <c r="R229" i="19"/>
  <c r="S229" i="19"/>
  <c r="T229" i="19"/>
  <c r="B230" i="19"/>
  <c r="D230" i="19"/>
  <c r="E230" i="19"/>
  <c r="F230" i="19"/>
  <c r="G230" i="19"/>
  <c r="H230" i="19"/>
  <c r="I230" i="19"/>
  <c r="J230" i="19"/>
  <c r="N230" i="19"/>
  <c r="O230" i="19"/>
  <c r="Q230" i="19"/>
  <c r="R230" i="19"/>
  <c r="S230" i="19"/>
  <c r="T230" i="19"/>
  <c r="B231" i="19"/>
  <c r="D231" i="19"/>
  <c r="E231" i="19"/>
  <c r="F231" i="19"/>
  <c r="G231" i="19"/>
  <c r="H231" i="19"/>
  <c r="I231" i="19"/>
  <c r="J231" i="19"/>
  <c r="N231" i="19"/>
  <c r="O231" i="19"/>
  <c r="Q231" i="19"/>
  <c r="R231" i="19"/>
  <c r="S231" i="19"/>
  <c r="T231" i="19"/>
  <c r="B232" i="19"/>
  <c r="D232" i="19"/>
  <c r="E232" i="19"/>
  <c r="F232" i="19"/>
  <c r="G232" i="19"/>
  <c r="H232" i="19"/>
  <c r="I232" i="19"/>
  <c r="J232" i="19"/>
  <c r="N232" i="19"/>
  <c r="O232" i="19"/>
  <c r="Q232" i="19"/>
  <c r="R232" i="19"/>
  <c r="S232" i="19"/>
  <c r="T232" i="19"/>
  <c r="B233" i="19"/>
  <c r="D233" i="19"/>
  <c r="E233" i="19"/>
  <c r="F233" i="19"/>
  <c r="G233" i="19"/>
  <c r="H233" i="19"/>
  <c r="I233" i="19"/>
  <c r="J233" i="19"/>
  <c r="N233" i="19"/>
  <c r="O233" i="19"/>
  <c r="Q233" i="19"/>
  <c r="R233" i="19"/>
  <c r="S233" i="19"/>
  <c r="T233" i="19"/>
  <c r="B234" i="19"/>
  <c r="D234" i="19"/>
  <c r="E234" i="19"/>
  <c r="F234" i="19"/>
  <c r="G234" i="19"/>
  <c r="H234" i="19"/>
  <c r="I234" i="19"/>
  <c r="J234" i="19"/>
  <c r="N234" i="19"/>
  <c r="O234" i="19"/>
  <c r="Q234" i="19"/>
  <c r="R234" i="19"/>
  <c r="S234" i="19"/>
  <c r="T234" i="19"/>
  <c r="B235" i="19"/>
  <c r="D235" i="19"/>
  <c r="E235" i="19"/>
  <c r="F235" i="19"/>
  <c r="G235" i="19"/>
  <c r="H235" i="19"/>
  <c r="I235" i="19"/>
  <c r="J235" i="19"/>
  <c r="N235" i="19"/>
  <c r="O235" i="19"/>
  <c r="Q235" i="19"/>
  <c r="R235" i="19"/>
  <c r="S235" i="19"/>
  <c r="T235" i="19"/>
  <c r="B236" i="19"/>
  <c r="D236" i="19"/>
  <c r="E236" i="19"/>
  <c r="F236" i="19"/>
  <c r="G236" i="19"/>
  <c r="H236" i="19"/>
  <c r="I236" i="19"/>
  <c r="J236" i="19"/>
  <c r="N236" i="19"/>
  <c r="O236" i="19"/>
  <c r="Q236" i="19"/>
  <c r="R236" i="19"/>
  <c r="S236" i="19"/>
  <c r="T236" i="19"/>
  <c r="B237" i="19"/>
  <c r="D237" i="19"/>
  <c r="E237" i="19"/>
  <c r="F237" i="19"/>
  <c r="G237" i="19"/>
  <c r="H237" i="19"/>
  <c r="I237" i="19"/>
  <c r="J237" i="19"/>
  <c r="N237" i="19"/>
  <c r="O237" i="19"/>
  <c r="Q237" i="19"/>
  <c r="R237" i="19"/>
  <c r="S237" i="19"/>
  <c r="T237" i="19"/>
  <c r="B238" i="19"/>
  <c r="D238" i="19"/>
  <c r="E238" i="19"/>
  <c r="F238" i="19"/>
  <c r="G238" i="19"/>
  <c r="H238" i="19"/>
  <c r="I238" i="19"/>
  <c r="J238" i="19"/>
  <c r="N238" i="19"/>
  <c r="O238" i="19"/>
  <c r="Q238" i="19"/>
  <c r="R238" i="19"/>
  <c r="S238" i="19"/>
  <c r="T238" i="19"/>
  <c r="B239" i="19"/>
  <c r="D239" i="19"/>
  <c r="E239" i="19"/>
  <c r="F239" i="19"/>
  <c r="G239" i="19"/>
  <c r="H239" i="19"/>
  <c r="I239" i="19"/>
  <c r="J239" i="19"/>
  <c r="N239" i="19"/>
  <c r="O239" i="19"/>
  <c r="Q239" i="19"/>
  <c r="R239" i="19"/>
  <c r="S239" i="19"/>
  <c r="T239" i="19"/>
  <c r="B6" i="11"/>
  <c r="B7" i="11"/>
  <c r="B8" i="11"/>
  <c r="B9" i="11"/>
  <c r="E10" i="11"/>
  <c r="M12" i="11"/>
  <c r="H15" i="11"/>
  <c r="P24" i="11"/>
  <c r="C27" i="11"/>
  <c r="E27" i="11"/>
  <c r="B28" i="11"/>
  <c r="J28" i="11"/>
  <c r="L28" i="11"/>
  <c r="F29" i="11"/>
  <c r="G29" i="11"/>
  <c r="K30" i="11"/>
  <c r="M30" i="11"/>
  <c r="N30" i="11"/>
  <c r="L31" i="11"/>
  <c r="E32" i="11"/>
  <c r="L32" i="11"/>
  <c r="J33" i="11"/>
  <c r="D34" i="11"/>
  <c r="G34" i="11"/>
  <c r="I34" i="11"/>
  <c r="N34" i="11"/>
  <c r="F35" i="11"/>
  <c r="I35" i="11"/>
  <c r="B36" i="11"/>
  <c r="C36" i="11"/>
  <c r="J36" i="11"/>
  <c r="O37" i="11"/>
  <c r="O38" i="11"/>
  <c r="O39" i="11"/>
  <c r="A438" i="100"/>
  <c r="A565" i="100"/>
  <c r="A154" i="100"/>
  <c r="A424" i="100"/>
  <c r="A474" i="100"/>
  <c r="A485" i="100"/>
  <c r="A340" i="100"/>
  <c r="O22" i="19"/>
  <c r="K22" i="19"/>
  <c r="N21" i="19"/>
  <c r="Q21" i="19"/>
  <c r="F21" i="19"/>
  <c r="M21" i="19"/>
  <c r="M22" i="19"/>
  <c r="L21" i="19"/>
  <c r="J20" i="19"/>
  <c r="O21" i="19"/>
  <c r="K21" i="19"/>
  <c r="N22" i="19"/>
  <c r="I21" i="19"/>
  <c r="L22" i="19"/>
  <c r="B2" i="103"/>
  <c r="A260" i="100"/>
  <c r="A111" i="100"/>
  <c r="A13" i="100"/>
  <c r="A314" i="100"/>
  <c r="A198" i="100"/>
  <c r="A258" i="100"/>
  <c r="A234" i="100"/>
  <c r="A70" i="100"/>
  <c r="A358" i="100"/>
  <c r="A289" i="100"/>
  <c r="A552" i="100"/>
  <c r="A535" i="100"/>
  <c r="A302" i="100"/>
  <c r="A216" i="100"/>
  <c r="A321" i="100"/>
  <c r="A150" i="100"/>
  <c r="A373" i="100"/>
  <c r="A548" i="100"/>
  <c r="A335" i="100"/>
  <c r="A539" i="100"/>
  <c r="A36" i="100"/>
  <c r="A250" i="100"/>
  <c r="A88" i="100"/>
  <c r="A247" i="100"/>
  <c r="A465" i="100"/>
  <c r="A576" i="100"/>
  <c r="A475" i="100"/>
  <c r="A366" i="100"/>
  <c r="A327" i="100"/>
  <c r="A542" i="100"/>
  <c r="A254" i="100"/>
  <c r="A127" i="100"/>
  <c r="A104" i="100"/>
  <c r="A320" i="100"/>
  <c r="A461" i="100"/>
  <c r="E21" i="11"/>
  <c r="K36" i="11"/>
  <c r="N20" i="19"/>
  <c r="A538" i="100"/>
  <c r="A391" i="100"/>
  <c r="A592" i="100"/>
  <c r="A27" i="100"/>
  <c r="A377" i="100"/>
  <c r="A180" i="100"/>
  <c r="A96" i="100"/>
  <c r="A374" i="100"/>
  <c r="A91" i="100"/>
  <c r="A10" i="100"/>
  <c r="A346" i="100"/>
  <c r="A55" i="100"/>
  <c r="A511" i="100"/>
  <c r="A22" i="100"/>
  <c r="A382" i="100"/>
  <c r="A272" i="100"/>
  <c r="A313" i="100"/>
  <c r="A495" i="100"/>
  <c r="A537" i="100"/>
  <c r="A471" i="100"/>
  <c r="Q20" i="19"/>
  <c r="A73" i="100"/>
  <c r="A591" i="100"/>
  <c r="A49" i="100"/>
  <c r="A349" i="100"/>
  <c r="A167" i="100"/>
  <c r="A298" i="100"/>
  <c r="A385" i="100"/>
  <c r="A388" i="100"/>
  <c r="A271" i="100"/>
  <c r="A20" i="100"/>
  <c r="A600" i="100"/>
  <c r="A203" i="100"/>
  <c r="A457" i="100"/>
  <c r="A312" i="100"/>
  <c r="A177" i="100"/>
  <c r="A261" i="100"/>
  <c r="A178" i="100"/>
  <c r="A11" i="100"/>
  <c r="A77" i="100"/>
  <c r="A133" i="100"/>
  <c r="A517" i="100"/>
  <c r="A463" i="100"/>
  <c r="A33" i="100"/>
  <c r="A86" i="100"/>
  <c r="A512" i="100"/>
  <c r="A549" i="100"/>
  <c r="A98" i="100"/>
  <c r="A444" i="100"/>
  <c r="A117" i="100"/>
  <c r="A561" i="100"/>
  <c r="A479" i="100"/>
  <c r="A304" i="100"/>
  <c r="A381" i="100"/>
  <c r="A593" i="100"/>
  <c r="A231" i="100"/>
  <c r="A232" i="100"/>
  <c r="A510" i="100"/>
  <c r="A556" i="100"/>
  <c r="A184" i="100"/>
  <c r="A421" i="100"/>
  <c r="A207" i="100"/>
  <c r="A317" i="100"/>
  <c r="A506" i="100"/>
  <c r="A143" i="100"/>
  <c r="A275" i="100"/>
  <c r="A468" i="100"/>
  <c r="A205" i="100"/>
  <c r="A486" i="100"/>
  <c r="A114" i="100"/>
  <c r="A348" i="100"/>
  <c r="A30" i="100"/>
  <c r="A53" i="100"/>
  <c r="A418" i="100"/>
  <c r="A196" i="100"/>
  <c r="A491" i="100"/>
  <c r="A149" i="100"/>
  <c r="A400" i="100"/>
  <c r="A197" i="100"/>
  <c r="A145" i="100"/>
  <c r="A347" i="100"/>
  <c r="A283" i="100"/>
  <c r="A229" i="100"/>
  <c r="A238" i="100"/>
  <c r="A191" i="100"/>
  <c r="A307" i="100"/>
  <c r="A559" i="100"/>
  <c r="A237" i="100"/>
  <c r="A240" i="100"/>
  <c r="A74" i="100"/>
  <c r="A41" i="100"/>
  <c r="A546" i="100"/>
  <c r="A224" i="100"/>
  <c r="A422" i="100"/>
  <c r="A478" i="100"/>
  <c r="A412" i="100"/>
  <c r="A95" i="100"/>
  <c r="A372" i="100"/>
  <c r="A293" i="100"/>
  <c r="A342" i="100"/>
  <c r="A134" i="100"/>
  <c r="A212" i="100"/>
  <c r="A333" i="100"/>
  <c r="A432" i="100"/>
  <c r="A476" i="100"/>
  <c r="A437" i="100"/>
  <c r="A24" i="100"/>
  <c r="A324" i="100"/>
  <c r="A427" i="100"/>
  <c r="A545" i="100"/>
  <c r="A369" i="100"/>
  <c r="A151" i="100"/>
  <c r="A603" i="100"/>
  <c r="A401" i="100"/>
  <c r="A51" i="100"/>
  <c r="A436" i="100"/>
  <c r="A451" i="100"/>
  <c r="A14" i="100"/>
  <c r="A397" i="100"/>
  <c r="A116" i="100"/>
  <c r="A102" i="100"/>
  <c r="A507" i="100"/>
  <c r="A410" i="100"/>
  <c r="A509" i="100"/>
  <c r="A407" i="100"/>
  <c r="A220" i="100"/>
  <c r="A341" i="100"/>
  <c r="A279" i="100"/>
  <c r="A504" i="100"/>
  <c r="A123" i="100"/>
  <c r="A417" i="100"/>
  <c r="A31" i="100"/>
  <c r="A518" i="100"/>
  <c r="A257" i="100"/>
  <c r="A179" i="100"/>
  <c r="A68" i="100"/>
  <c r="A361" i="100"/>
  <c r="A571" i="100"/>
  <c r="A318" i="100"/>
  <c r="A396" i="100"/>
  <c r="A496" i="100"/>
  <c r="A241" i="100"/>
  <c r="A441" i="100"/>
  <c r="A292" i="100"/>
  <c r="A357" i="100"/>
  <c r="A56" i="100"/>
  <c r="A105" i="100"/>
  <c r="A35" i="100"/>
  <c r="A72" i="100"/>
  <c r="A350" i="100"/>
  <c r="A541" i="100"/>
  <c r="A190" i="100"/>
  <c r="A434" i="100"/>
  <c r="A60" i="100"/>
  <c r="A332" i="100"/>
  <c r="A122" i="100"/>
  <c r="A52" i="100"/>
  <c r="A566" i="100"/>
  <c r="A423" i="100"/>
  <c r="A82" i="100"/>
  <c r="A428" i="100"/>
  <c r="A356" i="100"/>
  <c r="A268" i="100"/>
  <c r="A217" i="100"/>
  <c r="A182" i="100"/>
  <c r="A550" i="100"/>
  <c r="A158" i="100"/>
  <c r="A490" i="100"/>
  <c r="A85" i="100"/>
  <c r="A315" i="100"/>
  <c r="A440" i="100"/>
  <c r="A399" i="100"/>
  <c r="A195" i="100"/>
  <c r="A359" i="100"/>
  <c r="A185" i="100"/>
  <c r="A543" i="100"/>
  <c r="A112" i="100"/>
  <c r="A484" i="100"/>
  <c r="A300" i="100"/>
  <c r="A363" i="100"/>
  <c r="A199" i="100"/>
  <c r="A64" i="100"/>
  <c r="A34" i="100"/>
  <c r="A371" i="100"/>
  <c r="A526" i="100"/>
  <c r="A201" i="100"/>
  <c r="A84" i="100"/>
  <c r="A80" i="100"/>
  <c r="A459" i="100"/>
  <c r="A364" i="100"/>
  <c r="A219" i="100"/>
  <c r="A87" i="100"/>
  <c r="A174" i="100"/>
  <c r="A9" i="100"/>
  <c r="A365" i="100"/>
  <c r="A487" i="100"/>
  <c r="A355" i="100"/>
  <c r="A564" i="100"/>
  <c r="A329" i="100"/>
  <c r="A244" i="100"/>
  <c r="A419" i="100"/>
  <c r="A384" i="100"/>
  <c r="A433" i="100"/>
  <c r="A585" i="100"/>
  <c r="A328" i="100"/>
  <c r="A456" i="100"/>
  <c r="A557" i="100"/>
  <c r="A19" i="100"/>
  <c r="A515" i="100"/>
  <c r="A44" i="100"/>
  <c r="A322" i="100"/>
  <c r="A277" i="100"/>
  <c r="A411" i="100"/>
  <c r="A375" i="100"/>
  <c r="A489" i="100"/>
  <c r="A568" i="100"/>
  <c r="A343" i="100"/>
  <c r="A445" i="100"/>
  <c r="A168" i="100"/>
  <c r="A345" i="100"/>
  <c r="A574" i="100"/>
  <c r="A531" i="100"/>
  <c r="A132" i="100"/>
  <c r="A395" i="100"/>
  <c r="A128" i="100"/>
  <c r="A581" i="100"/>
  <c r="A596" i="100"/>
  <c r="A405" i="100"/>
  <c r="A65" i="100"/>
  <c r="A579" i="100"/>
  <c r="A544" i="100"/>
  <c r="A119" i="100"/>
  <c r="A597" i="100"/>
  <c r="A188" i="100"/>
  <c r="A103" i="100"/>
  <c r="A497" i="100"/>
  <c r="A367" i="100"/>
  <c r="A477" i="100"/>
  <c r="A523" i="100"/>
  <c r="A409" i="100"/>
  <c r="A270" i="100"/>
  <c r="A47" i="100"/>
  <c r="A211" i="100"/>
  <c r="A276" i="100"/>
  <c r="A141" i="100"/>
  <c r="A176" i="100"/>
  <c r="A331" i="100"/>
  <c r="A446" i="100"/>
  <c r="A447" i="100"/>
  <c r="A525" i="100"/>
  <c r="A159" i="100"/>
  <c r="A500" i="100"/>
  <c r="A142" i="100"/>
  <c r="A439" i="100"/>
  <c r="A26" i="100"/>
  <c r="A505" i="100"/>
  <c r="A488" i="100"/>
  <c r="A172" i="100"/>
  <c r="A267" i="100"/>
  <c r="A242" i="100"/>
  <c r="A28" i="100"/>
  <c r="A299" i="100"/>
  <c r="A520" i="100"/>
  <c r="A379" i="100"/>
  <c r="A204" i="100"/>
  <c r="A453" i="100"/>
  <c r="A135" i="100"/>
  <c r="A426" i="100"/>
  <c r="A265" i="100"/>
  <c r="A274" i="100"/>
  <c r="A454" i="100"/>
  <c r="A521" i="100"/>
  <c r="A253" i="100"/>
  <c r="A555" i="100"/>
  <c r="A294" i="100"/>
  <c r="A245" i="100"/>
  <c r="A273" i="100"/>
  <c r="A529" i="100"/>
  <c r="A115" i="100"/>
  <c r="A473" i="100"/>
  <c r="A562" i="100"/>
  <c r="A601" i="100"/>
  <c r="A353" i="100"/>
  <c r="A156" i="100"/>
  <c r="A536" i="100"/>
  <c r="A448" i="100"/>
  <c r="A101" i="100"/>
  <c r="A109" i="100"/>
  <c r="A239" i="100"/>
  <c r="A57" i="100"/>
  <c r="A392" i="100"/>
  <c r="A89" i="100"/>
  <c r="A23" i="100"/>
  <c r="A338" i="100"/>
  <c r="A162" i="100"/>
  <c r="A32" i="100"/>
  <c r="A200" i="100"/>
  <c r="A189" i="100"/>
  <c r="A589" i="100"/>
  <c r="A262" i="100"/>
  <c r="A290" i="100"/>
  <c r="A588" i="100"/>
  <c r="A139" i="100"/>
  <c r="A595" i="100"/>
  <c r="A532" i="100"/>
  <c r="A213" i="100"/>
  <c r="A569" i="100"/>
  <c r="A386" i="100"/>
  <c r="A305" i="100"/>
  <c r="A248" i="100"/>
  <c r="A263" i="100"/>
  <c r="A63" i="100"/>
  <c r="A435" i="100"/>
  <c r="A416" i="100"/>
  <c r="A256" i="100"/>
  <c r="A187" i="100"/>
  <c r="A425" i="100"/>
  <c r="A40" i="100"/>
  <c r="A590" i="100"/>
  <c r="A577" i="100"/>
  <c r="A316" i="100"/>
  <c r="A402" i="100"/>
  <c r="A29" i="100"/>
  <c r="A387" i="100"/>
  <c r="A527" i="100"/>
  <c r="A606" i="100"/>
  <c r="A481" i="100"/>
  <c r="A492" i="100"/>
  <c r="A21" i="100"/>
  <c r="A130" i="100"/>
  <c r="A584" i="100"/>
  <c r="A296" i="100"/>
  <c r="A393" i="100"/>
  <c r="A598" i="100"/>
  <c r="A339" i="100"/>
  <c r="A558" i="100"/>
  <c r="A192" i="100"/>
  <c r="A415" i="100"/>
  <c r="A226" i="100"/>
  <c r="A530" i="100"/>
  <c r="A163" i="100"/>
  <c r="A582" i="100"/>
  <c r="A362" i="100"/>
  <c r="A94" i="100"/>
  <c r="A208" i="100"/>
  <c r="A583" i="100"/>
  <c r="A513" i="100"/>
  <c r="A43" i="100"/>
  <c r="A508" i="100"/>
  <c r="A183" i="100"/>
  <c r="A378" i="100"/>
  <c r="A59" i="100"/>
  <c r="A482" i="100"/>
  <c r="A93" i="100"/>
  <c r="A18" i="100"/>
  <c r="A534" i="100"/>
  <c r="A175" i="100"/>
  <c r="A578" i="100"/>
  <c r="A152" i="100"/>
  <c r="A325" i="100"/>
  <c r="A351" i="100"/>
  <c r="A79" i="100"/>
  <c r="A155" i="100"/>
  <c r="A206" i="100"/>
  <c r="A404" i="100"/>
  <c r="A572" i="100"/>
  <c r="A420" i="100"/>
  <c r="A287" i="100"/>
  <c r="A45" i="100"/>
  <c r="A61" i="100"/>
  <c r="A414" i="100"/>
  <c r="A138" i="100"/>
  <c r="A129" i="100"/>
  <c r="A202" i="100"/>
  <c r="A90" i="100"/>
  <c r="A12" i="100"/>
  <c r="A501" i="100"/>
  <c r="A470" i="100"/>
  <c r="A146" i="100"/>
  <c r="A519" i="100"/>
  <c r="A499" i="100"/>
  <c r="A587" i="100"/>
  <c r="A282" i="100"/>
  <c r="A429" i="100"/>
  <c r="A360" i="100"/>
  <c r="A309" i="100"/>
  <c r="A66" i="100"/>
  <c r="A108" i="100"/>
  <c r="A563" i="100"/>
  <c r="A599" i="100"/>
  <c r="A334" i="100"/>
  <c r="A71" i="100"/>
  <c r="A221" i="100"/>
  <c r="A280" i="100"/>
  <c r="A326" i="100"/>
  <c r="A169" i="100"/>
  <c r="A408" i="100"/>
  <c r="A166" i="100"/>
  <c r="A251" i="100"/>
  <c r="A570" i="100"/>
  <c r="A288" i="100"/>
  <c r="A403" i="100"/>
  <c r="A604" i="100"/>
  <c r="A547" i="100"/>
  <c r="A337" i="100"/>
  <c r="A215" i="100"/>
  <c r="A39" i="100"/>
  <c r="A323" i="100"/>
  <c r="A455" i="100"/>
  <c r="A269" i="100"/>
  <c r="A514" i="100"/>
  <c r="A472" i="100"/>
  <c r="A352" i="100"/>
  <c r="A390" i="100"/>
  <c r="A524" i="100"/>
  <c r="A97" i="100"/>
  <c r="A58" i="100"/>
  <c r="A171" i="100"/>
  <c r="A494" i="100"/>
  <c r="A100" i="100"/>
  <c r="A551" i="100"/>
  <c r="A431" i="100"/>
  <c r="A586" i="100"/>
  <c r="A493" i="100"/>
  <c r="A297" i="100"/>
  <c r="A236" i="100"/>
  <c r="A124" i="100"/>
  <c r="A147" i="100"/>
  <c r="A528" i="100"/>
  <c r="A594" i="100"/>
  <c r="A230" i="100"/>
  <c r="A567" i="100"/>
  <c r="A181" i="100"/>
  <c r="A452" i="100"/>
  <c r="A235" i="100"/>
  <c r="A164" i="100"/>
  <c r="A575" i="100"/>
  <c r="A228" i="100"/>
  <c r="A443" i="100"/>
  <c r="A137" i="100"/>
  <c r="A67" i="100"/>
  <c r="A376" i="100"/>
  <c r="A118" i="100"/>
  <c r="A483" i="100"/>
  <c r="A498" i="100"/>
  <c r="A214" i="100"/>
  <c r="A285" i="100"/>
  <c r="A330" i="100"/>
  <c r="A121" i="100"/>
  <c r="A266" i="100"/>
  <c r="A48" i="100"/>
  <c r="A62" i="100"/>
  <c r="A42" i="100"/>
  <c r="A170" i="100"/>
  <c r="A605" i="100"/>
  <c r="A554" i="100"/>
  <c r="A306" i="100"/>
  <c r="A502" i="100"/>
  <c r="A186" i="100"/>
  <c r="A413" i="100"/>
  <c r="A218" i="100"/>
  <c r="A249" i="100"/>
  <c r="A264" i="100"/>
  <c r="A389" i="100"/>
  <c r="A278" i="100"/>
  <c r="A246" i="100"/>
  <c r="A319" i="100"/>
  <c r="A140" i="100"/>
  <c r="A223" i="100"/>
  <c r="A15" i="100"/>
  <c r="A291" i="100"/>
  <c r="A516" i="100"/>
  <c r="A464" i="100"/>
  <c r="A449" i="100"/>
  <c r="A78" i="100"/>
  <c r="A136" i="100"/>
  <c r="A76" i="100"/>
  <c r="A308" i="100"/>
  <c r="A252" i="100"/>
  <c r="A148" i="100"/>
  <c r="A92" i="100"/>
  <c r="A462" i="100"/>
  <c r="A311" i="100"/>
  <c r="A442" i="100"/>
  <c r="A469" i="100"/>
  <c r="A430" i="100"/>
  <c r="A303" i="100"/>
  <c r="A46" i="100"/>
  <c r="A75" i="100"/>
  <c r="A301" i="100"/>
  <c r="A466" i="100"/>
  <c r="A573" i="100"/>
  <c r="A225" i="100"/>
  <c r="A580" i="100"/>
  <c r="A458" i="100"/>
  <c r="A222" i="100"/>
  <c r="A25" i="100"/>
  <c r="A113" i="100"/>
  <c r="A120" i="100"/>
  <c r="A157" i="100"/>
  <c r="A380" i="100"/>
  <c r="A383" i="100"/>
  <c r="A522" i="100"/>
  <c r="A126" i="100"/>
  <c r="A69" i="100"/>
  <c r="A125" i="100"/>
  <c r="A210" i="100"/>
  <c r="A467" i="100"/>
  <c r="A460" i="100"/>
  <c r="A450" i="100"/>
  <c r="A243" i="100"/>
  <c r="A344" i="100"/>
  <c r="A165" i="100"/>
  <c r="A17" i="100"/>
  <c r="A336" i="100"/>
  <c r="A354" i="100"/>
  <c r="I20" i="19"/>
  <c r="A131" i="100"/>
  <c r="A161" i="100"/>
  <c r="A83" i="100"/>
  <c r="A281" i="100"/>
  <c r="A255" i="100"/>
  <c r="A209" i="100"/>
  <c r="A81" i="100"/>
  <c r="A284" i="100"/>
  <c r="A553" i="100"/>
  <c r="A602" i="100"/>
  <c r="A37" i="100"/>
  <c r="A16" i="100"/>
  <c r="A194" i="100"/>
  <c r="A259" i="100"/>
  <c r="A99" i="100"/>
  <c r="A153" i="100"/>
  <c r="A50" i="100"/>
  <c r="A107" i="100"/>
  <c r="A286" i="100"/>
  <c r="A54" i="100"/>
  <c r="A227" i="100"/>
  <c r="A38" i="100"/>
  <c r="A560" i="100"/>
  <c r="A533" i="100"/>
  <c r="A398" i="100"/>
  <c r="A480" i="100"/>
  <c r="A160" i="100"/>
  <c r="A110" i="100"/>
  <c r="A193" i="100"/>
  <c r="A540" i="100"/>
  <c r="A233" i="100"/>
  <c r="A173" i="100"/>
  <c r="A370" i="100"/>
  <c r="A295" i="100"/>
  <c r="A406" i="100"/>
  <c r="A368" i="100"/>
  <c r="A144" i="100"/>
  <c r="A394" i="100"/>
  <c r="A106" i="100"/>
  <c r="A310" i="100"/>
  <c r="A503" i="100"/>
  <c r="O20" i="19"/>
  <c r="L8" i="19"/>
  <c r="H3" i="19"/>
  <c r="L9" i="19"/>
  <c r="D14" i="19"/>
  <c r="D20" i="19"/>
  <c r="C24" i="11" s="1"/>
  <c r="F24" i="11" l="1"/>
  <c r="L24" i="11"/>
  <c r="AB6" i="100"/>
  <c r="T23" i="19"/>
  <c r="O27" i="11" l="1"/>
  <c r="O24" i="11" s="1"/>
  <c r="T20"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stardy</author>
  </authors>
  <commentList>
    <comment ref="C49" authorId="0" shapeId="0" xr:uid="{00000000-0006-0000-0000-000001000000}">
      <text>
        <r>
          <rPr>
            <b/>
            <sz val="9"/>
            <color indexed="81"/>
            <rFont val="Tahoma"/>
            <family val="2"/>
          </rPr>
          <t>stardy:</t>
        </r>
        <r>
          <rPr>
            <sz val="9"/>
            <color indexed="81"/>
            <rFont val="Tahoma"/>
            <family val="2"/>
          </rPr>
          <t xml:space="preserve">
Langue du client</t>
        </r>
      </text>
    </comment>
    <comment ref="C55" authorId="0" shapeId="0" xr:uid="{00000000-0006-0000-0000-000002000000}">
      <text>
        <r>
          <rPr>
            <b/>
            <sz val="9"/>
            <color indexed="81"/>
            <rFont val="Tahoma"/>
            <family val="2"/>
          </rPr>
          <t>stardy:</t>
        </r>
        <r>
          <rPr>
            <sz val="9"/>
            <color indexed="81"/>
            <rFont val="Tahoma"/>
            <family val="2"/>
          </rPr>
          <t xml:space="preserve">
0 : Pas de courtier</t>
        </r>
      </text>
    </comment>
  </commentList>
</comments>
</file>

<file path=xl/sharedStrings.xml><?xml version="1.0" encoding="utf-8"?>
<sst xmlns="http://schemas.openxmlformats.org/spreadsheetml/2006/main" count="400" uniqueCount="270">
  <si>
    <t>U.S. CUSTOMS CLEARANCE BY</t>
  </si>
  <si>
    <t>GRANITE DRC inc.</t>
  </si>
  <si>
    <t>FCI CUST. No</t>
  </si>
  <si>
    <t>SHIP TO NAME AND ADDRESS (IF DIFFERENT THAN SOLD TO)</t>
  </si>
  <si>
    <t>COUNTRY OF ORIGIN</t>
  </si>
  <si>
    <t>Canada</t>
  </si>
  <si>
    <t>(if YES, complete declaration below )</t>
  </si>
  <si>
    <t>FREIGHT TO BORDER $</t>
  </si>
  <si>
    <t>BORDER TO DESTINATION $</t>
  </si>
  <si>
    <t>Prepaid &amp; Included</t>
  </si>
  <si>
    <t>Other</t>
  </si>
  <si>
    <t>Exporter</t>
  </si>
  <si>
    <t>Sold to</t>
  </si>
  <si>
    <t>CARRIER:</t>
  </si>
  <si>
    <t>CURRENCY OF SALE</t>
  </si>
  <si>
    <t>FTA Claimed: Blanket Cert. On File</t>
  </si>
  <si>
    <t xml:space="preserve">FTA Not Claimed: </t>
  </si>
  <si>
    <t>PARTIES TO THIS TRANSACTION ARE:</t>
  </si>
  <si>
    <t>FTA Claimed: Certificate attached</t>
  </si>
  <si>
    <t>Related</t>
  </si>
  <si>
    <t>Not related</t>
  </si>
  <si>
    <t>PRO FORMAT PREPARED BY:</t>
  </si>
  <si>
    <t>PRICES  INCLUDE :</t>
  </si>
  <si>
    <t>Granite DRC inc.</t>
  </si>
  <si>
    <t xml:space="preserve"> 418-323-2455</t>
  </si>
  <si>
    <t>Unit price</t>
  </si>
  <si>
    <t>Unit</t>
  </si>
  <si>
    <t xml:space="preserve">Total </t>
  </si>
  <si>
    <t>surf guill</t>
  </si>
  <si>
    <t>code GL</t>
  </si>
  <si>
    <t>PI CA</t>
  </si>
  <si>
    <t>TOTAL</t>
  </si>
  <si>
    <t>UNIT PRICE</t>
  </si>
  <si>
    <t>UNIT</t>
  </si>
  <si>
    <t>in</t>
  </si>
  <si>
    <t xml:space="preserve">    Freight</t>
  </si>
  <si>
    <t>Lbs</t>
  </si>
  <si>
    <t>TOTAL
SF brut</t>
  </si>
  <si>
    <t>Granite</t>
  </si>
  <si>
    <t>Weight</t>
  </si>
  <si>
    <t>U.S. IRS # or Social Security#</t>
  </si>
  <si>
    <t>Area</t>
  </si>
  <si>
    <t>SF</t>
  </si>
  <si>
    <t>Item</t>
  </si>
  <si>
    <t>Collect</t>
  </si>
  <si>
    <t xml:space="preserve">SHIPPING BILL </t>
  </si>
  <si>
    <t>Job</t>
  </si>
  <si>
    <t>Nb
Pcs</t>
  </si>
  <si>
    <t>guilotine</t>
  </si>
  <si>
    <t xml:space="preserve"> </t>
  </si>
  <si>
    <t>VOLUME
NET</t>
  </si>
  <si>
    <t>M3</t>
  </si>
  <si>
    <t>TAG</t>
  </si>
  <si>
    <t>SOLD TO Name And Address</t>
  </si>
  <si>
    <t>If "Various", Include As Part Of Detailed Description of Goods</t>
  </si>
  <si>
    <t>CRATE</t>
  </si>
  <si>
    <t>HS NUMBER</t>
  </si>
  <si>
    <t>Thick.</t>
  </si>
  <si>
    <t># Crate</t>
  </si>
  <si>
    <t>REF</t>
  </si>
  <si>
    <t>LF</t>
  </si>
  <si>
    <t>Length</t>
  </si>
  <si>
    <t>US$</t>
  </si>
  <si>
    <t>CLIENT</t>
  </si>
  <si>
    <t>Width</t>
  </si>
  <si>
    <t>Valeur</t>
  </si>
  <si>
    <t>Transporteur</t>
  </si>
  <si>
    <t>Numéro</t>
  </si>
  <si>
    <t>Nom du client</t>
  </si>
  <si>
    <t>Nom du contact client</t>
  </si>
  <si>
    <t>Prénom du contact client</t>
  </si>
  <si>
    <t>Téléphone du contact client</t>
  </si>
  <si>
    <t>Adresse 1</t>
  </si>
  <si>
    <t>Adresse 2</t>
  </si>
  <si>
    <t>Ville</t>
  </si>
  <si>
    <t>Region</t>
  </si>
  <si>
    <t>Pays</t>
  </si>
  <si>
    <t>Code postal</t>
  </si>
  <si>
    <t>IRS</t>
  </si>
  <si>
    <t>Incoterm</t>
  </si>
  <si>
    <t>A mettre dans le modèle</t>
  </si>
  <si>
    <t>Frais de douane</t>
  </si>
  <si>
    <t>Taxes incluses</t>
  </si>
  <si>
    <t>Prix des taxes</t>
  </si>
  <si>
    <t>Courtages Inclus</t>
  </si>
  <si>
    <t>Prix du courtages</t>
  </si>
  <si>
    <t>Fret inclus</t>
  </si>
  <si>
    <t>Prix du Fret</t>
  </si>
  <si>
    <t>Date d'émission</t>
  </si>
  <si>
    <t>Nombre de palette</t>
  </si>
  <si>
    <t>CA-QC</t>
  </si>
  <si>
    <t>CA</t>
  </si>
  <si>
    <t>Interne</t>
  </si>
  <si>
    <t>Externe</t>
  </si>
  <si>
    <t>TOTAL
Interne</t>
  </si>
  <si>
    <t>Projet</t>
  </si>
  <si>
    <t>Devise</t>
  </si>
  <si>
    <t>Devise interne</t>
  </si>
  <si>
    <t>Taux de change utilisé</t>
  </si>
  <si>
    <t># PALETTE</t>
  </si>
  <si>
    <t>POIDS BRUT</t>
  </si>
  <si>
    <t>Taxes</t>
  </si>
  <si>
    <t>Courtages</t>
  </si>
  <si>
    <t>Fret</t>
  </si>
  <si>
    <t>Long Brut</t>
  </si>
  <si>
    <t>Largeur Brut</t>
  </si>
  <si>
    <t>a renseigner par l'opéateur avant de faire le bon idealement un menu deroulant</t>
    <phoneticPr fontId="0" type="noConversion"/>
  </si>
  <si>
    <t>proviens du client</t>
    <phoneticPr fontId="0" type="noConversion"/>
  </si>
  <si>
    <t>automatique</t>
    <phoneticPr fontId="0" type="noConversion"/>
  </si>
  <si>
    <t>viens lors de la création du bill</t>
    <phoneticPr fontId="0" type="noConversion"/>
  </si>
  <si>
    <t>nb mcx</t>
  </si>
  <si>
    <t>nb 
lignes</t>
  </si>
  <si>
    <t>volume en 
commande</t>
  </si>
  <si>
    <t>poids en 
commande</t>
  </si>
  <si>
    <t>valeur en commande</t>
  </si>
  <si>
    <t>LIV</t>
  </si>
  <si>
    <t>PROG</t>
  </si>
  <si>
    <t>REQUIS LE</t>
  </si>
  <si>
    <t># PROD</t>
  </si>
  <si>
    <t>MEP</t>
  </si>
  <si>
    <t>#L</t>
  </si>
  <si>
    <t># RÉF</t>
  </si>
  <si>
    <t>QTÉ</t>
  </si>
  <si>
    <t>LONG</t>
  </si>
  <si>
    <t>LARG</t>
  </si>
  <si>
    <t>EP/ HAUT</t>
  </si>
  <si>
    <t>FINIS ET DETAILS</t>
  </si>
  <si>
    <t># BC</t>
  </si>
  <si>
    <t>Mobile client</t>
  </si>
  <si>
    <t>Fax</t>
  </si>
  <si>
    <t>Adresse de livraison</t>
  </si>
  <si>
    <t>Contact :</t>
  </si>
  <si>
    <t>Feuille</t>
  </si>
  <si>
    <t>Export</t>
  </si>
  <si>
    <t>Imprimante</t>
  </si>
  <si>
    <t>Source</t>
  </si>
  <si>
    <t>LONG
PI LIN</t>
  </si>
  <si>
    <t>SURF TOT
PI CA</t>
  </si>
  <si>
    <t>VOL TOT
PI CU</t>
  </si>
  <si>
    <t>POIDS
LBS</t>
  </si>
  <si>
    <t>unit</t>
  </si>
  <si>
    <t>US/CDN</t>
  </si>
  <si>
    <t>CODE hs</t>
  </si>
  <si>
    <t xml:space="preserve">                 U.S.MANUFACTURED GOODS ?</t>
  </si>
  <si>
    <t xml:space="preserve">                    Prepaid &amp; Charged</t>
  </si>
  <si>
    <t>numéro incrémenté par lotus</t>
    <phoneticPr fontId="0" type="noConversion"/>
  </si>
  <si>
    <t xml:space="preserve">BILL CUSTOMS CHARGES TO :  </t>
    <phoneticPr fontId="0" type="noConversion"/>
  </si>
  <si>
    <t>info de Granite DRC</t>
    <phoneticPr fontId="0" type="noConversion"/>
  </si>
  <si>
    <t>de la soumission ou du client  (fournis par lotus)</t>
    <phoneticPr fontId="0" type="noConversion"/>
  </si>
  <si>
    <t>GRANITE</t>
  </si>
  <si>
    <t>ITEM</t>
  </si>
  <si>
    <t>JOB</t>
  </si>
  <si>
    <t>SELLER / EXPORTER, Name And Adresse</t>
  </si>
  <si>
    <t>REF NO</t>
  </si>
  <si>
    <t>Anglais</t>
  </si>
  <si>
    <t>Français</t>
  </si>
  <si>
    <t>CAUTION: For the system to work the table must be sorted on the column in French</t>
  </si>
  <si>
    <t>ATTENTION : Pour que le système marche le tableau doit être trié sur la colonne en français</t>
  </si>
  <si>
    <t>Catégorie</t>
  </si>
  <si>
    <t>Détail</t>
  </si>
  <si>
    <t>Calcul</t>
  </si>
  <si>
    <t>Année</t>
  </si>
  <si>
    <t>Mois</t>
  </si>
  <si>
    <t>Jour</t>
  </si>
  <si>
    <t>Version de la macro</t>
  </si>
  <si>
    <t>Information technique</t>
  </si>
  <si>
    <t>Nom</t>
  </si>
  <si>
    <t>Société exportatrice</t>
  </si>
  <si>
    <t>Région</t>
  </si>
  <si>
    <t>RIVIÈRE-À-PIERRE</t>
  </si>
  <si>
    <t>GOA-3AO</t>
  </si>
  <si>
    <t>Langue</t>
  </si>
  <si>
    <t>Nane</t>
  </si>
  <si>
    <t>Firstname</t>
  </si>
  <si>
    <t>Type de broker</t>
  </si>
  <si>
    <t>Company</t>
  </si>
  <si>
    <t>Broker's information</t>
  </si>
  <si>
    <t>Adresse 3</t>
  </si>
  <si>
    <t>DELISLE</t>
  </si>
  <si>
    <t>Adresse de chargement</t>
  </si>
  <si>
    <t>Code pays</t>
  </si>
  <si>
    <t>Code région</t>
  </si>
  <si>
    <t>Répertoire d'impression pdf</t>
  </si>
  <si>
    <t>US Fund</t>
  </si>
  <si>
    <t>CDN Fund</t>
  </si>
  <si>
    <t>DOCUMENT:</t>
  </si>
  <si>
    <t>HTS  number</t>
  </si>
  <si>
    <t>Delivery bill</t>
  </si>
  <si>
    <t>Bon de livraison</t>
  </si>
  <si>
    <t>Carrier:</t>
  </si>
  <si>
    <t>Transporteur:</t>
  </si>
  <si>
    <t>Date:</t>
  </si>
  <si>
    <t>Customer:</t>
  </si>
  <si>
    <t>Client:</t>
  </si>
  <si>
    <t>Address:</t>
  </si>
  <si>
    <t>Adresse:</t>
  </si>
  <si>
    <t>Delivery address:</t>
  </si>
  <si>
    <t>Adresse de livraison:</t>
  </si>
  <si>
    <t>Received by:</t>
  </si>
  <si>
    <t>Reçu par:</t>
  </si>
  <si>
    <t>Signature:</t>
  </si>
  <si>
    <t>Pallet (s)</t>
  </si>
  <si>
    <t>Palette (s)</t>
  </si>
  <si>
    <t>Unit (s)</t>
  </si>
  <si>
    <t>Unité (s)</t>
  </si>
  <si>
    <t>QTY</t>
  </si>
  <si>
    <t>PO #</t>
  </si>
  <si>
    <t>GROSS WEIGHT</t>
  </si>
  <si>
    <t>PURCHASE ORDER</t>
  </si>
  <si>
    <t>BON DE COMMANDE</t>
  </si>
  <si>
    <t>LENGTH</t>
  </si>
  <si>
    <t>WIDTH</t>
  </si>
  <si>
    <t>LARGEUR</t>
  </si>
  <si>
    <t>THICKNESS</t>
  </si>
  <si>
    <t>ÉPAISSEUR</t>
  </si>
  <si>
    <t>TOTAL LENGTH</t>
  </si>
  <si>
    <t>LONGUEUR TOTALE</t>
  </si>
  <si>
    <t>TOTAL AREA</t>
  </si>
  <si>
    <t>SURFACE TOTALE</t>
  </si>
  <si>
    <t>PLIN</t>
  </si>
  <si>
    <t>PI2</t>
  </si>
  <si>
    <t>INCH</t>
  </si>
  <si>
    <t>POUCE</t>
  </si>
  <si>
    <t>LONGUEUR</t>
  </si>
  <si>
    <t>CRATE #</t>
  </si>
  <si>
    <t>Site</t>
  </si>
  <si>
    <t xml:space="preserve">   Duty                         Brokerage</t>
  </si>
  <si>
    <t>T: (418) 323-2455 F: (418) 323-2123</t>
  </si>
  <si>
    <t>GOODS QUALIFY FOR USMCA</t>
  </si>
  <si>
    <t>123 Rue Principale
Montréal, QC H1A 1A1
Canada</t>
  </si>
  <si>
    <t>Construction Exemplaire Inc.</t>
  </si>
  <si>
    <t/>
  </si>
  <si>
    <t>US</t>
  </si>
  <si>
    <t>Pierre Excemplaire</t>
  </si>
  <si>
    <t>+1 (238) 739-8989</t>
  </si>
  <si>
    <t>Transport Granite DRC</t>
  </si>
  <si>
    <t>BL25-0002</t>
  </si>
  <si>
    <t>essai25</t>
  </si>
  <si>
    <t>CAD</t>
  </si>
  <si>
    <t>en</t>
  </si>
  <si>
    <t>Entry</t>
  </si>
  <si>
    <t>A.N. DERINGER INC.</t>
  </si>
  <si>
    <t>-</t>
  </si>
  <si>
    <t>GRANITE DRC RAP</t>
  </si>
  <si>
    <t>475 Avenue Delisle</t>
  </si>
  <si>
    <t>Rivière-à-Pierre</t>
  </si>
  <si>
    <t>G0A3A0</t>
  </si>
  <si>
    <t>P#06 / null</t>
  </si>
  <si>
    <t>??</t>
  </si>
  <si>
    <t>P#06</t>
  </si>
  <si>
    <t>LL1</t>
  </si>
  <si>
    <t>DRC25-0006-C1R0</t>
  </si>
  <si>
    <t>006-1</t>
  </si>
  <si>
    <t>Caledonia</t>
  </si>
  <si>
    <t>marche</t>
  </si>
  <si>
    <t>/ ea</t>
  </si>
  <si>
    <t>LL2</t>
  </si>
  <si>
    <t>006-2</t>
  </si>
  <si>
    <t>personne</t>
  </si>
  <si>
    <t>LL3</t>
  </si>
  <si>
    <t>006-3</t>
  </si>
  <si>
    <t>etape</t>
  </si>
  <si>
    <t>LL4</t>
  </si>
  <si>
    <t>006-4</t>
  </si>
  <si>
    <t>cash</t>
  </si>
  <si>
    <t>LL5</t>
  </si>
  <si>
    <t>006-5</t>
  </si>
  <si>
    <t>toto</t>
  </si>
  <si>
    <t>P#02 / null</t>
  </si>
  <si>
    <t>P#02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</si>
</sst>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2">
    <numFmt numFmtId="7" formatCode="&quot;$&quot;#,##0.00_);\(&quot;$&quot;#,##0.00\)"/>
    <numFmt numFmtId="8" formatCode="&quot;$&quot;#,##0.00_);[Red]\(&quot;$&quot;#,##0.00\)"/>
    <numFmt numFmtId="44" formatCode="_(&quot;$&quot;* #,##0.00_);_(&quot;$&quot;* \(#,##0.00\);_(&quot;$&quot;* &quot;-&quot;??_);_(@_)"/>
    <numFmt numFmtId="164" formatCode="_ * #,##0.00_)\ _$_ ;_ * \(#,##0.00\)\ _$_ ;_ * &quot;-&quot;??_)\ _$_ ;_ @_ "/>
    <numFmt numFmtId="165" formatCode="#,##0.00&quot; $&quot;;[Red]\-#,##0.00&quot; $&quot;"/>
    <numFmt numFmtId="166" formatCode="#,##0.00[$€];[Red]\-#,##0.00[$€]"/>
    <numFmt numFmtId="167" formatCode="0.0"/>
    <numFmt numFmtId="168" formatCode="#,##0.000[$€];[Red]\-#,##0.000[$€]"/>
    <numFmt numFmtId="169" formatCode="0&quot; &quot;##/##&quot; ''&quot;"/>
    <numFmt numFmtId="170" formatCode="_ * #,##0_)\ &quot;$&quot;_ ;_ * \(#,##0\)\ &quot;$&quot;_ ;_ * &quot;-&quot;??_)\ &quot;$&quot;_ ;_ @_ "/>
    <numFmt numFmtId="171" formatCode="_ * #,##0.0_)\ &quot;$&quot;_ ;_ * \(#,##0.0\)\ &quot;$&quot;_ ;_ * &quot;-&quot;??_)\ &quot;$&quot;_ ;_ @_ "/>
    <numFmt numFmtId="172" formatCode="#,##0.0_);[Red]\(#,##0.0\)"/>
    <numFmt numFmtId="173" formatCode="#,##0&quot; lbs&quot;"/>
    <numFmt numFmtId="174" formatCode="#,##0.00&quot; $&quot;"/>
    <numFmt numFmtId="175" formatCode="#,##0.00&quot; US$&quot;"/>
    <numFmt numFmtId="176" formatCode="#&quot; &quot;##/##&quot; ''&quot;"/>
    <numFmt numFmtId="177" formatCode="#,##0.00\ &quot;$&quot;"/>
    <numFmt numFmtId="178" formatCode="#,##0.00&quot; M3&quot;"/>
    <numFmt numFmtId="179" formatCode="d/mmm/yy"/>
    <numFmt numFmtId="180" formatCode="#,##0.0&quot; SF&quot;"/>
    <numFmt numFmtId="181" formatCode="0.0&quot; LF&quot;"/>
    <numFmt numFmtId="182" formatCode="#,##0.0&quot; LF&quot;"/>
    <numFmt numFmtId="183" formatCode="d/mmm"/>
    <numFmt numFmtId="184" formatCode="_ * #,##0_)\ _$_ ;_ * \(#,##0\)\ _$_ ;_ * &quot;-&quot;??_)\ _$_ ;_ @_ "/>
    <numFmt numFmtId="185" formatCode="#,##0&quot; kg&quot;"/>
    <numFmt numFmtId="186" formatCode="#,##0&quot; Lbs&quot;"/>
    <numFmt numFmtId="187" formatCode="#,##0&quot;  Lbs&quot;"/>
    <numFmt numFmtId="188" formatCode="0&quot; LF&quot;"/>
    <numFmt numFmtId="189" formatCode="0&quot; CF&quot;"/>
    <numFmt numFmtId="190" formatCode="0&quot; SF&quot;"/>
    <numFmt numFmtId="191" formatCode="#&quot; Lbs/pi lin&quot;"/>
    <numFmt numFmtId="192" formatCode="0&quot; mm&quot;"/>
    <numFmt numFmtId="193" formatCode="0.0&quot; SF&quot;"/>
    <numFmt numFmtId="194" formatCode="0.0&quot; CF&quot;"/>
    <numFmt numFmtId="195" formatCode="0&quot; &quot;&quot;Lbs&quot;"/>
    <numFmt numFmtId="196" formatCode="mmmm\ dd&quot;th&quot;\,\ yyyy"/>
    <numFmt numFmtId="197" formatCode="0.0&quot; plin&quot;"/>
    <numFmt numFmtId="198" formatCode="#,##0.00&quot; $&quot;;[Red]\-#,##0.00&quot; $&quot;;0&quot; $&quot;"/>
    <numFmt numFmtId="199" formatCode="[$-F800]dddd\,\ mmmm\ dd\,\ yyyy"/>
    <numFmt numFmtId="200" formatCode="0.000"/>
    <numFmt numFmtId="201" formatCode="dd/mmmm/yyyy"/>
    <numFmt numFmtId="202" formatCode="[$-1009]mmmm\ d\,\ yyyy;@"/>
  </numFmts>
  <fonts count="65">
    <font>
      <sz val="10"/>
      <name val="Geneva"/>
    </font>
    <font>
      <b/>
      <sz val="10"/>
      <name val="Geneva"/>
      <family val="2"/>
    </font>
    <font>
      <sz val="10"/>
      <name val="Geneva"/>
      <family val="2"/>
    </font>
    <font>
      <b/>
      <sz val="12"/>
      <name val="Geneva"/>
      <family val="2"/>
    </font>
    <font>
      <sz val="12"/>
      <name val="Geneva"/>
      <family val="2"/>
    </font>
    <font>
      <sz val="9"/>
      <name val="Geneva"/>
      <family val="2"/>
    </font>
    <font>
      <sz val="11"/>
      <name val="Geneva"/>
      <family val="2"/>
    </font>
    <font>
      <sz val="12"/>
      <name val="Arial"/>
      <family val="2"/>
    </font>
    <font>
      <b/>
      <sz val="11"/>
      <name val="Geneva"/>
      <family val="2"/>
    </font>
    <font>
      <sz val="10"/>
      <name val="Arial"/>
      <family val="2"/>
    </font>
    <font>
      <sz val="7"/>
      <name val="Arial"/>
      <family val="2"/>
    </font>
    <font>
      <b/>
      <sz val="10"/>
      <name val="Arial"/>
      <family val="2"/>
    </font>
    <font>
      <sz val="10"/>
      <name val="Arial"/>
      <family val="2"/>
    </font>
    <font>
      <b/>
      <sz val="7"/>
      <name val="Arial"/>
      <family val="2"/>
    </font>
    <font>
      <b/>
      <sz val="14"/>
      <color indexed="10"/>
      <name val="Geneva"/>
      <family val="2"/>
    </font>
    <font>
      <sz val="8"/>
      <name val="Arial"/>
      <family val="2"/>
    </font>
    <font>
      <sz val="7"/>
      <name val="Geneva"/>
      <family val="2"/>
    </font>
    <font>
      <sz val="11"/>
      <name val="Arial"/>
      <family val="2"/>
    </font>
    <font>
      <b/>
      <sz val="10"/>
      <name val="Arial"/>
      <family val="2"/>
    </font>
    <font>
      <b/>
      <sz val="9"/>
      <name val="Arial"/>
      <family val="2"/>
    </font>
    <font>
      <sz val="8"/>
      <name val="Geneva"/>
      <family val="2"/>
    </font>
    <font>
      <sz val="8"/>
      <name val="Arial"/>
      <family val="2"/>
    </font>
    <font>
      <sz val="9"/>
      <name val="Arial"/>
      <family val="2"/>
    </font>
    <font>
      <b/>
      <sz val="12"/>
      <color indexed="10"/>
      <name val="Geneva"/>
      <family val="2"/>
    </font>
    <font>
      <b/>
      <sz val="11"/>
      <name val="Arial"/>
      <family val="2"/>
    </font>
    <font>
      <b/>
      <sz val="24"/>
      <name val="Geneva"/>
      <family val="2"/>
    </font>
    <font>
      <sz val="10"/>
      <name val="Geneva"/>
      <family val="2"/>
    </font>
    <font>
      <b/>
      <sz val="8"/>
      <name val="Geneva"/>
      <family val="2"/>
    </font>
    <font>
      <sz val="24"/>
      <name val="Geneva"/>
      <family val="2"/>
    </font>
    <font>
      <b/>
      <sz val="11"/>
      <color indexed="10"/>
      <name val="Geneva"/>
      <family val="2"/>
    </font>
    <font>
      <sz val="11"/>
      <color indexed="12"/>
      <name val="Geneva"/>
      <family val="2"/>
    </font>
    <font>
      <b/>
      <sz val="10"/>
      <color indexed="10"/>
      <name val="Arial"/>
      <family val="2"/>
    </font>
    <font>
      <sz val="10"/>
      <color indexed="10"/>
      <name val="Geneva"/>
      <family val="2"/>
    </font>
    <font>
      <b/>
      <sz val="10"/>
      <color indexed="12"/>
      <name val="Arial"/>
      <family val="2"/>
    </font>
    <font>
      <b/>
      <sz val="10"/>
      <color indexed="10"/>
      <name val="Arial"/>
      <family val="2"/>
    </font>
    <font>
      <b/>
      <sz val="11"/>
      <color indexed="12"/>
      <name val="Arial"/>
      <family val="2"/>
    </font>
    <font>
      <b/>
      <sz val="10"/>
      <color indexed="12"/>
      <name val="Geneva"/>
      <family val="2"/>
    </font>
    <font>
      <b/>
      <sz val="12"/>
      <color indexed="12"/>
      <name val="Geneva"/>
      <family val="2"/>
    </font>
    <font>
      <sz val="12"/>
      <color indexed="12"/>
      <name val="Geneva"/>
      <family val="2"/>
    </font>
    <font>
      <b/>
      <sz val="7"/>
      <color indexed="12"/>
      <name val="Arial"/>
      <family val="2"/>
    </font>
    <font>
      <b/>
      <sz val="16"/>
      <color indexed="10"/>
      <name val="Arial"/>
      <family val="2"/>
    </font>
    <font>
      <b/>
      <sz val="12"/>
      <color indexed="10"/>
      <name val="Arial"/>
      <family val="2"/>
    </font>
    <font>
      <sz val="10"/>
      <color indexed="48"/>
      <name val="Geneva"/>
      <family val="2"/>
    </font>
    <font>
      <sz val="18"/>
      <name val="Arial"/>
      <family val="2"/>
    </font>
    <font>
      <b/>
      <sz val="10"/>
      <color indexed="48"/>
      <name val="Geneva"/>
      <family val="2"/>
    </font>
    <font>
      <b/>
      <sz val="10"/>
      <color indexed="10"/>
      <name val="Geneva"/>
      <family val="2"/>
    </font>
    <font>
      <sz val="10"/>
      <color indexed="12"/>
      <name val="Geneva"/>
      <family val="2"/>
    </font>
    <font>
      <sz val="10"/>
      <color indexed="9"/>
      <name val="Geneva"/>
      <family val="2"/>
    </font>
    <font>
      <sz val="11"/>
      <color indexed="10"/>
      <name val="Geneva"/>
      <family val="2"/>
    </font>
    <font>
      <sz val="12"/>
      <color indexed="10"/>
      <name val="Geneva"/>
      <family val="2"/>
    </font>
    <font>
      <b/>
      <sz val="8"/>
      <color indexed="9"/>
      <name val="Geneva"/>
      <family val="2"/>
    </font>
    <font>
      <b/>
      <sz val="8"/>
      <name val="Arial"/>
      <family val="2"/>
    </font>
    <font>
      <b/>
      <sz val="9"/>
      <color indexed="81"/>
      <name val="Tahoma"/>
      <family val="2"/>
    </font>
    <font>
      <sz val="9"/>
      <color indexed="81"/>
      <name val="Tahoma"/>
      <family val="2"/>
    </font>
    <font>
      <b/>
      <sz val="18"/>
      <name val="Geneva"/>
      <family val="2"/>
    </font>
    <font>
      <b/>
      <sz val="9"/>
      <name val="Geneva"/>
      <family val="2"/>
    </font>
    <font>
      <b/>
      <sz val="10"/>
      <color theme="1"/>
      <name val="Arial"/>
      <family val="2"/>
    </font>
    <font>
      <sz val="9"/>
      <color theme="1"/>
      <name val="Arial"/>
      <family val="2"/>
    </font>
    <font>
      <b/>
      <sz val="12"/>
      <color rgb="FFFF0000"/>
      <name val="Arial"/>
      <family val="2"/>
    </font>
    <font>
      <sz val="14"/>
      <name val="Geneva"/>
      <family val="2"/>
    </font>
    <font>
      <b/>
      <i/>
      <sz val="14"/>
      <name val="Geneva"/>
      <family val="2"/>
    </font>
    <font>
      <i/>
      <sz val="14"/>
      <color indexed="10"/>
      <name val="Geneva"/>
      <family val="2"/>
    </font>
    <font>
      <b/>
      <sz val="14"/>
      <name val="Geneva"/>
      <family val="2"/>
    </font>
    <font>
      <sz val="14"/>
      <name val="Arial"/>
      <family val="2"/>
    </font>
    <font>
      <b/>
      <sz val="13"/>
      <color indexed="10"/>
      <name val="Geneva"/>
      <family val="2"/>
    </font>
  </fonts>
  <fills count="16">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4"/>
        <bgColor indexed="64"/>
      </patternFill>
    </fill>
    <fill>
      <patternFill patternType="solid">
        <fgColor indexed="9"/>
        <bgColor indexed="64"/>
      </patternFill>
    </fill>
    <fill>
      <patternFill patternType="solid">
        <fgColor indexed="46"/>
        <bgColor indexed="64"/>
      </patternFill>
    </fill>
    <fill>
      <patternFill patternType="solid">
        <fgColor indexed="41"/>
        <bgColor indexed="64"/>
      </patternFill>
    </fill>
    <fill>
      <patternFill patternType="solid">
        <fgColor indexed="47"/>
        <bgColor indexed="64"/>
      </patternFill>
    </fill>
    <fill>
      <patternFill patternType="solid">
        <fgColor indexed="45"/>
        <bgColor indexed="64"/>
      </patternFill>
    </fill>
    <fill>
      <patternFill patternType="solid">
        <fgColor indexed="22"/>
        <bgColor indexed="64"/>
      </patternFill>
    </fill>
    <fill>
      <patternFill patternType="solid">
        <fgColor indexed="40"/>
        <bgColor indexed="64"/>
      </patternFill>
    </fill>
    <fill>
      <patternFill patternType="solid">
        <fgColor indexed="63"/>
        <bgColor indexed="64"/>
      </patternFill>
    </fill>
    <fill>
      <patternFill patternType="solid">
        <fgColor indexed="34"/>
        <bgColor indexed="64"/>
      </patternFill>
    </fill>
    <fill>
      <patternFill patternType="solid">
        <fgColor indexed="23"/>
        <bgColor indexed="64"/>
      </patternFill>
    </fill>
    <fill>
      <patternFill patternType="solid">
        <fgColor theme="4" tint="0.79998168889431442"/>
        <bgColor indexed="64"/>
      </patternFill>
    </fill>
  </fills>
  <borders count="60">
    <border>
      <left/>
      <right/>
      <top/>
      <bottom/>
      <diagonal/>
    </border>
    <border>
      <left style="dotted">
        <color indexed="57"/>
      </left>
      <right style="dotted">
        <color indexed="57"/>
      </right>
      <top style="double">
        <color indexed="57"/>
      </top>
      <bottom style="double">
        <color indexed="57"/>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double">
        <color indexed="48"/>
      </top>
      <bottom style="double">
        <color indexed="48"/>
      </bottom>
      <diagonal/>
    </border>
    <border>
      <left style="dotted">
        <color indexed="57"/>
      </left>
      <right style="dotted">
        <color indexed="57"/>
      </right>
      <top/>
      <bottom style="double">
        <color indexed="57"/>
      </bottom>
      <diagonal/>
    </border>
    <border>
      <left style="dotted">
        <color indexed="57"/>
      </left>
      <right/>
      <top/>
      <bottom style="double">
        <color indexed="57"/>
      </bottom>
      <diagonal/>
    </border>
    <border>
      <left style="thin">
        <color indexed="64"/>
      </left>
      <right style="thin">
        <color indexed="64"/>
      </right>
      <top style="thin">
        <color indexed="64"/>
      </top>
      <bottom style="double">
        <color indexed="57"/>
      </bottom>
      <diagonal/>
    </border>
    <border>
      <left style="dotted">
        <color indexed="57"/>
      </left>
      <right/>
      <top style="double">
        <color indexed="57"/>
      </top>
      <bottom style="double">
        <color indexed="57"/>
      </bottom>
      <diagonal/>
    </border>
    <border>
      <left style="double">
        <color indexed="64"/>
      </left>
      <right style="dotted">
        <color indexed="57"/>
      </right>
      <top style="double">
        <color indexed="57"/>
      </top>
      <bottom style="double">
        <color indexed="57"/>
      </bottom>
      <diagonal/>
    </border>
    <border>
      <left/>
      <right/>
      <top style="medium">
        <color indexed="64"/>
      </top>
      <bottom style="medium">
        <color indexed="64"/>
      </bottom>
      <diagonal/>
    </border>
    <border>
      <left/>
      <right style="dotted">
        <color indexed="57"/>
      </right>
      <top style="double">
        <color indexed="57"/>
      </top>
      <bottom style="double">
        <color indexed="57"/>
      </bottom>
      <diagonal/>
    </border>
    <border>
      <left style="medium">
        <color indexed="57"/>
      </left>
      <right style="medium">
        <color indexed="57"/>
      </right>
      <top style="double">
        <color indexed="57"/>
      </top>
      <bottom style="double">
        <color indexed="57"/>
      </bottom>
      <diagonal/>
    </border>
    <border>
      <left/>
      <right style="thin">
        <color indexed="64"/>
      </right>
      <top style="medium">
        <color indexed="64"/>
      </top>
      <bottom style="medium">
        <color indexed="64"/>
      </bottom>
      <diagonal/>
    </border>
    <border>
      <left/>
      <right/>
      <top style="double">
        <color indexed="57"/>
      </top>
      <bottom style="double">
        <color indexed="57"/>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57"/>
      </left>
      <right style="double">
        <color indexed="57"/>
      </right>
      <top style="double">
        <color indexed="57"/>
      </top>
      <bottom style="double">
        <color indexed="57"/>
      </bottom>
      <diagonal/>
    </border>
    <border>
      <left style="dotted">
        <color indexed="48"/>
      </left>
      <right style="dotted">
        <color indexed="48"/>
      </right>
      <top style="double">
        <color indexed="48"/>
      </top>
      <bottom style="double">
        <color indexed="48"/>
      </bottom>
      <diagonal/>
    </border>
    <border>
      <left style="dotted">
        <color indexed="40"/>
      </left>
      <right style="dotted">
        <color indexed="40"/>
      </right>
      <top style="double">
        <color indexed="57"/>
      </top>
      <bottom style="double">
        <color indexed="57"/>
      </bottom>
      <diagonal/>
    </border>
    <border>
      <left style="dotted">
        <color indexed="12"/>
      </left>
      <right style="dotted">
        <color indexed="48"/>
      </right>
      <top style="double">
        <color indexed="48"/>
      </top>
      <bottom style="double">
        <color indexed="48"/>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diagonal/>
    </border>
    <border>
      <left style="medium">
        <color indexed="64"/>
      </left>
      <right style="medium">
        <color indexed="9"/>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9"/>
      </right>
      <top style="thin">
        <color indexed="9"/>
      </top>
      <bottom/>
      <diagonal/>
    </border>
    <border>
      <left style="medium">
        <color indexed="64"/>
      </left>
      <right style="medium">
        <color indexed="9"/>
      </right>
      <top/>
      <bottom/>
      <diagonal/>
    </border>
    <border>
      <left style="medium">
        <color indexed="64"/>
      </left>
      <right style="medium">
        <color indexed="9"/>
      </right>
      <top/>
      <bottom style="medium">
        <color indexed="9"/>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9"/>
      </right>
      <top/>
      <bottom style="medium">
        <color indexed="64"/>
      </bottom>
      <diagonal/>
    </border>
    <border>
      <left/>
      <right style="thin">
        <color indexed="64"/>
      </right>
      <top style="thin">
        <color indexed="64"/>
      </top>
      <bottom style="medium">
        <color indexed="64"/>
      </bottom>
      <diagonal/>
    </border>
    <border>
      <left/>
      <right style="medium">
        <color indexed="64"/>
      </right>
      <top/>
      <bottom style="medium">
        <color indexed="64"/>
      </bottom>
      <diagonal/>
    </border>
    <border>
      <left style="medium">
        <color indexed="9"/>
      </left>
      <right style="thin">
        <color indexed="64"/>
      </right>
      <top style="thin">
        <color indexed="9"/>
      </top>
      <bottom/>
      <diagonal/>
    </border>
    <border>
      <left style="medium">
        <color indexed="9"/>
      </left>
      <right style="thin">
        <color indexed="64"/>
      </right>
      <top/>
      <bottom style="medium">
        <color indexed="9"/>
      </bottom>
      <diagonal/>
    </border>
    <border>
      <left style="medium">
        <color indexed="9"/>
      </left>
      <right style="thin">
        <color indexed="64"/>
      </right>
      <top/>
      <bottom/>
      <diagonal/>
    </border>
    <border>
      <left style="medium">
        <color indexed="64"/>
      </left>
      <right style="medium">
        <color indexed="64"/>
      </right>
      <top style="medium">
        <color indexed="64"/>
      </top>
      <bottom style="medium">
        <color indexed="64"/>
      </bottom>
      <diagonal/>
    </border>
  </borders>
  <cellStyleXfs count="14">
    <xf numFmtId="0" fontId="0" fillId="0" borderId="0"/>
    <xf numFmtId="166" fontId="2" fillId="0" borderId="0" applyFont="0" applyFill="0" applyBorder="0" applyAlignment="0" applyProtection="0"/>
    <xf numFmtId="40" fontId="2" fillId="0" borderId="0" applyFont="0" applyFill="0" applyBorder="0" applyAlignment="0" applyProtection="0"/>
    <xf numFmtId="164" fontId="9" fillId="0" borderId="0" applyFont="0" applyFill="0" applyBorder="0" applyAlignment="0" applyProtection="0"/>
    <xf numFmtId="165" fontId="2"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0" fontId="2" fillId="0" borderId="0"/>
    <xf numFmtId="0" fontId="9" fillId="0" borderId="0"/>
    <xf numFmtId="0" fontId="2" fillId="0" borderId="0"/>
    <xf numFmtId="0" fontId="2" fillId="0" borderId="0"/>
    <xf numFmtId="0" fontId="9" fillId="0" borderId="0"/>
    <xf numFmtId="0" fontId="9" fillId="0" borderId="0"/>
    <xf numFmtId="9" fontId="2" fillId="0" borderId="0" applyFont="0" applyFill="0" applyBorder="0" applyAlignment="0" applyProtection="0"/>
  </cellStyleXfs>
  <cellXfs count="484">
    <xf numFmtId="0" fontId="0" fillId="0" borderId="0" xfId="0"/>
    <xf numFmtId="0" fontId="3" fillId="0" borderId="1" xfId="0" applyFont="1" applyBorder="1" applyAlignment="1">
      <alignment horizontal="center" wrapText="1"/>
    </xf>
    <xf numFmtId="172" fontId="11" fillId="0" borderId="0" xfId="2" applyNumberFormat="1" applyFont="1"/>
    <xf numFmtId="0" fontId="11" fillId="0" borderId="0" xfId="2" applyNumberFormat="1" applyFont="1"/>
    <xf numFmtId="0" fontId="11" fillId="0" borderId="0" xfId="12" applyFont="1"/>
    <xf numFmtId="0" fontId="3" fillId="0" borderId="0" xfId="2" applyNumberFormat="1" applyFont="1" applyAlignment="1"/>
    <xf numFmtId="0" fontId="3" fillId="0" borderId="0" xfId="0" applyFont="1"/>
    <xf numFmtId="2" fontId="2" fillId="2" borderId="2" xfId="0" applyNumberFormat="1" applyFont="1" applyFill="1" applyBorder="1" applyAlignment="1">
      <alignment horizontal="center"/>
    </xf>
    <xf numFmtId="0" fontId="2" fillId="2" borderId="2" xfId="0" applyFont="1" applyFill="1" applyBorder="1" applyAlignment="1">
      <alignment horizontal="center"/>
    </xf>
    <xf numFmtId="1" fontId="2" fillId="2" borderId="2" xfId="0" applyNumberFormat="1" applyFont="1" applyFill="1" applyBorder="1" applyAlignment="1">
      <alignment horizontal="center"/>
    </xf>
    <xf numFmtId="1" fontId="2" fillId="2" borderId="3" xfId="0" applyNumberFormat="1" applyFont="1" applyFill="1" applyBorder="1" applyAlignment="1">
      <alignment horizontal="center"/>
    </xf>
    <xf numFmtId="0" fontId="2" fillId="2" borderId="3" xfId="0" applyFont="1" applyFill="1" applyBorder="1" applyAlignment="1">
      <alignment horizontal="center"/>
    </xf>
    <xf numFmtId="0" fontId="2" fillId="0" borderId="0" xfId="0" applyFont="1" applyAlignment="1">
      <alignment horizontal="center"/>
    </xf>
    <xf numFmtId="0" fontId="2" fillId="3" borderId="3" xfId="0" applyFont="1" applyFill="1" applyBorder="1" applyAlignment="1">
      <alignment horizontal="center"/>
    </xf>
    <xf numFmtId="1" fontId="2" fillId="3" borderId="3" xfId="0" applyNumberFormat="1" applyFont="1" applyFill="1" applyBorder="1" applyAlignment="1">
      <alignment horizontal="center"/>
    </xf>
    <xf numFmtId="0" fontId="1" fillId="0" borderId="0" xfId="0" applyFont="1"/>
    <xf numFmtId="0" fontId="14" fillId="0" borderId="0" xfId="0" applyFont="1"/>
    <xf numFmtId="0" fontId="3" fillId="0" borderId="0" xfId="0" applyFont="1" applyAlignment="1">
      <alignment wrapText="1"/>
    </xf>
    <xf numFmtId="0" fontId="3" fillId="0" borderId="0" xfId="0" applyFont="1" applyAlignment="1">
      <alignment horizontal="right"/>
    </xf>
    <xf numFmtId="1" fontId="3" fillId="0" borderId="0" xfId="0" applyNumberFormat="1" applyFont="1"/>
    <xf numFmtId="0" fontId="6" fillId="0" borderId="1" xfId="0" applyFont="1" applyBorder="1" applyAlignment="1">
      <alignment horizontal="center" wrapText="1"/>
    </xf>
    <xf numFmtId="0" fontId="3" fillId="0" borderId="4" xfId="0" applyFont="1" applyBorder="1"/>
    <xf numFmtId="0" fontId="3" fillId="0" borderId="5" xfId="0" applyFont="1" applyBorder="1"/>
    <xf numFmtId="49" fontId="3" fillId="0" borderId="6" xfId="0" applyNumberFormat="1" applyFont="1" applyBorder="1"/>
    <xf numFmtId="0" fontId="3" fillId="0" borderId="7" xfId="0" applyFont="1" applyBorder="1"/>
    <xf numFmtId="0" fontId="3" fillId="0" borderId="7" xfId="0" applyFont="1" applyBorder="1" applyAlignment="1">
      <alignment horizontal="right"/>
    </xf>
    <xf numFmtId="49" fontId="3" fillId="0" borderId="8" xfId="0" applyNumberFormat="1" applyFont="1" applyBorder="1"/>
    <xf numFmtId="49" fontId="3" fillId="0" borderId="9" xfId="0" applyNumberFormat="1" applyFont="1" applyBorder="1"/>
    <xf numFmtId="0" fontId="3" fillId="0" borderId="10" xfId="0" applyFont="1" applyBorder="1"/>
    <xf numFmtId="0" fontId="3" fillId="0" borderId="10" xfId="0" applyFont="1" applyBorder="1" applyProtection="1">
      <protection locked="0"/>
    </xf>
    <xf numFmtId="0" fontId="3" fillId="0" borderId="10" xfId="0" applyFont="1" applyBorder="1" applyAlignment="1">
      <alignment horizontal="right"/>
    </xf>
    <xf numFmtId="168" fontId="3" fillId="0" borderId="11" xfId="1" applyNumberFormat="1" applyFont="1" applyBorder="1" applyAlignment="1"/>
    <xf numFmtId="0" fontId="2" fillId="0" borderId="0" xfId="0" applyFont="1"/>
    <xf numFmtId="38" fontId="2" fillId="0" borderId="0" xfId="2" applyNumberFormat="1" applyFont="1" applyAlignment="1"/>
    <xf numFmtId="172" fontId="4" fillId="2" borderId="3" xfId="2" applyNumberFormat="1" applyFont="1" applyFill="1" applyBorder="1" applyAlignment="1" applyProtection="1">
      <alignment wrapText="1"/>
    </xf>
    <xf numFmtId="0" fontId="21" fillId="0" borderId="0" xfId="0" applyFont="1" applyAlignment="1">
      <alignment horizontal="center" vertical="center" wrapText="1"/>
    </xf>
    <xf numFmtId="44" fontId="21" fillId="0" borderId="0" xfId="0" applyNumberFormat="1" applyFont="1" applyAlignment="1">
      <alignment horizontal="center" vertical="center" wrapText="1"/>
    </xf>
    <xf numFmtId="171" fontId="22" fillId="0" borderId="0" xfId="0" applyNumberFormat="1" applyFont="1" applyAlignment="1">
      <alignment horizontal="center" vertical="center" wrapText="1"/>
    </xf>
    <xf numFmtId="0" fontId="0" fillId="0" borderId="0" xfId="0" applyAlignment="1">
      <alignment horizontal="center" vertical="center" wrapText="1"/>
    </xf>
    <xf numFmtId="1" fontId="20" fillId="3" borderId="3" xfId="0" applyNumberFormat="1" applyFont="1" applyFill="1" applyBorder="1" applyAlignment="1">
      <alignment horizontal="center"/>
    </xf>
    <xf numFmtId="0" fontId="20" fillId="3" borderId="3" xfId="0" applyFont="1" applyFill="1" applyBorder="1" applyAlignment="1">
      <alignment horizontal="center"/>
    </xf>
    <xf numFmtId="38" fontId="22" fillId="0" borderId="13" xfId="2" applyNumberFormat="1" applyFont="1" applyFill="1" applyBorder="1" applyAlignment="1">
      <alignment horizontal="right" wrapText="1"/>
    </xf>
    <xf numFmtId="169" fontId="5" fillId="0" borderId="0" xfId="0" applyNumberFormat="1" applyFont="1"/>
    <xf numFmtId="0" fontId="23" fillId="0" borderId="0" xfId="0" applyFont="1"/>
    <xf numFmtId="0" fontId="20" fillId="0" borderId="0" xfId="0" applyFont="1" applyAlignment="1">
      <alignment horizontal="right"/>
    </xf>
    <xf numFmtId="165" fontId="4" fillId="0" borderId="14" xfId="4" applyFont="1" applyFill="1" applyBorder="1" applyAlignment="1" applyProtection="1">
      <alignment horizontal="center" wrapText="1"/>
      <protection locked="0"/>
    </xf>
    <xf numFmtId="165" fontId="4" fillId="0" borderId="15" xfId="4" quotePrefix="1" applyFont="1" applyFill="1" applyBorder="1" applyAlignment="1" applyProtection="1">
      <alignment horizontal="right"/>
      <protection locked="0"/>
    </xf>
    <xf numFmtId="0" fontId="1" fillId="3" borderId="12" xfId="0" applyFont="1" applyFill="1" applyBorder="1"/>
    <xf numFmtId="0" fontId="2" fillId="3" borderId="12" xfId="0" applyFont="1" applyFill="1" applyBorder="1" applyAlignment="1">
      <alignment horizontal="center" wrapText="1"/>
    </xf>
    <xf numFmtId="0" fontId="1" fillId="3" borderId="12" xfId="0" applyFont="1" applyFill="1" applyBorder="1" applyAlignment="1">
      <alignment horizontal="right"/>
    </xf>
    <xf numFmtId="0" fontId="2" fillId="3" borderId="12" xfId="0" applyFont="1" applyFill="1" applyBorder="1" applyAlignment="1">
      <alignment horizontal="center"/>
    </xf>
    <xf numFmtId="1" fontId="2" fillId="3" borderId="12" xfId="0" applyNumberFormat="1" applyFont="1" applyFill="1" applyBorder="1" applyAlignment="1">
      <alignment horizontal="center"/>
    </xf>
    <xf numFmtId="1" fontId="2" fillId="3" borderId="16" xfId="0" applyNumberFormat="1" applyFont="1" applyFill="1" applyBorder="1" applyAlignment="1">
      <alignment horizontal="center"/>
    </xf>
    <xf numFmtId="174" fontId="24" fillId="0" borderId="0" xfId="11" applyNumberFormat="1" applyFont="1" applyAlignment="1">
      <alignment horizontal="right" wrapText="1"/>
    </xf>
    <xf numFmtId="0" fontId="8" fillId="0" borderId="7" xfId="0" applyFont="1" applyBorder="1" applyProtection="1">
      <protection locked="0"/>
    </xf>
    <xf numFmtId="0" fontId="8" fillId="0" borderId="0" xfId="0" applyFont="1" applyProtection="1">
      <protection locked="0"/>
    </xf>
    <xf numFmtId="177" fontId="1" fillId="0" borderId="0" xfId="10" applyNumberFormat="1" applyFont="1" applyAlignment="1">
      <alignment horizontal="center"/>
    </xf>
    <xf numFmtId="167" fontId="17" fillId="0" borderId="1" xfId="0" applyNumberFormat="1" applyFont="1" applyBorder="1" applyAlignment="1">
      <alignment horizontal="center" wrapText="1"/>
    </xf>
    <xf numFmtId="167" fontId="24" fillId="0" borderId="0" xfId="0" applyNumberFormat="1" applyFont="1" applyAlignment="1">
      <alignment horizontal="center" wrapText="1"/>
    </xf>
    <xf numFmtId="0" fontId="8" fillId="0" borderId="4" xfId="10" applyFont="1" applyBorder="1"/>
    <xf numFmtId="0" fontId="8" fillId="0" borderId="0" xfId="0" applyFont="1"/>
    <xf numFmtId="177" fontId="8" fillId="0" borderId="5" xfId="10" applyNumberFormat="1" applyFont="1" applyBorder="1" applyAlignment="1">
      <alignment horizontal="center"/>
    </xf>
    <xf numFmtId="177" fontId="8" fillId="0" borderId="0" xfId="10" applyNumberFormat="1" applyFont="1" applyAlignment="1">
      <alignment horizontal="center"/>
    </xf>
    <xf numFmtId="0" fontId="8" fillId="0" borderId="5" xfId="0" applyFont="1" applyBorder="1"/>
    <xf numFmtId="173" fontId="6" fillId="0" borderId="17" xfId="4" applyNumberFormat="1" applyFont="1" applyFill="1" applyBorder="1" applyAlignment="1" applyProtection="1">
      <alignment horizontal="center"/>
      <protection locked="0"/>
    </xf>
    <xf numFmtId="165" fontId="6" fillId="0" borderId="17" xfId="4" quotePrefix="1" applyFont="1" applyFill="1" applyBorder="1" applyAlignment="1" applyProtection="1">
      <alignment horizontal="right"/>
      <protection locked="0"/>
    </xf>
    <xf numFmtId="0" fontId="11" fillId="0" borderId="0" xfId="12" applyFont="1" applyAlignment="1">
      <alignment horizontal="center"/>
    </xf>
    <xf numFmtId="180" fontId="17" fillId="0" borderId="1" xfId="0" applyNumberFormat="1" applyFont="1" applyBorder="1" applyAlignment="1">
      <alignment horizontal="center" wrapText="1"/>
    </xf>
    <xf numFmtId="49" fontId="26" fillId="0" borderId="1" xfId="0" applyNumberFormat="1" applyFont="1" applyBorder="1" applyAlignment="1">
      <alignment horizontal="center" wrapText="1"/>
    </xf>
    <xf numFmtId="0" fontId="11" fillId="0" borderId="19" xfId="12" applyFont="1" applyBorder="1" applyAlignment="1">
      <alignment horizontal="left"/>
    </xf>
    <xf numFmtId="0" fontId="4" fillId="0" borderId="19" xfId="0" applyFont="1" applyBorder="1" applyAlignment="1">
      <alignment horizontal="right"/>
    </xf>
    <xf numFmtId="0" fontId="2" fillId="2" borderId="2" xfId="0" applyFont="1" applyFill="1" applyBorder="1" applyAlignment="1">
      <alignment horizontal="center" wrapText="1"/>
    </xf>
    <xf numFmtId="0" fontId="8" fillId="0" borderId="7" xfId="0" applyFont="1" applyBorder="1" applyAlignment="1" applyProtection="1">
      <alignment horizontal="right"/>
      <protection locked="0"/>
    </xf>
    <xf numFmtId="0" fontId="8" fillId="0" borderId="0" xfId="0" applyFont="1" applyAlignment="1" applyProtection="1">
      <alignment horizontal="right"/>
      <protection locked="0"/>
    </xf>
    <xf numFmtId="0" fontId="27" fillId="0" borderId="0" xfId="0" applyFont="1" applyAlignment="1">
      <alignment horizontal="right"/>
    </xf>
    <xf numFmtId="176" fontId="17" fillId="0" borderId="20" xfId="0" applyNumberFormat="1" applyFont="1" applyBorder="1" applyAlignment="1">
      <alignment horizontal="center" wrapText="1"/>
    </xf>
    <xf numFmtId="0" fontId="3" fillId="0" borderId="19" xfId="0" applyFont="1" applyBorder="1"/>
    <xf numFmtId="0" fontId="1" fillId="0" borderId="22" xfId="0" applyFont="1" applyBorder="1"/>
    <xf numFmtId="0" fontId="22" fillId="0" borderId="13" xfId="2" applyNumberFormat="1" applyFont="1" applyFill="1" applyBorder="1" applyAlignment="1">
      <alignment horizontal="right" wrapText="1"/>
    </xf>
    <xf numFmtId="49" fontId="6" fillId="0" borderId="1" xfId="0" applyNumberFormat="1" applyFont="1" applyBorder="1" applyAlignment="1">
      <alignment horizontal="center" wrapText="1"/>
    </xf>
    <xf numFmtId="1" fontId="6" fillId="0" borderId="1" xfId="0" applyNumberFormat="1" applyFont="1" applyBorder="1" applyAlignment="1">
      <alignment horizontal="center"/>
    </xf>
    <xf numFmtId="0" fontId="6" fillId="0" borderId="23" xfId="0" applyFont="1" applyBorder="1" applyAlignment="1">
      <alignment horizontal="center" wrapText="1"/>
    </xf>
    <xf numFmtId="49" fontId="6" fillId="0" borderId="23" xfId="0" applyNumberFormat="1" applyFont="1" applyBorder="1" applyAlignment="1">
      <alignment horizontal="center" wrapText="1"/>
    </xf>
    <xf numFmtId="1" fontId="6" fillId="0" borderId="23" xfId="0" applyNumberFormat="1" applyFont="1" applyBorder="1" applyAlignment="1">
      <alignment horizontal="center"/>
    </xf>
    <xf numFmtId="0" fontId="2" fillId="0" borderId="23" xfId="0" applyFont="1" applyBorder="1" applyAlignment="1">
      <alignment horizontal="center" wrapText="1"/>
    </xf>
    <xf numFmtId="176" fontId="17" fillId="0" borderId="23" xfId="0" applyNumberFormat="1" applyFont="1" applyBorder="1" applyAlignment="1">
      <alignment horizontal="center" wrapText="1"/>
    </xf>
    <xf numFmtId="180" fontId="17" fillId="0" borderId="23" xfId="0" applyNumberFormat="1" applyFont="1" applyBorder="1" applyAlignment="1">
      <alignment horizontal="center" wrapText="1"/>
    </xf>
    <xf numFmtId="178" fontId="17" fillId="0" borderId="23" xfId="0" applyNumberFormat="1" applyFont="1" applyBorder="1" applyAlignment="1">
      <alignment horizontal="center" wrapText="1"/>
    </xf>
    <xf numFmtId="173" fontId="6" fillId="0" borderId="23" xfId="4" applyNumberFormat="1" applyFont="1" applyFill="1" applyBorder="1" applyAlignment="1" applyProtection="1">
      <alignment horizontal="center"/>
      <protection locked="0"/>
    </xf>
    <xf numFmtId="165" fontId="6" fillId="0" borderId="23" xfId="4" applyFont="1" applyFill="1" applyBorder="1" applyAlignment="1" applyProtection="1">
      <alignment horizontal="center" wrapText="1"/>
      <protection locked="0"/>
    </xf>
    <xf numFmtId="165" fontId="6" fillId="0" borderId="23" xfId="4" quotePrefix="1" applyFont="1" applyFill="1" applyBorder="1" applyAlignment="1" applyProtection="1">
      <alignment horizontal="right"/>
      <protection locked="0"/>
    </xf>
    <xf numFmtId="0" fontId="1" fillId="0" borderId="0" xfId="10" applyFont="1" applyAlignment="1">
      <alignment horizontal="center"/>
    </xf>
    <xf numFmtId="170" fontId="19" fillId="0" borderId="0" xfId="11" applyNumberFormat="1" applyFont="1" applyAlignment="1">
      <alignment horizontal="right" wrapText="1"/>
    </xf>
    <xf numFmtId="165" fontId="18" fillId="0" borderId="0" xfId="4" applyFont="1" applyFill="1" applyBorder="1" applyAlignment="1">
      <alignment horizontal="right" wrapText="1"/>
    </xf>
    <xf numFmtId="170" fontId="12" fillId="0" borderId="0" xfId="11" applyNumberFormat="1" applyFont="1" applyAlignment="1">
      <alignment horizontal="right" wrapText="1"/>
    </xf>
    <xf numFmtId="0" fontId="3" fillId="0" borderId="0" xfId="0" applyFont="1" applyProtection="1">
      <protection locked="0"/>
    </xf>
    <xf numFmtId="0" fontId="1" fillId="0" borderId="0" xfId="10" applyFont="1"/>
    <xf numFmtId="0" fontId="6" fillId="0" borderId="17" xfId="0" applyFont="1" applyBorder="1" applyAlignment="1">
      <alignment horizontal="center" wrapText="1"/>
    </xf>
    <xf numFmtId="182" fontId="17" fillId="0" borderId="1" xfId="0" applyNumberFormat="1" applyFont="1" applyBorder="1" applyAlignment="1">
      <alignment horizontal="center" wrapText="1"/>
    </xf>
    <xf numFmtId="0" fontId="8" fillId="0" borderId="10" xfId="0" applyFont="1" applyBorder="1"/>
    <xf numFmtId="0" fontId="8" fillId="0" borderId="10" xfId="0" applyFont="1" applyBorder="1" applyAlignment="1">
      <alignment horizontal="left"/>
    </xf>
    <xf numFmtId="0" fontId="8" fillId="0" borderId="10" xfId="0" applyFont="1" applyBorder="1" applyProtection="1">
      <protection locked="0"/>
    </xf>
    <xf numFmtId="0" fontId="8" fillId="0" borderId="11" xfId="0" applyFont="1" applyBorder="1"/>
    <xf numFmtId="0" fontId="29" fillId="0" borderId="19" xfId="0" applyFont="1" applyBorder="1"/>
    <xf numFmtId="165" fontId="6" fillId="0" borderId="20" xfId="4" quotePrefix="1" applyFont="1" applyFill="1" applyBorder="1" applyAlignment="1" applyProtection="1">
      <alignment horizontal="right"/>
      <protection locked="0"/>
    </xf>
    <xf numFmtId="165" fontId="33" fillId="0" borderId="0" xfId="4" applyFont="1" applyFill="1" applyBorder="1" applyAlignment="1">
      <alignment horizontal="right" wrapText="1"/>
    </xf>
    <xf numFmtId="1" fontId="8" fillId="0" borderId="9" xfId="0" applyNumberFormat="1" applyFont="1" applyBorder="1" applyAlignment="1">
      <alignment horizontal="center"/>
    </xf>
    <xf numFmtId="0" fontId="34" fillId="0" borderId="0" xfId="12" applyFont="1"/>
    <xf numFmtId="0" fontId="33" fillId="0" borderId="0" xfId="12" applyFont="1"/>
    <xf numFmtId="165" fontId="35" fillId="0" borderId="0" xfId="4" applyFont="1" applyFill="1" applyBorder="1" applyAlignment="1">
      <alignment horizontal="right" wrapText="1"/>
    </xf>
    <xf numFmtId="177" fontId="35" fillId="0" borderId="24" xfId="11" applyNumberFormat="1" applyFont="1" applyBorder="1" applyAlignment="1">
      <alignment horizontal="right" wrapText="1"/>
    </xf>
    <xf numFmtId="165" fontId="30" fillId="0" borderId="18" xfId="4" applyFont="1" applyFill="1" applyBorder="1" applyAlignment="1" applyProtection="1">
      <alignment horizontal="center" wrapText="1"/>
      <protection locked="0"/>
    </xf>
    <xf numFmtId="165" fontId="30" fillId="0" borderId="1" xfId="4" applyFont="1" applyFill="1" applyBorder="1" applyAlignment="1" applyProtection="1">
      <alignment horizontal="right" wrapText="1"/>
      <protection locked="0"/>
    </xf>
    <xf numFmtId="0" fontId="35" fillId="0" borderId="25" xfId="11" applyFont="1" applyBorder="1" applyAlignment="1">
      <alignment horizontal="center" wrapText="1"/>
    </xf>
    <xf numFmtId="38" fontId="36" fillId="5" borderId="26" xfId="2" applyNumberFormat="1" applyFont="1" applyFill="1" applyBorder="1" applyAlignment="1" applyProtection="1">
      <alignment wrapText="1"/>
    </xf>
    <xf numFmtId="38" fontId="38" fillId="5" borderId="19" xfId="2" applyNumberFormat="1" applyFont="1" applyFill="1" applyBorder="1" applyAlignment="1" applyProtection="1">
      <alignment horizontal="right" wrapText="1"/>
    </xf>
    <xf numFmtId="38" fontId="37" fillId="5" borderId="19" xfId="2" applyNumberFormat="1" applyFont="1" applyFill="1" applyBorder="1" applyAlignment="1" applyProtection="1">
      <alignment wrapText="1"/>
    </xf>
    <xf numFmtId="0" fontId="39" fillId="0" borderId="19" xfId="12" applyFont="1" applyBorder="1" applyAlignment="1">
      <alignment horizontal="right"/>
    </xf>
    <xf numFmtId="0" fontId="39" fillId="0" borderId="22" xfId="12" applyFont="1" applyBorder="1" applyAlignment="1">
      <alignment horizontal="right"/>
    </xf>
    <xf numFmtId="173" fontId="35" fillId="0" borderId="26" xfId="11" applyNumberFormat="1" applyFont="1" applyBorder="1" applyAlignment="1">
      <alignment horizontal="right" wrapText="1"/>
    </xf>
    <xf numFmtId="182" fontId="17" fillId="0" borderId="23" xfId="0" applyNumberFormat="1" applyFont="1" applyBorder="1" applyAlignment="1">
      <alignment horizontal="center" wrapText="1"/>
    </xf>
    <xf numFmtId="165" fontId="30" fillId="0" borderId="23" xfId="4" applyFont="1" applyFill="1" applyBorder="1" applyAlignment="1" applyProtection="1">
      <alignment horizontal="center" wrapText="1"/>
      <protection locked="0"/>
    </xf>
    <xf numFmtId="0" fontId="9" fillId="0" borderId="0" xfId="8"/>
    <xf numFmtId="186" fontId="42" fillId="0" borderId="0" xfId="8" applyNumberFormat="1" applyFont="1" applyAlignment="1">
      <alignment horizontal="right"/>
    </xf>
    <xf numFmtId="7" fontId="36" fillId="0" borderId="3" xfId="5" applyNumberFormat="1" applyFont="1" applyFill="1" applyBorder="1" applyAlignment="1" applyProtection="1">
      <alignment horizontal="center" wrapText="1"/>
      <protection locked="0"/>
    </xf>
    <xf numFmtId="0" fontId="9" fillId="0" borderId="0" xfId="8" applyAlignment="1">
      <alignment horizontal="left" wrapText="1"/>
    </xf>
    <xf numFmtId="9" fontId="9" fillId="0" borderId="0" xfId="8" applyNumberFormat="1" applyAlignment="1">
      <alignment horizontal="center" wrapText="1"/>
    </xf>
    <xf numFmtId="9" fontId="9" fillId="0" borderId="0" xfId="13" applyFont="1" applyAlignment="1">
      <alignment horizontal="center" wrapText="1"/>
    </xf>
    <xf numFmtId="1" fontId="9" fillId="0" borderId="0" xfId="8" applyNumberFormat="1" applyAlignment="1">
      <alignment horizontal="center" wrapText="1"/>
    </xf>
    <xf numFmtId="0" fontId="9" fillId="0" borderId="0" xfId="8" applyAlignment="1">
      <alignment wrapText="1"/>
    </xf>
    <xf numFmtId="0" fontId="18" fillId="0" borderId="0" xfId="8" applyFont="1" applyAlignment="1">
      <alignment horizontal="left" wrapText="1"/>
    </xf>
    <xf numFmtId="183" fontId="9" fillId="0" borderId="0" xfId="8" applyNumberFormat="1" applyAlignment="1">
      <alignment horizontal="left" wrapText="1"/>
    </xf>
    <xf numFmtId="0" fontId="9" fillId="0" borderId="0" xfId="8" applyAlignment="1">
      <alignment horizontal="right" wrapText="1"/>
    </xf>
    <xf numFmtId="44" fontId="9" fillId="0" borderId="0" xfId="8" applyNumberFormat="1" applyAlignment="1">
      <alignment horizontal="left" wrapText="1"/>
    </xf>
    <xf numFmtId="44" fontId="9" fillId="0" borderId="0" xfId="8" applyNumberFormat="1" applyAlignment="1">
      <alignment horizontal="center" wrapText="1"/>
    </xf>
    <xf numFmtId="9" fontId="9" fillId="0" borderId="0" xfId="8" applyNumberFormat="1" applyAlignment="1">
      <alignment horizontal="left" wrapText="1"/>
    </xf>
    <xf numFmtId="184" fontId="9" fillId="0" borderId="0" xfId="8" applyNumberFormat="1" applyAlignment="1">
      <alignment wrapText="1"/>
    </xf>
    <xf numFmtId="0" fontId="9" fillId="0" borderId="3" xfId="8" applyBorder="1" applyAlignment="1">
      <alignment horizontal="center" wrapText="1"/>
    </xf>
    <xf numFmtId="9" fontId="9" fillId="0" borderId="3" xfId="8" applyNumberFormat="1" applyBorder="1" applyAlignment="1">
      <alignment horizontal="center" wrapText="1"/>
    </xf>
    <xf numFmtId="1" fontId="9" fillId="0" borderId="3" xfId="8" applyNumberFormat="1" applyBorder="1" applyAlignment="1">
      <alignment horizontal="center" wrapText="1"/>
    </xf>
    <xf numFmtId="1" fontId="9" fillId="0" borderId="3" xfId="8" applyNumberFormat="1" applyBorder="1" applyAlignment="1">
      <alignment wrapText="1"/>
    </xf>
    <xf numFmtId="1" fontId="9" fillId="0" borderId="3" xfId="8" applyNumberFormat="1" applyBorder="1" applyAlignment="1">
      <alignment horizontal="left" wrapText="1"/>
    </xf>
    <xf numFmtId="1" fontId="18" fillId="0" borderId="3" xfId="8" applyNumberFormat="1" applyFont="1" applyBorder="1" applyAlignment="1">
      <alignment horizontal="center" wrapText="1"/>
    </xf>
    <xf numFmtId="0" fontId="18" fillId="0" borderId="3" xfId="8" applyFont="1" applyBorder="1" applyAlignment="1">
      <alignment horizontal="center" wrapText="1"/>
    </xf>
    <xf numFmtId="185" fontId="12" fillId="0" borderId="3" xfId="8" applyNumberFormat="1" applyFont="1" applyBorder="1" applyAlignment="1">
      <alignment horizontal="right" wrapText="1"/>
    </xf>
    <xf numFmtId="170" fontId="12" fillId="0" borderId="3" xfId="5" applyNumberFormat="1" applyFont="1" applyFill="1" applyBorder="1" applyAlignment="1">
      <alignment horizontal="right" wrapText="1"/>
    </xf>
    <xf numFmtId="0" fontId="9" fillId="0" borderId="3" xfId="8" applyBorder="1" applyAlignment="1">
      <alignment horizontal="right" wrapText="1"/>
    </xf>
    <xf numFmtId="0" fontId="9" fillId="0" borderId="3" xfId="8" applyBorder="1" applyAlignment="1">
      <alignment wrapText="1"/>
    </xf>
    <xf numFmtId="186" fontId="42" fillId="0" borderId="3" xfId="8" applyNumberFormat="1" applyFont="1" applyBorder="1" applyAlignment="1">
      <alignment horizontal="right" wrapText="1"/>
    </xf>
    <xf numFmtId="44" fontId="9" fillId="0" borderId="3" xfId="8" applyNumberFormat="1" applyBorder="1" applyAlignment="1">
      <alignment wrapText="1"/>
    </xf>
    <xf numFmtId="44" fontId="9" fillId="0" borderId="3" xfId="8" applyNumberFormat="1" applyBorder="1" applyAlignment="1">
      <alignment horizontal="center" wrapText="1"/>
    </xf>
    <xf numFmtId="9" fontId="9" fillId="0" borderId="3" xfId="8" applyNumberFormat="1" applyBorder="1" applyAlignment="1">
      <alignment wrapText="1"/>
    </xf>
    <xf numFmtId="184" fontId="9" fillId="0" borderId="3" xfId="8" applyNumberFormat="1" applyBorder="1" applyAlignment="1">
      <alignment wrapText="1"/>
    </xf>
    <xf numFmtId="0" fontId="43" fillId="0" borderId="3" xfId="8" applyFont="1" applyBorder="1" applyAlignment="1">
      <alignment horizontal="left" wrapText="1"/>
    </xf>
    <xf numFmtId="179" fontId="9" fillId="0" borderId="3" xfId="8" applyNumberFormat="1" applyBorder="1" applyAlignment="1">
      <alignment horizontal="center" wrapText="1"/>
    </xf>
    <xf numFmtId="0" fontId="1" fillId="0" borderId="3" xfId="3" applyNumberFormat="1" applyFont="1" applyFill="1" applyBorder="1" applyAlignment="1">
      <alignment horizontal="center" wrapText="1"/>
    </xf>
    <xf numFmtId="170" fontId="12" fillId="0" borderId="3" xfId="8" applyNumberFormat="1" applyFont="1" applyBorder="1" applyAlignment="1">
      <alignment horizontal="right" wrapText="1"/>
    </xf>
    <xf numFmtId="188" fontId="2" fillId="0" borderId="3" xfId="3" applyNumberFormat="1" applyFont="1" applyBorder="1" applyAlignment="1"/>
    <xf numFmtId="190" fontId="2" fillId="0" borderId="3" xfId="3" applyNumberFormat="1" applyFont="1" applyBorder="1" applyAlignment="1"/>
    <xf numFmtId="189" fontId="2" fillId="0" borderId="3" xfId="3" applyNumberFormat="1" applyFont="1" applyBorder="1" applyAlignment="1"/>
    <xf numFmtId="186" fontId="44" fillId="0" borderId="3" xfId="8" applyNumberFormat="1" applyFont="1" applyBorder="1" applyAlignment="1">
      <alignment horizontal="right"/>
    </xf>
    <xf numFmtId="44" fontId="9" fillId="0" borderId="3" xfId="3" applyNumberFormat="1" applyFont="1" applyBorder="1" applyAlignment="1">
      <alignment wrapText="1"/>
    </xf>
    <xf numFmtId="1" fontId="9" fillId="0" borderId="3" xfId="8" applyNumberFormat="1" applyBorder="1" applyAlignment="1">
      <alignment horizontal="right" wrapText="1"/>
    </xf>
    <xf numFmtId="7" fontId="45" fillId="0" borderId="3" xfId="5" applyNumberFormat="1" applyFont="1" applyFill="1" applyBorder="1" applyAlignment="1" applyProtection="1">
      <alignment wrapText="1"/>
      <protection locked="0"/>
    </xf>
    <xf numFmtId="7" fontId="36" fillId="0" borderId="3" xfId="5" applyNumberFormat="1" applyFont="1" applyFill="1" applyBorder="1" applyAlignment="1" applyProtection="1">
      <alignment wrapText="1"/>
      <protection locked="0"/>
    </xf>
    <xf numFmtId="0" fontId="9" fillId="0" borderId="0" xfId="8" applyAlignment="1">
      <alignment horizontal="center" wrapText="1"/>
    </xf>
    <xf numFmtId="164" fontId="9" fillId="4" borderId="0" xfId="8" applyNumberFormat="1" applyFill="1" applyAlignment="1">
      <alignment horizontal="center" vertical="top" wrapText="1"/>
    </xf>
    <xf numFmtId="9" fontId="9" fillId="4" borderId="0" xfId="13" applyFont="1" applyFill="1" applyBorder="1" applyAlignment="1">
      <alignment horizontal="center" vertical="top" wrapText="1"/>
    </xf>
    <xf numFmtId="9" fontId="9" fillId="4" borderId="0" xfId="8" applyNumberFormat="1" applyFill="1" applyAlignment="1">
      <alignment horizontal="center" vertical="top" wrapText="1"/>
    </xf>
    <xf numFmtId="1" fontId="9" fillId="4" borderId="0" xfId="8" applyNumberFormat="1" applyFill="1" applyAlignment="1">
      <alignment horizontal="center" vertical="top" wrapText="1"/>
    </xf>
    <xf numFmtId="164" fontId="12" fillId="4" borderId="0" xfId="8" applyNumberFormat="1" applyFont="1" applyFill="1" applyAlignment="1">
      <alignment vertical="top" wrapText="1"/>
    </xf>
    <xf numFmtId="164" fontId="12" fillId="4" borderId="0" xfId="8" applyNumberFormat="1" applyFont="1" applyFill="1" applyAlignment="1">
      <alignment horizontal="center" vertical="top" wrapText="1"/>
    </xf>
    <xf numFmtId="183" fontId="9" fillId="4" borderId="0" xfId="8" applyNumberFormat="1" applyFill="1" applyAlignment="1">
      <alignment horizontal="center" vertical="top" wrapText="1"/>
    </xf>
    <xf numFmtId="164" fontId="2" fillId="4" borderId="0" xfId="8" applyNumberFormat="1" applyFont="1" applyFill="1" applyAlignment="1">
      <alignment horizontal="center" vertical="top" wrapText="1"/>
    </xf>
    <xf numFmtId="164" fontId="2" fillId="4" borderId="0" xfId="8" applyNumberFormat="1" applyFont="1" applyFill="1" applyAlignment="1">
      <alignment horizontal="right" vertical="top" wrapText="1"/>
    </xf>
    <xf numFmtId="167" fontId="2" fillId="4" borderId="0" xfId="8" applyNumberFormat="1" applyFont="1" applyFill="1" applyAlignment="1">
      <alignment vertical="top" wrapText="1"/>
    </xf>
    <xf numFmtId="44" fontId="12" fillId="4" borderId="0" xfId="5" applyFont="1" applyFill="1" applyBorder="1" applyAlignment="1">
      <alignment horizontal="center" vertical="top" wrapText="1"/>
    </xf>
    <xf numFmtId="164" fontId="12" fillId="4" borderId="0" xfId="5" applyNumberFormat="1" applyFont="1" applyFill="1" applyBorder="1" applyAlignment="1">
      <alignment horizontal="right" vertical="top" wrapText="1"/>
    </xf>
    <xf numFmtId="184" fontId="12" fillId="4" borderId="0" xfId="8" applyNumberFormat="1" applyFont="1" applyFill="1"/>
    <xf numFmtId="184" fontId="12" fillId="4" borderId="0" xfId="5" applyNumberFormat="1" applyFont="1" applyFill="1" applyBorder="1" applyAlignment="1">
      <alignment horizontal="center" vertical="top" wrapText="1"/>
    </xf>
    <xf numFmtId="164" fontId="9" fillId="0" borderId="0" xfId="8" applyNumberFormat="1" applyAlignment="1">
      <alignment horizontal="center" vertical="top" wrapText="1"/>
    </xf>
    <xf numFmtId="9" fontId="2" fillId="0" borderId="28" xfId="8" applyNumberFormat="1" applyFont="1" applyBorder="1" applyAlignment="1">
      <alignment horizontal="center" wrapText="1"/>
    </xf>
    <xf numFmtId="0" fontId="2" fillId="0" borderId="28" xfId="8" applyFont="1" applyBorder="1"/>
    <xf numFmtId="179" fontId="2" fillId="0" borderId="28" xfId="8" applyNumberFormat="1" applyFont="1" applyBorder="1"/>
    <xf numFmtId="0" fontId="2" fillId="0" borderId="28" xfId="8" applyFont="1" applyBorder="1" applyAlignment="1">
      <alignment wrapText="1"/>
    </xf>
    <xf numFmtId="0" fontId="2" fillId="0" borderId="28" xfId="8" applyFont="1" applyBorder="1" applyAlignment="1">
      <alignment horizontal="center" wrapText="1"/>
    </xf>
    <xf numFmtId="191" fontId="2" fillId="0" borderId="28" xfId="8" applyNumberFormat="1" applyFont="1" applyBorder="1" applyAlignment="1">
      <alignment horizontal="center" wrapText="1"/>
    </xf>
    <xf numFmtId="0" fontId="2" fillId="0" borderId="28" xfId="8" applyFont="1" applyBorder="1" applyAlignment="1">
      <alignment horizontal="center"/>
    </xf>
    <xf numFmtId="169" fontId="2" fillId="0" borderId="28" xfId="8" applyNumberFormat="1" applyFont="1" applyBorder="1"/>
    <xf numFmtId="176" fontId="2" fillId="0" borderId="28" xfId="8" applyNumberFormat="1" applyFont="1" applyBorder="1"/>
    <xf numFmtId="0" fontId="2" fillId="0" borderId="28" xfId="8" applyFont="1" applyBorder="1" applyAlignment="1">
      <alignment horizontal="left" wrapText="1" shrinkToFit="1"/>
    </xf>
    <xf numFmtId="188" fontId="2" fillId="0" borderId="28" xfId="8" applyNumberFormat="1" applyFont="1" applyBorder="1"/>
    <xf numFmtId="190" fontId="2" fillId="0" borderId="28" xfId="8" applyNumberFormat="1" applyFont="1" applyBorder="1"/>
    <xf numFmtId="189" fontId="2" fillId="0" borderId="28" xfId="8" applyNumberFormat="1" applyFont="1" applyBorder="1"/>
    <xf numFmtId="187" fontId="2" fillId="0" borderId="28" xfId="8" applyNumberFormat="1" applyFont="1" applyBorder="1"/>
    <xf numFmtId="44" fontId="32" fillId="0" borderId="28" xfId="8" applyNumberFormat="1" applyFont="1" applyBorder="1"/>
    <xf numFmtId="44" fontId="46" fillId="0" borderId="28" xfId="8" applyNumberFormat="1" applyFont="1" applyBorder="1"/>
    <xf numFmtId="44" fontId="2" fillId="0" borderId="28" xfId="8" quotePrefix="1" applyNumberFormat="1" applyFont="1" applyBorder="1"/>
    <xf numFmtId="44" fontId="32" fillId="0" borderId="28" xfId="8" applyNumberFormat="1" applyFont="1" applyBorder="1" applyAlignment="1">
      <alignment horizontal="right" wrapText="1"/>
    </xf>
    <xf numFmtId="44" fontId="46" fillId="0" borderId="28" xfId="8" applyNumberFormat="1" applyFont="1" applyBorder="1" applyAlignment="1">
      <alignment horizontal="right" wrapText="1"/>
    </xf>
    <xf numFmtId="9" fontId="2" fillId="0" borderId="28" xfId="8" applyNumberFormat="1" applyFont="1" applyBorder="1"/>
    <xf numFmtId="44" fontId="2" fillId="0" borderId="0" xfId="8" applyNumberFormat="1" applyFont="1"/>
    <xf numFmtId="0" fontId="1" fillId="0" borderId="28" xfId="8" quotePrefix="1" applyFont="1" applyBorder="1" applyAlignment="1">
      <alignment horizontal="center"/>
    </xf>
    <xf numFmtId="44" fontId="2" fillId="0" borderId="28" xfId="8" quotePrefix="1" applyNumberFormat="1" applyFont="1" applyBorder="1" applyAlignment="1">
      <alignment horizontal="center"/>
    </xf>
    <xf numFmtId="179" fontId="2" fillId="0" borderId="28" xfId="8" applyNumberFormat="1" applyFont="1" applyBorder="1" applyAlignment="1">
      <alignment wrapText="1"/>
    </xf>
    <xf numFmtId="44" fontId="2" fillId="0" borderId="28" xfId="8" applyNumberFormat="1" applyFont="1" applyBorder="1"/>
    <xf numFmtId="169" fontId="47" fillId="0" borderId="28" xfId="8" applyNumberFormat="1" applyFont="1" applyBorder="1"/>
    <xf numFmtId="0" fontId="32" fillId="0" borderId="28" xfId="8" quotePrefix="1" applyFont="1" applyBorder="1" applyAlignment="1">
      <alignment horizontal="center" wrapText="1"/>
    </xf>
    <xf numFmtId="0" fontId="32" fillId="0" borderId="28" xfId="8" applyFont="1" applyBorder="1" applyAlignment="1">
      <alignment horizontal="center" wrapText="1"/>
    </xf>
    <xf numFmtId="192" fontId="2" fillId="0" borderId="28" xfId="8" applyNumberFormat="1" applyFont="1" applyBorder="1"/>
    <xf numFmtId="0" fontId="2" fillId="0" borderId="28" xfId="8" quotePrefix="1" applyFont="1" applyBorder="1" applyAlignment="1">
      <alignment wrapText="1"/>
    </xf>
    <xf numFmtId="0" fontId="2" fillId="0" borderId="0" xfId="7" applyAlignment="1">
      <alignment wrapText="1"/>
    </xf>
    <xf numFmtId="181" fontId="2" fillId="0" borderId="28" xfId="8" applyNumberFormat="1" applyFont="1" applyBorder="1"/>
    <xf numFmtId="193" fontId="2" fillId="0" borderId="28" xfId="8" applyNumberFormat="1" applyFont="1" applyBorder="1"/>
    <xf numFmtId="194" fontId="2" fillId="0" borderId="28" xfId="8" applyNumberFormat="1" applyFont="1" applyBorder="1"/>
    <xf numFmtId="44" fontId="30" fillId="0" borderId="29" xfId="6" applyFont="1" applyFill="1" applyBorder="1" applyAlignment="1">
      <alignment horizontal="center"/>
    </xf>
    <xf numFmtId="44" fontId="30" fillId="5" borderId="29" xfId="4" applyNumberFormat="1" applyFont="1" applyFill="1" applyBorder="1" applyAlignment="1">
      <alignment horizontal="center"/>
    </xf>
    <xf numFmtId="0" fontId="2" fillId="3" borderId="30" xfId="0" applyFont="1" applyFill="1" applyBorder="1" applyAlignment="1">
      <alignment wrapText="1"/>
    </xf>
    <xf numFmtId="179" fontId="2" fillId="0" borderId="28" xfId="0" applyNumberFormat="1" applyFont="1" applyBorder="1"/>
    <xf numFmtId="169" fontId="2" fillId="0" borderId="28" xfId="0" applyNumberFormat="1" applyFont="1" applyBorder="1"/>
    <xf numFmtId="44" fontId="32" fillId="0" borderId="28" xfId="0" applyNumberFormat="1" applyFont="1" applyBorder="1"/>
    <xf numFmtId="44" fontId="32" fillId="0" borderId="28" xfId="0" applyNumberFormat="1" applyFont="1" applyBorder="1" applyAlignment="1">
      <alignment horizontal="right" wrapText="1"/>
    </xf>
    <xf numFmtId="44" fontId="46" fillId="0" borderId="28" xfId="0" applyNumberFormat="1" applyFont="1" applyBorder="1" applyAlignment="1">
      <alignment horizontal="right" wrapText="1"/>
    </xf>
    <xf numFmtId="44" fontId="6" fillId="0" borderId="29" xfId="6" applyFont="1" applyFill="1" applyBorder="1" applyAlignment="1">
      <alignment horizontal="center"/>
    </xf>
    <xf numFmtId="0" fontId="15" fillId="0" borderId="6" xfId="12" applyFont="1" applyBorder="1"/>
    <xf numFmtId="0" fontId="11" fillId="0" borderId="7" xfId="12" applyFont="1" applyBorder="1"/>
    <xf numFmtId="0" fontId="11" fillId="0" borderId="7" xfId="12" applyFont="1" applyBorder="1" applyAlignment="1">
      <alignment wrapText="1"/>
    </xf>
    <xf numFmtId="0" fontId="11" fillId="0" borderId="4" xfId="12" applyFont="1" applyBorder="1" applyAlignment="1">
      <alignment wrapText="1"/>
    </xf>
    <xf numFmtId="0" fontId="15" fillId="0" borderId="7" xfId="12" applyFont="1" applyBorder="1"/>
    <xf numFmtId="0" fontId="10" fillId="0" borderId="7" xfId="12" applyFont="1" applyBorder="1"/>
    <xf numFmtId="0" fontId="11" fillId="0" borderId="7" xfId="12" applyFont="1" applyBorder="1" applyAlignment="1">
      <alignment horizontal="center"/>
    </xf>
    <xf numFmtId="0" fontId="11" fillId="0" borderId="4" xfId="12" applyFont="1" applyBorder="1" applyAlignment="1">
      <alignment horizontal="right"/>
    </xf>
    <xf numFmtId="0" fontId="11" fillId="0" borderId="8" xfId="12" applyFont="1" applyBorder="1"/>
    <xf numFmtId="0" fontId="11" fillId="0" borderId="0" xfId="12" applyFont="1" applyAlignment="1">
      <alignment wrapText="1"/>
    </xf>
    <xf numFmtId="0" fontId="11" fillId="0" borderId="5" xfId="12" applyFont="1" applyBorder="1" applyAlignment="1">
      <alignment wrapText="1"/>
    </xf>
    <xf numFmtId="0" fontId="15" fillId="0" borderId="0" xfId="12" applyFont="1"/>
    <xf numFmtId="0" fontId="11" fillId="0" borderId="0" xfId="12" applyFont="1" applyAlignment="1">
      <alignment horizontal="left"/>
    </xf>
    <xf numFmtId="0" fontId="11" fillId="0" borderId="5" xfId="12" applyFont="1" applyBorder="1" applyAlignment="1">
      <alignment horizontal="right"/>
    </xf>
    <xf numFmtId="0" fontId="11" fillId="0" borderId="31" xfId="12" applyFont="1" applyBorder="1"/>
    <xf numFmtId="0" fontId="11" fillId="0" borderId="31" xfId="12" applyFont="1" applyBorder="1" applyAlignment="1">
      <alignment horizontal="center"/>
    </xf>
    <xf numFmtId="0" fontId="11" fillId="0" borderId="32" xfId="12" applyFont="1" applyBorder="1" applyAlignment="1">
      <alignment horizontal="right"/>
    </xf>
    <xf numFmtId="0" fontId="10" fillId="0" borderId="7" xfId="12" applyFont="1" applyBorder="1" applyAlignment="1">
      <alignment horizontal="left"/>
    </xf>
    <xf numFmtId="0" fontId="15" fillId="0" borderId="0" xfId="12" applyFont="1" applyAlignment="1">
      <alignment horizontal="left"/>
    </xf>
    <xf numFmtId="0" fontId="15" fillId="0" borderId="33" xfId="12" applyFont="1" applyBorder="1"/>
    <xf numFmtId="0" fontId="13" fillId="0" borderId="31" xfId="12" applyFont="1" applyBorder="1"/>
    <xf numFmtId="0" fontId="13" fillId="0" borderId="31" xfId="12" applyFont="1" applyBorder="1" applyAlignment="1">
      <alignment wrapText="1"/>
    </xf>
    <xf numFmtId="0" fontId="13" fillId="0" borderId="32" xfId="12" applyFont="1" applyBorder="1" applyAlignment="1">
      <alignment wrapText="1"/>
    </xf>
    <xf numFmtId="40" fontId="11" fillId="0" borderId="32" xfId="2" applyFont="1" applyFill="1" applyBorder="1" applyAlignment="1">
      <alignment horizontal="right"/>
    </xf>
    <xf numFmtId="0" fontId="10" fillId="0" borderId="6" xfId="12" applyFont="1" applyBorder="1"/>
    <xf numFmtId="0" fontId="10" fillId="0" borderId="0" xfId="12" applyFont="1" applyAlignment="1">
      <alignment wrapText="1"/>
    </xf>
    <xf numFmtId="0" fontId="10" fillId="0" borderId="5" xfId="12" applyFont="1" applyBorder="1" applyAlignment="1">
      <alignment wrapText="1"/>
    </xf>
    <xf numFmtId="175" fontId="3" fillId="0" borderId="8" xfId="0" applyNumberFormat="1" applyFont="1" applyBorder="1"/>
    <xf numFmtId="0" fontId="18" fillId="0" borderId="0" xfId="12" applyFont="1"/>
    <xf numFmtId="0" fontId="11" fillId="0" borderId="0" xfId="12" applyFont="1" applyAlignment="1">
      <alignment horizontal="right"/>
    </xf>
    <xf numFmtId="0" fontId="13" fillId="0" borderId="33" xfId="12" applyFont="1" applyBorder="1"/>
    <xf numFmtId="175" fontId="0" fillId="0" borderId="33" xfId="0" applyNumberFormat="1" applyBorder="1"/>
    <xf numFmtId="0" fontId="13" fillId="0" borderId="7" xfId="12" applyFont="1" applyBorder="1"/>
    <xf numFmtId="0" fontId="13" fillId="0" borderId="7" xfId="12" applyFont="1" applyBorder="1" applyAlignment="1">
      <alignment wrapText="1"/>
    </xf>
    <xf numFmtId="0" fontId="13" fillId="0" borderId="4" xfId="12" applyFont="1" applyBorder="1" applyAlignment="1">
      <alignment wrapText="1"/>
    </xf>
    <xf numFmtId="0" fontId="11" fillId="0" borderId="7" xfId="12" applyFont="1" applyBorder="1" applyAlignment="1">
      <alignment horizontal="left"/>
    </xf>
    <xf numFmtId="0" fontId="0" fillId="0" borderId="7" xfId="0" applyBorder="1" applyAlignment="1">
      <alignment horizontal="left"/>
    </xf>
    <xf numFmtId="0" fontId="11" fillId="0" borderId="34" xfId="12" applyFont="1" applyBorder="1" applyAlignment="1">
      <alignment horizontal="left"/>
    </xf>
    <xf numFmtId="0" fontId="11" fillId="0" borderId="35" xfId="12" applyFont="1" applyBorder="1"/>
    <xf numFmtId="0" fontId="11" fillId="0" borderId="35" xfId="12" applyFont="1" applyBorder="1" applyAlignment="1">
      <alignment horizontal="left"/>
    </xf>
    <xf numFmtId="0" fontId="11" fillId="0" borderId="35" xfId="12" applyFont="1" applyBorder="1" applyAlignment="1">
      <alignment wrapText="1"/>
    </xf>
    <xf numFmtId="0" fontId="11" fillId="0" borderId="34" xfId="12" applyFont="1" applyBorder="1"/>
    <xf numFmtId="0" fontId="0" fillId="0" borderId="35" xfId="0" applyBorder="1" applyAlignment="1">
      <alignment horizontal="left"/>
    </xf>
    <xf numFmtId="0" fontId="11" fillId="0" borderId="35" xfId="12" applyFont="1" applyBorder="1" applyAlignment="1">
      <alignment horizontal="center"/>
    </xf>
    <xf numFmtId="8" fontId="11" fillId="0" borderId="36" xfId="12" applyNumberFormat="1" applyFont="1" applyBorder="1" applyAlignment="1">
      <alignment horizontal="right"/>
    </xf>
    <xf numFmtId="0" fontId="48" fillId="0" borderId="28" xfId="0" applyFont="1" applyBorder="1" applyAlignment="1">
      <alignment horizontal="center" wrapText="1"/>
    </xf>
    <xf numFmtId="179" fontId="45" fillId="0" borderId="28" xfId="0" applyNumberFormat="1" applyFont="1" applyBorder="1"/>
    <xf numFmtId="0" fontId="2" fillId="0" borderId="28" xfId="0" applyFont="1" applyBorder="1" applyAlignment="1">
      <alignment wrapText="1"/>
    </xf>
    <xf numFmtId="0" fontId="2" fillId="0" borderId="28" xfId="0" applyFont="1" applyBorder="1"/>
    <xf numFmtId="0" fontId="2" fillId="0" borderId="28" xfId="0" applyFont="1" applyBorder="1" applyAlignment="1">
      <alignment horizontal="center" wrapText="1"/>
    </xf>
    <xf numFmtId="191" fontId="2" fillId="0" borderId="28" xfId="0" applyNumberFormat="1" applyFont="1" applyBorder="1" applyAlignment="1">
      <alignment horizontal="center" wrapText="1"/>
    </xf>
    <xf numFmtId="0" fontId="2" fillId="0" borderId="28" xfId="0" applyFont="1" applyBorder="1" applyAlignment="1">
      <alignment horizontal="center"/>
    </xf>
    <xf numFmtId="176" fontId="2" fillId="0" borderId="28" xfId="0" applyNumberFormat="1" applyFont="1" applyBorder="1"/>
    <xf numFmtId="0" fontId="2" fillId="0" borderId="28" xfId="0" applyFont="1" applyBorder="1" applyAlignment="1">
      <alignment horizontal="left" wrapText="1" shrinkToFit="1"/>
    </xf>
    <xf numFmtId="188" fontId="2" fillId="0" borderId="28" xfId="0" applyNumberFormat="1" applyFont="1" applyBorder="1"/>
    <xf numFmtId="193" fontId="2" fillId="0" borderId="28" xfId="0" applyNumberFormat="1" applyFont="1" applyBorder="1"/>
    <xf numFmtId="189" fontId="2" fillId="0" borderId="28" xfId="0" applyNumberFormat="1" applyFont="1" applyBorder="1"/>
    <xf numFmtId="187" fontId="2" fillId="0" borderId="28" xfId="0" applyNumberFormat="1" applyFont="1" applyBorder="1"/>
    <xf numFmtId="44" fontId="46" fillId="0" borderId="28" xfId="0" applyNumberFormat="1" applyFont="1" applyBorder="1" applyAlignment="1">
      <alignment horizontal="center"/>
    </xf>
    <xf numFmtId="44" fontId="2" fillId="0" borderId="28" xfId="0" quotePrefix="1" applyNumberFormat="1" applyFont="1" applyBorder="1"/>
    <xf numFmtId="0" fontId="49" fillId="0" borderId="28" xfId="0" quotePrefix="1" applyFont="1" applyBorder="1" applyAlignment="1">
      <alignment horizontal="center"/>
    </xf>
    <xf numFmtId="0" fontId="11" fillId="6" borderId="0" xfId="2" applyNumberFormat="1" applyFont="1" applyFill="1"/>
    <xf numFmtId="0" fontId="11" fillId="7" borderId="0" xfId="2" applyNumberFormat="1" applyFont="1" applyFill="1"/>
    <xf numFmtId="0" fontId="11" fillId="2" borderId="0" xfId="2" applyNumberFormat="1" applyFont="1" applyFill="1"/>
    <xf numFmtId="0" fontId="11" fillId="8" borderId="0" xfId="2" applyNumberFormat="1" applyFont="1" applyFill="1"/>
    <xf numFmtId="38" fontId="11" fillId="9" borderId="0" xfId="2" applyNumberFormat="1" applyFont="1" applyFill="1"/>
    <xf numFmtId="0" fontId="11" fillId="10" borderId="0" xfId="2" applyNumberFormat="1" applyFont="1" applyFill="1"/>
    <xf numFmtId="0" fontId="11" fillId="11" borderId="0" xfId="2" applyNumberFormat="1" applyFont="1" applyFill="1"/>
    <xf numFmtId="0" fontId="8" fillId="0" borderId="8" xfId="0" applyFont="1" applyBorder="1" applyProtection="1">
      <protection locked="0"/>
    </xf>
    <xf numFmtId="0" fontId="15" fillId="0" borderId="8" xfId="12" applyFont="1" applyBorder="1"/>
    <xf numFmtId="0" fontId="41" fillId="0" borderId="0" xfId="12" applyFont="1"/>
    <xf numFmtId="0" fontId="11" fillId="0" borderId="4" xfId="12" applyFont="1" applyBorder="1"/>
    <xf numFmtId="0" fontId="10" fillId="0" borderId="7" xfId="12" applyFont="1" applyBorder="1" applyAlignment="1">
      <alignment horizontal="center"/>
    </xf>
    <xf numFmtId="0" fontId="15" fillId="0" borderId="7" xfId="12" applyFont="1" applyBorder="1" applyAlignment="1">
      <alignment horizontal="right"/>
    </xf>
    <xf numFmtId="0" fontId="15" fillId="0" borderId="8" xfId="12" applyFont="1" applyBorder="1" applyAlignment="1">
      <alignment vertical="center"/>
    </xf>
    <xf numFmtId="0" fontId="13" fillId="0" borderId="0" xfId="12" applyFont="1"/>
    <xf numFmtId="0" fontId="13" fillId="0" borderId="0" xfId="12" applyFont="1" applyAlignment="1">
      <alignment wrapText="1"/>
    </xf>
    <xf numFmtId="0" fontId="13" fillId="0" borderId="5" xfId="12" applyFont="1" applyBorder="1" applyAlignment="1">
      <alignment wrapText="1"/>
    </xf>
    <xf numFmtId="0" fontId="11" fillId="0" borderId="8" xfId="12" applyFont="1" applyBorder="1" applyAlignment="1">
      <alignment horizontal="left"/>
    </xf>
    <xf numFmtId="0" fontId="18" fillId="0" borderId="0" xfId="12" applyFont="1" applyAlignment="1">
      <alignment horizontal="right" vertical="center"/>
    </xf>
    <xf numFmtId="0" fontId="18" fillId="0" borderId="0" xfId="12" applyFont="1" applyAlignment="1">
      <alignment vertical="center"/>
    </xf>
    <xf numFmtId="0" fontId="11" fillId="0" borderId="31" xfId="12" applyFont="1" applyBorder="1" applyAlignment="1">
      <alignment horizontal="left" vertical="center"/>
    </xf>
    <xf numFmtId="0" fontId="11" fillId="0" borderId="31" xfId="12" applyFont="1" applyBorder="1" applyAlignment="1">
      <alignment horizontal="right" vertical="center"/>
    </xf>
    <xf numFmtId="0" fontId="11" fillId="0" borderId="31" xfId="12" applyFont="1" applyBorder="1" applyAlignment="1">
      <alignment vertical="center"/>
    </xf>
    <xf numFmtId="0" fontId="11" fillId="0" borderId="31" xfId="12" applyFont="1" applyBorder="1" applyAlignment="1">
      <alignment horizontal="right"/>
    </xf>
    <xf numFmtId="0" fontId="0" fillId="0" borderId="0" xfId="0" applyAlignment="1">
      <alignment horizontal="left"/>
    </xf>
    <xf numFmtId="8" fontId="11" fillId="0" borderId="5" xfId="12" applyNumberFormat="1" applyFont="1" applyBorder="1" applyAlignment="1">
      <alignment horizontal="right"/>
    </xf>
    <xf numFmtId="0" fontId="15" fillId="0" borderId="0" xfId="12" applyFont="1" applyAlignment="1">
      <alignment horizontal="center"/>
    </xf>
    <xf numFmtId="0" fontId="10" fillId="0" borderId="0" xfId="12" applyFont="1" applyAlignment="1">
      <alignment horizontal="right" wrapText="1"/>
    </xf>
    <xf numFmtId="0" fontId="15" fillId="0" borderId="0" xfId="12" applyFont="1" applyAlignment="1">
      <alignment wrapText="1"/>
    </xf>
    <xf numFmtId="196" fontId="3" fillId="0" borderId="0" xfId="0" applyNumberFormat="1" applyFont="1"/>
    <xf numFmtId="0" fontId="49" fillId="0" borderId="28" xfId="0" applyFont="1" applyBorder="1" applyAlignment="1">
      <alignment horizontal="center"/>
    </xf>
    <xf numFmtId="44" fontId="2" fillId="0" borderId="28" xfId="0" applyNumberFormat="1" applyFont="1" applyBorder="1"/>
    <xf numFmtId="0" fontId="15" fillId="10" borderId="37" xfId="0" applyFont="1" applyFill="1" applyBorder="1"/>
    <xf numFmtId="0" fontId="15" fillId="10" borderId="38" xfId="0" applyFont="1" applyFill="1" applyBorder="1"/>
    <xf numFmtId="198" fontId="30" fillId="0" borderId="1" xfId="4" applyNumberFormat="1" applyFont="1" applyFill="1" applyBorder="1" applyAlignment="1" applyProtection="1">
      <alignment horizontal="right" wrapText="1"/>
      <protection locked="0"/>
    </xf>
    <xf numFmtId="0" fontId="15" fillId="10" borderId="39" xfId="0" applyFont="1" applyFill="1" applyBorder="1"/>
    <xf numFmtId="0" fontId="3" fillId="3" borderId="7" xfId="0" applyFont="1" applyFill="1" applyBorder="1" applyProtection="1">
      <protection locked="0"/>
    </xf>
    <xf numFmtId="49" fontId="3" fillId="3" borderId="8" xfId="0" applyNumberFormat="1" applyFont="1" applyFill="1" applyBorder="1"/>
    <xf numFmtId="0" fontId="3" fillId="3" borderId="0" xfId="0" applyFont="1" applyFill="1" applyProtection="1">
      <protection locked="0"/>
    </xf>
    <xf numFmtId="0" fontId="6" fillId="3" borderId="0" xfId="0" applyFont="1" applyFill="1" applyAlignment="1">
      <alignment horizontal="right"/>
    </xf>
    <xf numFmtId="49" fontId="3" fillId="3" borderId="33" xfId="0" applyNumberFormat="1" applyFont="1" applyFill="1" applyBorder="1"/>
    <xf numFmtId="0" fontId="6" fillId="3" borderId="31" xfId="0" applyFont="1" applyFill="1" applyBorder="1" applyAlignment="1">
      <alignment horizontal="right"/>
    </xf>
    <xf numFmtId="0" fontId="3" fillId="3" borderId="31" xfId="0" applyFont="1" applyFill="1" applyBorder="1" applyProtection="1">
      <protection locked="0"/>
    </xf>
    <xf numFmtId="49" fontId="1" fillId="3" borderId="6" xfId="0" applyNumberFormat="1" applyFont="1" applyFill="1" applyBorder="1"/>
    <xf numFmtId="0" fontId="11" fillId="0" borderId="0" xfId="0" applyFont="1" applyAlignment="1">
      <alignment horizontal="centerContinuous"/>
    </xf>
    <xf numFmtId="0" fontId="9" fillId="0" borderId="0" xfId="0" applyFont="1"/>
    <xf numFmtId="0" fontId="20" fillId="0" borderId="0" xfId="0" applyFont="1"/>
    <xf numFmtId="0" fontId="50" fillId="12" borderId="40" xfId="9" applyFont="1" applyFill="1" applyBorder="1" applyAlignment="1">
      <alignment horizontal="center" vertical="center" wrapText="1"/>
    </xf>
    <xf numFmtId="0" fontId="50" fillId="12" borderId="41" xfId="9" applyFont="1" applyFill="1" applyBorder="1" applyAlignment="1">
      <alignment horizontal="center" vertical="center" wrapText="1"/>
    </xf>
    <xf numFmtId="0" fontId="50" fillId="12" borderId="0" xfId="9" applyFont="1" applyFill="1" applyAlignment="1">
      <alignment horizontal="center" vertical="center" wrapText="1"/>
    </xf>
    <xf numFmtId="0" fontId="50" fillId="12" borderId="42" xfId="9" applyFont="1" applyFill="1" applyBorder="1" applyAlignment="1">
      <alignment horizontal="center" vertical="center" wrapText="1"/>
    </xf>
    <xf numFmtId="0" fontId="50" fillId="12" borderId="43" xfId="9" applyFont="1" applyFill="1" applyBorder="1" applyAlignment="1">
      <alignment horizontal="center" vertical="center" wrapText="1"/>
    </xf>
    <xf numFmtId="0" fontId="50" fillId="12" borderId="44" xfId="9" applyFont="1" applyFill="1" applyBorder="1" applyAlignment="1">
      <alignment horizontal="center" vertical="center" wrapText="1"/>
    </xf>
    <xf numFmtId="0" fontId="50" fillId="12" borderId="45" xfId="9" applyFont="1" applyFill="1" applyBorder="1" applyAlignment="1">
      <alignment horizontal="center" vertical="center" wrapText="1"/>
    </xf>
    <xf numFmtId="0" fontId="50" fillId="12" borderId="46" xfId="9" applyFont="1" applyFill="1" applyBorder="1" applyAlignment="1">
      <alignment horizontal="center" vertical="center" wrapText="1"/>
    </xf>
    <xf numFmtId="200" fontId="51" fillId="13" borderId="12" xfId="13" applyNumberFormat="1" applyFont="1" applyFill="1" applyBorder="1" applyAlignment="1">
      <alignment vertical="top" wrapText="1"/>
    </xf>
    <xf numFmtId="0" fontId="20" fillId="0" borderId="43" xfId="0" applyFont="1" applyBorder="1"/>
    <xf numFmtId="0" fontId="20" fillId="0" borderId="47" xfId="0" applyFont="1" applyBorder="1"/>
    <xf numFmtId="0" fontId="50" fillId="12" borderId="48" xfId="9" applyFont="1" applyFill="1" applyBorder="1" applyAlignment="1">
      <alignment horizontal="center" vertical="center" wrapText="1"/>
    </xf>
    <xf numFmtId="0" fontId="50" fillId="12" borderId="49" xfId="9" applyFont="1" applyFill="1" applyBorder="1" applyAlignment="1">
      <alignment horizontal="center" vertical="center" wrapText="1"/>
    </xf>
    <xf numFmtId="0" fontId="20" fillId="0" borderId="48" xfId="0" applyFont="1" applyBorder="1"/>
    <xf numFmtId="0" fontId="15" fillId="0" borderId="3" xfId="0" applyFont="1" applyBorder="1"/>
    <xf numFmtId="0" fontId="20" fillId="0" borderId="8" xfId="0" applyFont="1" applyBorder="1"/>
    <xf numFmtId="0" fontId="20" fillId="0" borderId="49" xfId="0" applyFont="1" applyBorder="1"/>
    <xf numFmtId="0" fontId="20" fillId="0" borderId="33" xfId="0" applyFont="1" applyBorder="1"/>
    <xf numFmtId="0" fontId="20" fillId="0" borderId="31" xfId="0" applyFont="1" applyBorder="1"/>
    <xf numFmtId="0" fontId="20" fillId="0" borderId="50" xfId="0" applyFont="1" applyBorder="1"/>
    <xf numFmtId="199" fontId="15" fillId="0" borderId="3" xfId="0" applyNumberFormat="1" applyFont="1" applyBorder="1"/>
    <xf numFmtId="0" fontId="20" fillId="0" borderId="3" xfId="0" applyFont="1" applyBorder="1"/>
    <xf numFmtId="0" fontId="20" fillId="0" borderId="51" xfId="0" applyFont="1" applyBorder="1"/>
    <xf numFmtId="0" fontId="20" fillId="0" borderId="6" xfId="0" applyFont="1" applyBorder="1"/>
    <xf numFmtId="0" fontId="20" fillId="0" borderId="7" xfId="0" applyFont="1" applyBorder="1"/>
    <xf numFmtId="0" fontId="20" fillId="0" borderId="52" xfId="0" applyFont="1" applyBorder="1"/>
    <xf numFmtId="14" fontId="15" fillId="0" borderId="3" xfId="0" applyNumberFormat="1" applyFont="1" applyBorder="1"/>
    <xf numFmtId="4" fontId="15" fillId="0" borderId="3" xfId="0" applyNumberFormat="1" applyFont="1" applyBorder="1"/>
    <xf numFmtId="0" fontId="20" fillId="0" borderId="11" xfId="0" applyFont="1" applyBorder="1"/>
    <xf numFmtId="0" fontId="50" fillId="12" borderId="53" xfId="9" applyFont="1" applyFill="1" applyBorder="1" applyAlignment="1">
      <alignment horizontal="center" vertical="center" wrapText="1"/>
    </xf>
    <xf numFmtId="0" fontId="20" fillId="0" borderId="54" xfId="0" applyFont="1" applyBorder="1"/>
    <xf numFmtId="0" fontId="20" fillId="0" borderId="35" xfId="0" applyFont="1" applyBorder="1"/>
    <xf numFmtId="0" fontId="20" fillId="0" borderId="55" xfId="0" applyFont="1" applyBorder="1"/>
    <xf numFmtId="0" fontId="50" fillId="14" borderId="56" xfId="9" applyFont="1" applyFill="1" applyBorder="1" applyAlignment="1">
      <alignment horizontal="left" vertical="center" wrapText="1"/>
    </xf>
    <xf numFmtId="0" fontId="50" fillId="14" borderId="57" xfId="9" applyFont="1" applyFill="1" applyBorder="1" applyAlignment="1">
      <alignment horizontal="left" vertical="center" wrapText="1"/>
    </xf>
    <xf numFmtId="0" fontId="50" fillId="14" borderId="58" xfId="9" applyFont="1" applyFill="1" applyBorder="1" applyAlignment="1">
      <alignment horizontal="left" vertical="center" wrapText="1"/>
    </xf>
    <xf numFmtId="49" fontId="15" fillId="0" borderId="3" xfId="0" applyNumberFormat="1" applyFont="1" applyBorder="1"/>
    <xf numFmtId="49" fontId="20" fillId="0" borderId="11" xfId="0" applyNumberFormat="1" applyFont="1" applyBorder="1"/>
    <xf numFmtId="49" fontId="20" fillId="0" borderId="54" xfId="0" applyNumberFormat="1" applyFont="1" applyBorder="1"/>
    <xf numFmtId="170" fontId="19" fillId="0" borderId="8" xfId="11" applyNumberFormat="1" applyFont="1" applyBorder="1" applyAlignment="1">
      <alignment horizontal="right" wrapText="1"/>
    </xf>
    <xf numFmtId="177" fontId="8" fillId="0" borderId="8" xfId="10" applyNumberFormat="1" applyFont="1" applyBorder="1" applyAlignment="1">
      <alignment horizontal="center"/>
    </xf>
    <xf numFmtId="49" fontId="3" fillId="0" borderId="32" xfId="0" applyNumberFormat="1" applyFont="1" applyBorder="1"/>
    <xf numFmtId="49" fontId="3" fillId="0" borderId="5" xfId="0" applyNumberFormat="1" applyFont="1" applyBorder="1"/>
    <xf numFmtId="0" fontId="0" fillId="0" borderId="21" xfId="0" applyBorder="1" applyAlignment="1">
      <alignment horizontal="center" wrapText="1"/>
    </xf>
    <xf numFmtId="0" fontId="0" fillId="0" borderId="28" xfId="0" applyBorder="1" applyAlignment="1">
      <alignment horizontal="center" wrapText="1"/>
    </xf>
    <xf numFmtId="0" fontId="0" fillId="2" borderId="2" xfId="0" applyFill="1" applyBorder="1" applyAlignment="1">
      <alignment horizontal="center" wrapText="1"/>
    </xf>
    <xf numFmtId="0" fontId="0" fillId="0" borderId="3" xfId="0" applyBorder="1"/>
    <xf numFmtId="0" fontId="6" fillId="0" borderId="7" xfId="0" applyFont="1" applyBorder="1" applyAlignment="1">
      <alignment horizontal="right"/>
    </xf>
    <xf numFmtId="0" fontId="6" fillId="0" borderId="0" xfId="0" applyFont="1" applyAlignment="1">
      <alignment horizontal="right"/>
    </xf>
    <xf numFmtId="0" fontId="6" fillId="3" borderId="7" xfId="0" applyFont="1" applyFill="1" applyBorder="1" applyAlignment="1">
      <alignment horizontal="right"/>
    </xf>
    <xf numFmtId="0" fontId="3" fillId="0" borderId="7" xfId="0" applyFont="1" applyBorder="1" applyProtection="1">
      <protection locked="0"/>
    </xf>
    <xf numFmtId="0" fontId="3" fillId="0" borderId="12" xfId="0" applyFont="1" applyBorder="1" applyAlignment="1">
      <alignment horizontal="right"/>
    </xf>
    <xf numFmtId="0" fontId="20" fillId="0" borderId="12" xfId="0" applyFont="1" applyBorder="1" applyAlignment="1" applyProtection="1">
      <alignment horizontal="center"/>
      <protection locked="0"/>
    </xf>
    <xf numFmtId="0" fontId="2" fillId="0" borderId="12" xfId="0" applyFont="1" applyBorder="1" applyAlignment="1" applyProtection="1">
      <alignment horizontal="center"/>
      <protection locked="0"/>
    </xf>
    <xf numFmtId="49" fontId="1" fillId="0" borderId="6" xfId="10" applyNumberFormat="1" applyFont="1" applyBorder="1" applyAlignment="1">
      <alignment vertical="center"/>
    </xf>
    <xf numFmtId="0" fontId="6" fillId="0" borderId="7" xfId="10" applyFont="1" applyBorder="1" applyAlignment="1">
      <alignment horizontal="right" vertical="center"/>
    </xf>
    <xf numFmtId="0" fontId="23" fillId="0" borderId="7" xfId="10" applyFont="1" applyBorder="1" applyAlignment="1">
      <alignment vertical="center"/>
    </xf>
    <xf numFmtId="0" fontId="3" fillId="0" borderId="7" xfId="10" applyFont="1" applyBorder="1" applyAlignment="1">
      <alignment vertical="center"/>
    </xf>
    <xf numFmtId="0" fontId="1" fillId="0" borderId="7" xfId="10" applyFont="1" applyBorder="1" applyAlignment="1">
      <alignment vertical="center"/>
    </xf>
    <xf numFmtId="0" fontId="6" fillId="0" borderId="7" xfId="10" applyFont="1" applyBorder="1" applyAlignment="1">
      <alignment horizontal="left" vertical="center"/>
    </xf>
    <xf numFmtId="0" fontId="16" fillId="0" borderId="7" xfId="10" applyFont="1" applyBorder="1" applyAlignment="1">
      <alignment horizontal="left" vertical="center"/>
    </xf>
    <xf numFmtId="0" fontId="0" fillId="0" borderId="7" xfId="0" applyBorder="1" applyAlignment="1">
      <alignment horizontal="left" vertical="center"/>
    </xf>
    <xf numFmtId="0" fontId="1" fillId="0" borderId="4" xfId="10" applyFont="1" applyBorder="1" applyAlignment="1">
      <alignment vertical="center"/>
    </xf>
    <xf numFmtId="0" fontId="1" fillId="0" borderId="0" xfId="10" applyFont="1" applyAlignment="1">
      <alignment vertical="center"/>
    </xf>
    <xf numFmtId="38" fontId="1" fillId="0" borderId="0" xfId="2" applyNumberFormat="1" applyFont="1" applyAlignment="1">
      <alignment vertical="center"/>
    </xf>
    <xf numFmtId="49" fontId="1" fillId="0" borderId="8" xfId="10" applyNumberFormat="1" applyFont="1" applyBorder="1" applyAlignment="1">
      <alignment vertical="center"/>
    </xf>
    <xf numFmtId="0" fontId="6" fillId="0" borderId="0" xfId="10" applyFont="1" applyAlignment="1">
      <alignment horizontal="right" vertical="center"/>
    </xf>
    <xf numFmtId="15" fontId="3" fillId="0" borderId="0" xfId="10" applyNumberFormat="1" applyFont="1" applyAlignment="1">
      <alignment vertical="center"/>
    </xf>
    <xf numFmtId="0" fontId="6" fillId="0" borderId="31" xfId="10" applyFont="1" applyBorder="1" applyAlignment="1">
      <alignment horizontal="left" vertical="center"/>
    </xf>
    <xf numFmtId="0" fontId="16" fillId="0" borderId="0" xfId="10" applyFont="1" applyAlignment="1">
      <alignment horizontal="left" vertical="center"/>
    </xf>
    <xf numFmtId="0" fontId="0" fillId="0" borderId="0" xfId="0" applyAlignment="1">
      <alignment horizontal="left" vertical="center"/>
    </xf>
    <xf numFmtId="0" fontId="1" fillId="0" borderId="5" xfId="10" applyFont="1" applyBorder="1" applyAlignment="1">
      <alignment vertical="center"/>
    </xf>
    <xf numFmtId="177" fontId="1" fillId="0" borderId="0" xfId="10" applyNumberFormat="1" applyFont="1" applyAlignment="1">
      <alignment horizontal="center" vertical="center"/>
    </xf>
    <xf numFmtId="0" fontId="8" fillId="0" borderId="0" xfId="0" applyFont="1" applyAlignment="1" applyProtection="1">
      <alignment vertical="center"/>
      <protection locked="0"/>
    </xf>
    <xf numFmtId="0" fontId="6" fillId="0" borderId="17" xfId="0" applyFont="1" applyBorder="1"/>
    <xf numFmtId="0" fontId="6" fillId="0" borderId="17" xfId="0" applyFont="1" applyBorder="1" applyAlignment="1">
      <alignment horizontal="center"/>
    </xf>
    <xf numFmtId="0" fontId="2" fillId="0" borderId="12" xfId="0" applyFont="1" applyBorder="1" applyAlignment="1">
      <alignment horizontal="center"/>
    </xf>
    <xf numFmtId="0" fontId="54" fillId="0" borderId="0" xfId="0" applyFont="1" applyAlignment="1">
      <alignment horizontal="center"/>
    </xf>
    <xf numFmtId="0" fontId="54" fillId="0" borderId="0" xfId="0" applyFont="1" applyAlignment="1">
      <alignment horizontal="center" vertical="center"/>
    </xf>
    <xf numFmtId="0" fontId="25" fillId="0" borderId="0" xfId="0" applyFont="1" applyAlignment="1">
      <alignment horizontal="center" vertical="center"/>
    </xf>
    <xf numFmtId="49" fontId="29" fillId="15" borderId="59" xfId="0" applyNumberFormat="1" applyFont="1" applyFill="1" applyBorder="1" applyAlignment="1">
      <alignment horizontal="center"/>
    </xf>
    <xf numFmtId="0" fontId="16" fillId="15" borderId="11" xfId="0" applyFont="1" applyFill="1" applyBorder="1" applyAlignment="1">
      <alignment horizontal="center" vertical="center" wrapText="1"/>
    </xf>
    <xf numFmtId="0" fontId="16" fillId="15" borderId="3" xfId="0" applyFont="1" applyFill="1" applyBorder="1" applyAlignment="1">
      <alignment horizontal="center" vertical="center" wrapText="1"/>
    </xf>
    <xf numFmtId="0" fontId="5" fillId="15" borderId="3" xfId="0" applyFont="1" applyFill="1" applyBorder="1" applyAlignment="1">
      <alignment horizontal="center" vertical="center" wrapText="1"/>
    </xf>
    <xf numFmtId="201" fontId="23" fillId="0" borderId="31" xfId="10" applyNumberFormat="1" applyFont="1" applyBorder="1" applyAlignment="1">
      <alignment horizontal="left" vertical="center"/>
    </xf>
    <xf numFmtId="49" fontId="3" fillId="0" borderId="7" xfId="0" applyNumberFormat="1" applyFont="1" applyBorder="1"/>
    <xf numFmtId="49" fontId="3" fillId="0" borderId="0" xfId="0" applyNumberFormat="1" applyFont="1"/>
    <xf numFmtId="49" fontId="3" fillId="0" borderId="10" xfId="0" applyNumberFormat="1" applyFont="1" applyBorder="1"/>
    <xf numFmtId="49" fontId="1" fillId="3" borderId="7" xfId="0" applyNumberFormat="1" applyFont="1" applyFill="1" applyBorder="1"/>
    <xf numFmtId="49" fontId="3" fillId="3" borderId="0" xfId="0" applyNumberFormat="1" applyFont="1" applyFill="1"/>
    <xf numFmtId="49" fontId="3" fillId="3" borderId="31" xfId="0" applyNumberFormat="1" applyFont="1" applyFill="1" applyBorder="1"/>
    <xf numFmtId="0" fontId="23" fillId="0" borderId="10" xfId="0" applyFont="1" applyBorder="1" applyAlignment="1">
      <alignment horizontal="center"/>
    </xf>
    <xf numFmtId="0" fontId="55" fillId="0" borderId="0" xfId="0" applyFont="1" applyAlignment="1">
      <alignment vertical="center"/>
    </xf>
    <xf numFmtId="2" fontId="2" fillId="0" borderId="0" xfId="0" applyNumberFormat="1" applyFont="1" applyAlignment="1">
      <alignment horizontal="center"/>
    </xf>
    <xf numFmtId="0" fontId="56" fillId="0" borderId="0" xfId="12" applyFont="1" applyProtection="1">
      <protection locked="0"/>
    </xf>
    <xf numFmtId="0" fontId="5" fillId="2" borderId="2" xfId="0" applyFont="1" applyFill="1" applyBorder="1" applyAlignment="1">
      <alignment horizontal="center" wrapText="1"/>
    </xf>
    <xf numFmtId="0" fontId="55" fillId="0" borderId="0" xfId="0" applyFont="1"/>
    <xf numFmtId="0" fontId="55" fillId="0" borderId="0" xfId="0" applyFont="1" applyAlignment="1">
      <alignment vertical="top"/>
    </xf>
    <xf numFmtId="0" fontId="57" fillId="0" borderId="8" xfId="12" applyFont="1" applyBorder="1"/>
    <xf numFmtId="0" fontId="9" fillId="0" borderId="6" xfId="12" applyBorder="1"/>
    <xf numFmtId="0" fontId="58" fillId="0" borderId="0" xfId="12" applyFont="1"/>
    <xf numFmtId="202" fontId="23" fillId="0" borderId="31" xfId="10" applyNumberFormat="1" applyFont="1" applyBorder="1" applyAlignment="1">
      <alignment horizontal="left" vertical="center"/>
    </xf>
    <xf numFmtId="49" fontId="22" fillId="15" borderId="2" xfId="0" applyNumberFormat="1" applyFont="1" applyFill="1" applyBorder="1" applyAlignment="1">
      <alignment horizontal="center" vertical="center" wrapText="1"/>
    </xf>
    <xf numFmtId="0" fontId="22" fillId="15" borderId="2" xfId="0" applyFont="1" applyFill="1" applyBorder="1" applyAlignment="1">
      <alignment horizontal="center" vertical="center" wrapText="1"/>
    </xf>
    <xf numFmtId="0" fontId="22" fillId="15" borderId="2" xfId="0" applyFont="1" applyFill="1" applyBorder="1" applyAlignment="1" applyProtection="1">
      <alignment horizontal="center" vertical="center" wrapText="1"/>
      <protection locked="0"/>
    </xf>
    <xf numFmtId="0" fontId="5" fillId="15" borderId="2" xfId="0" applyFont="1" applyFill="1" applyBorder="1" applyAlignment="1">
      <alignment horizontal="center" vertical="center" wrapText="1"/>
    </xf>
    <xf numFmtId="169" fontId="5" fillId="15" borderId="2" xfId="0" applyNumberFormat="1" applyFont="1" applyFill="1" applyBorder="1" applyAlignment="1">
      <alignment horizontal="center" vertical="center" wrapText="1"/>
    </xf>
    <xf numFmtId="197" fontId="5" fillId="15" borderId="2" xfId="0" applyNumberFormat="1" applyFont="1" applyFill="1" applyBorder="1" applyAlignment="1">
      <alignment horizontal="center" vertical="center" wrapText="1"/>
    </xf>
    <xf numFmtId="0" fontId="59" fillId="0" borderId="1" xfId="0" applyFont="1" applyBorder="1" applyAlignment="1">
      <alignment horizontal="center" wrapText="1"/>
    </xf>
    <xf numFmtId="0" fontId="59" fillId="0" borderId="17" xfId="0" applyFont="1" applyBorder="1" applyAlignment="1">
      <alignment horizontal="center" wrapText="1"/>
    </xf>
    <xf numFmtId="0" fontId="60" fillId="0" borderId="17" xfId="0" quotePrefix="1" applyFont="1" applyBorder="1" applyAlignment="1">
      <alignment horizontal="center" wrapText="1"/>
    </xf>
    <xf numFmtId="0" fontId="61" fillId="0" borderId="27" xfId="0" applyFont="1" applyBorder="1" applyAlignment="1">
      <alignment horizontal="center" wrapText="1"/>
    </xf>
    <xf numFmtId="0" fontId="59" fillId="0" borderId="1" xfId="9" applyFont="1" applyBorder="1" applyAlignment="1">
      <alignment horizontal="center" wrapText="1"/>
    </xf>
    <xf numFmtId="0" fontId="62" fillId="0" borderId="20" xfId="9" applyFont="1" applyBorder="1" applyAlignment="1">
      <alignment horizontal="center" wrapText="1"/>
    </xf>
    <xf numFmtId="176" fontId="59" fillId="0" borderId="1" xfId="9" applyNumberFormat="1" applyFont="1" applyBorder="1" applyAlignment="1">
      <alignment horizontal="center" wrapText="1"/>
    </xf>
    <xf numFmtId="182" fontId="63" fillId="0" borderId="1" xfId="0" applyNumberFormat="1" applyFont="1" applyBorder="1" applyAlignment="1">
      <alignment horizontal="center" wrapText="1"/>
    </xf>
    <xf numFmtId="180" fontId="63" fillId="0" borderId="1" xfId="0" applyNumberFormat="1" applyFont="1" applyBorder="1" applyAlignment="1">
      <alignment horizontal="center" wrapText="1"/>
    </xf>
    <xf numFmtId="0" fontId="63" fillId="0" borderId="1" xfId="0" applyFont="1" applyBorder="1" applyAlignment="1">
      <alignment horizontal="center" wrapText="1"/>
    </xf>
    <xf numFmtId="195" fontId="59" fillId="0" borderId="1" xfId="0" applyNumberFormat="1" applyFont="1" applyBorder="1"/>
    <xf numFmtId="0" fontId="4" fillId="0" borderId="9" xfId="0" applyFont="1" applyBorder="1" applyAlignment="1" applyProtection="1">
      <alignment horizontal="left"/>
      <protection locked="0"/>
    </xf>
    <xf numFmtId="0" fontId="4" fillId="0" borderId="10" xfId="0" applyFont="1" applyBorder="1" applyProtection="1">
      <protection locked="0"/>
    </xf>
    <xf numFmtId="167" fontId="3" fillId="0" borderId="10" xfId="0" applyNumberFormat="1" applyFont="1" applyBorder="1" applyProtection="1">
      <protection locked="0"/>
    </xf>
    <xf numFmtId="181" fontId="3" fillId="0" borderId="3" xfId="0" applyNumberFormat="1" applyFont="1" applyBorder="1" applyAlignment="1">
      <alignment horizontal="center"/>
    </xf>
    <xf numFmtId="193" fontId="3" fillId="0" borderId="3" xfId="0" applyNumberFormat="1" applyFont="1" applyBorder="1" applyAlignment="1">
      <alignment horizontal="center"/>
    </xf>
    <xf numFmtId="195" fontId="3" fillId="0" borderId="3" xfId="0" applyNumberFormat="1" applyFont="1" applyBorder="1" applyAlignment="1">
      <alignment horizontal="right"/>
    </xf>
    <xf numFmtId="0" fontId="64" fillId="0" borderId="11" xfId="0" applyFont="1" applyBorder="1"/>
    <xf numFmtId="0" fontId="64" fillId="0" borderId="9" xfId="0" applyFont="1" applyBorder="1" applyAlignment="1">
      <alignment horizontal="center"/>
    </xf>
    <xf numFmtId="0" fontId="54" fillId="0" borderId="0" xfId="0" applyFont="1" applyAlignment="1">
      <alignment horizontal="center" vertical="center"/>
    </xf>
    <xf numFmtId="0" fontId="28" fillId="2" borderId="6" xfId="0" applyFont="1" applyFill="1" applyBorder="1" applyAlignment="1">
      <alignment horizontal="center" vertical="center"/>
    </xf>
    <xf numFmtId="0" fontId="28" fillId="2" borderId="7" xfId="0" applyFont="1" applyFill="1" applyBorder="1" applyAlignment="1">
      <alignment horizontal="center" vertical="center"/>
    </xf>
    <xf numFmtId="0" fontId="28" fillId="2" borderId="4" xfId="0" applyFont="1" applyFill="1" applyBorder="1" applyAlignment="1">
      <alignment horizontal="center" vertical="center"/>
    </xf>
    <xf numFmtId="0" fontId="28" fillId="2" borderId="8" xfId="0" applyFont="1" applyFill="1" applyBorder="1" applyAlignment="1">
      <alignment horizontal="center" vertical="center"/>
    </xf>
    <xf numFmtId="0" fontId="28" fillId="2" borderId="0" xfId="0" applyFont="1" applyFill="1" applyAlignment="1">
      <alignment horizontal="center" vertical="center"/>
    </xf>
    <xf numFmtId="0" fontId="28" fillId="2" borderId="5" xfId="0" applyFont="1" applyFill="1" applyBorder="1" applyAlignment="1">
      <alignment horizontal="center" vertical="center"/>
    </xf>
    <xf numFmtId="0" fontId="28" fillId="2" borderId="33" xfId="0" applyFont="1" applyFill="1" applyBorder="1" applyAlignment="1">
      <alignment horizontal="center" vertical="center"/>
    </xf>
    <xf numFmtId="0" fontId="28" fillId="2" borderId="31" xfId="0" applyFont="1" applyFill="1" applyBorder="1" applyAlignment="1">
      <alignment horizontal="center" vertical="center"/>
    </xf>
    <xf numFmtId="0" fontId="28" fillId="2" borderId="32" xfId="0" applyFont="1" applyFill="1" applyBorder="1" applyAlignment="1">
      <alignment horizontal="center" vertical="center"/>
    </xf>
    <xf numFmtId="0" fontId="11" fillId="0" borderId="31" xfId="12" applyFont="1" applyBorder="1" applyAlignment="1">
      <alignment horizontal="left"/>
    </xf>
    <xf numFmtId="0" fontId="0" fillId="0" borderId="31" xfId="0" applyBorder="1" applyAlignment="1">
      <alignment horizontal="left"/>
    </xf>
    <xf numFmtId="196" fontId="31" fillId="0" borderId="7" xfId="12" applyNumberFormat="1" applyFont="1" applyBorder="1"/>
    <xf numFmtId="196" fontId="32" fillId="0" borderId="7" xfId="0" applyNumberFormat="1" applyFont="1" applyBorder="1"/>
    <xf numFmtId="196" fontId="0" fillId="0" borderId="4" xfId="0" applyNumberFormat="1" applyBorder="1"/>
    <xf numFmtId="0" fontId="8" fillId="0" borderId="8" xfId="0" applyFont="1" applyBorder="1" applyAlignment="1" applyProtection="1">
      <alignment horizontal="left" wrapText="1"/>
      <protection locked="0"/>
    </xf>
    <xf numFmtId="0" fontId="8" fillId="0" borderId="0" xfId="0" applyFont="1" applyAlignment="1" applyProtection="1">
      <alignment horizontal="left" wrapText="1"/>
      <protection locked="0"/>
    </xf>
    <xf numFmtId="0" fontId="8" fillId="0" borderId="5" xfId="0" applyFont="1" applyBorder="1" applyAlignment="1" applyProtection="1">
      <alignment horizontal="left" wrapText="1"/>
      <protection locked="0"/>
    </xf>
    <xf numFmtId="0" fontId="8" fillId="0" borderId="33" xfId="0" applyFont="1" applyBorder="1" applyAlignment="1" applyProtection="1">
      <alignment horizontal="left" wrapText="1"/>
      <protection locked="0"/>
    </xf>
    <xf numFmtId="0" fontId="8" fillId="0" borderId="31" xfId="0" applyFont="1" applyBorder="1" applyAlignment="1" applyProtection="1">
      <alignment horizontal="left" wrapText="1"/>
      <protection locked="0"/>
    </xf>
    <xf numFmtId="0" fontId="8" fillId="0" borderId="32" xfId="0" applyFont="1" applyBorder="1" applyAlignment="1" applyProtection="1">
      <alignment horizontal="left" wrapText="1"/>
      <protection locked="0"/>
    </xf>
    <xf numFmtId="0" fontId="11" fillId="0" borderId="7" xfId="12" applyFont="1" applyBorder="1" applyAlignment="1">
      <alignment horizontal="center"/>
    </xf>
    <xf numFmtId="0" fontId="7" fillId="0" borderId="3" xfId="12" applyFont="1" applyBorder="1" applyAlignment="1">
      <alignment horizontal="center"/>
    </xf>
    <xf numFmtId="0" fontId="40" fillId="0" borderId="3" xfId="2" applyNumberFormat="1" applyFont="1" applyFill="1" applyBorder="1" applyAlignment="1">
      <alignment horizontal="center"/>
    </xf>
    <xf numFmtId="0" fontId="15" fillId="0" borderId="3" xfId="0" applyFont="1" applyBorder="1" applyAlignment="1">
      <alignment wrapText="1"/>
    </xf>
  </cellXfs>
  <cellStyles count="14">
    <cellStyle name="Euro" xfId="1" xr:uid="{00000000-0005-0000-0000-000000000000}"/>
    <cellStyle name="Milliers" xfId="2" builtinId="3"/>
    <cellStyle name="Milliers_Autres clients commandes actives 2007" xfId="3" xr:uid="{00000000-0005-0000-0000-000002000000}"/>
    <cellStyle name="Monétaire" xfId="4" builtinId="4"/>
    <cellStyle name="Monétaire_Autres clients commandes actives 2007" xfId="5" xr:uid="{00000000-0005-0000-0000-000004000000}"/>
    <cellStyle name="Monétaire_Cotation ordi C-3922 R2 Northeast Masonry calD 7po" xfId="6" xr:uid="{00000000-0005-0000-0000-000005000000}"/>
    <cellStyle name="Normal" xfId="0" builtinId="0"/>
    <cellStyle name="Normal_Autres Clients" xfId="7" xr:uid="{00000000-0005-0000-0000-000007000000}"/>
    <cellStyle name="Normal_Autres clients commandes actives 2007" xfId="8" xr:uid="{00000000-0005-0000-0000-000008000000}"/>
    <cellStyle name="Normal_Cotation ordi C-2036 Grani Calcaire slab STANSTEAD" xfId="9" xr:uid="{00000000-0005-0000-0000-000009000000}"/>
    <cellStyle name="Normal_Exp# 2003 NCGC Granite Works v2" xfId="10" xr:uid="{00000000-0005-0000-0000-00000A000000}"/>
    <cellStyle name="Normal_Liste de priorité" xfId="11" xr:uid="{00000000-0005-0000-0000-00000B000000}"/>
    <cellStyle name="Normal_PERFORMA INVOICE # 884, 08-05-03" xfId="12" xr:uid="{00000000-0005-0000-0000-00000C000000}"/>
    <cellStyle name="Pourcentage" xfId="13" builtinId="5"/>
  </cellStyles>
  <dxfs count="8">
    <dxf>
      <font>
        <condense val="0"/>
        <extend val="0"/>
        <color indexed="22"/>
      </font>
    </dxf>
    <dxf>
      <font>
        <condense val="0"/>
        <extend val="0"/>
        <color indexed="22"/>
      </font>
    </dxf>
    <dxf>
      <fill>
        <patternFill>
          <bgColor indexed="42"/>
        </patternFill>
      </fill>
      <border>
        <left style="dashDot">
          <color indexed="64"/>
        </left>
        <right style="dashDot">
          <color indexed="64"/>
        </right>
        <top style="dashDot">
          <color indexed="64"/>
        </top>
        <bottom style="dashDot">
          <color indexed="64"/>
        </bottom>
      </border>
    </dxf>
    <dxf>
      <font>
        <b/>
        <i val="0"/>
        <condense val="0"/>
        <extend val="0"/>
      </font>
      <fill>
        <patternFill>
          <bgColor indexed="57"/>
        </patternFill>
      </fill>
      <border>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xdr:col>
      <xdr:colOff>0</xdr:colOff>
      <xdr:row>6</xdr:row>
      <xdr:rowOff>406400</xdr:rowOff>
    </xdr:from>
    <xdr:to>
      <xdr:col>17</xdr:col>
      <xdr:colOff>3490</xdr:colOff>
      <xdr:row>6</xdr:row>
      <xdr:rowOff>787400</xdr:rowOff>
    </xdr:to>
    <xdr:sp macro="" textlink="">
      <xdr:nvSpPr>
        <xdr:cNvPr id="21506" name="Texte 15">
          <a:extLst>
            <a:ext uri="{FF2B5EF4-FFF2-40B4-BE49-F238E27FC236}">
              <a16:creationId xmlns:a16="http://schemas.microsoft.com/office/drawing/2014/main" id="{00000000-0008-0000-0300-000002540000}"/>
            </a:ext>
          </a:extLst>
        </xdr:cNvPr>
        <xdr:cNvSpPr txBox="1">
          <a:spLocks noChangeArrowheads="1"/>
        </xdr:cNvSpPr>
      </xdr:nvSpPr>
      <xdr:spPr bwMode="auto">
        <a:xfrm>
          <a:off x="1016000" y="1511300"/>
          <a:ext cx="9982200" cy="381000"/>
        </a:xfrm>
        <a:prstGeom prst="rect">
          <a:avLst/>
        </a:prstGeom>
        <a:noFill/>
        <a:ln w="0">
          <a:noFill/>
          <a:miter lim="800000"/>
          <a:headEnd/>
          <a:tailEnd/>
        </a:ln>
        <a:effectLst/>
      </xdr:spPr>
      <xdr:txBody>
        <a:bodyPr vertOverflow="clip" wrap="square" lIns="27432" tIns="18288" rIns="27432" bIns="0" anchor="t" upright="1"/>
        <a:lstStyle/>
        <a:p>
          <a:pPr algn="ctr" rtl="0">
            <a:defRPr sz="1000"/>
          </a:pPr>
          <a:r>
            <a:rPr lang="en-US" sz="700" b="0" i="0" strike="noStrike">
              <a:solidFill>
                <a:srgbClr val="000000"/>
              </a:solidFill>
              <a:latin typeface="Geneva"/>
              <a:ea typeface="Geneva"/>
              <a:cs typeface="Geneva"/>
            </a:rPr>
            <a:t>LE TRANSPORTEUR, EN SIGNANT LE PRÉSENT  DOCUMENT, GARANTIT À L'EXPÉDITEUR UNE COUVERTURE D'ASSURANCE SUFFISANTE POUR LA VALEUR DE REMPLACEMENT DES BIENS DÉCRITS, AINSI QUE POUR TOUT DOMMAGE POUVANT SURVENIR LORS DU TRANSPORT DES DITS BIENS JUSQU'A LA RÉCEPTION FINALE INDIQUÉE SUR LE PRÉSENT DOCUMENT. </a:t>
          </a:r>
        </a:p>
      </xdr:txBody>
    </xdr:sp>
    <xdr:clientData/>
  </xdr:twoCellAnchor>
  <xdr:twoCellAnchor>
    <xdr:from>
      <xdr:col>1</xdr:col>
      <xdr:colOff>12700</xdr:colOff>
      <xdr:row>6</xdr:row>
      <xdr:rowOff>63500</xdr:rowOff>
    </xdr:from>
    <xdr:to>
      <xdr:col>17</xdr:col>
      <xdr:colOff>3175</xdr:colOff>
      <xdr:row>6</xdr:row>
      <xdr:rowOff>419100</xdr:rowOff>
    </xdr:to>
    <xdr:sp macro="" textlink="">
      <xdr:nvSpPr>
        <xdr:cNvPr id="21507" name="Texte 15">
          <a:extLst>
            <a:ext uri="{FF2B5EF4-FFF2-40B4-BE49-F238E27FC236}">
              <a16:creationId xmlns:a16="http://schemas.microsoft.com/office/drawing/2014/main" id="{00000000-0008-0000-0300-000003540000}"/>
            </a:ext>
          </a:extLst>
        </xdr:cNvPr>
        <xdr:cNvSpPr txBox="1">
          <a:spLocks noChangeArrowheads="1"/>
        </xdr:cNvSpPr>
      </xdr:nvSpPr>
      <xdr:spPr bwMode="auto">
        <a:xfrm>
          <a:off x="1028700" y="1168400"/>
          <a:ext cx="9969500" cy="355600"/>
        </a:xfrm>
        <a:prstGeom prst="rect">
          <a:avLst/>
        </a:prstGeom>
        <a:noFill/>
        <a:ln w="0">
          <a:noFill/>
          <a:miter lim="800000"/>
          <a:headEnd/>
          <a:tailEnd/>
        </a:ln>
        <a:effectLst/>
      </xdr:spPr>
      <xdr:txBody>
        <a:bodyPr vertOverflow="clip" wrap="square" lIns="27432" tIns="18288" rIns="27432" bIns="0" anchor="t" upright="1"/>
        <a:lstStyle/>
        <a:p>
          <a:pPr algn="ctr" rtl="0">
            <a:defRPr sz="1000"/>
          </a:pPr>
          <a:r>
            <a:rPr lang="en-US" sz="700" b="0" i="0" strike="noStrike">
              <a:solidFill>
                <a:srgbClr val="000000"/>
              </a:solidFill>
              <a:latin typeface="Geneva"/>
              <a:ea typeface="Geneva"/>
              <a:cs typeface="Geneva"/>
            </a:rPr>
            <a:t>THE CARRIER, WHEN ACCEPTING THE ABOVE MERCHANDISES, GUARANTIES  THAT AN APPROPRIATE INSURANCE COVERS THESE GOODS FOR THEIR REPLACEMENT VALUE IN CASE OF LOSS OR DAMMAGE, UNTIL FINAL DELIVERY AT ABOVE ADDRESS.</a:t>
          </a:r>
        </a:p>
      </xdr:txBody>
    </xdr:sp>
    <xdr:clientData/>
  </xdr:twoCellAnchor>
  <xdr:twoCellAnchor editAs="oneCell">
    <xdr:from>
      <xdr:col>1</xdr:col>
      <xdr:colOff>512235</xdr:colOff>
      <xdr:row>1</xdr:row>
      <xdr:rowOff>50797</xdr:rowOff>
    </xdr:from>
    <xdr:to>
      <xdr:col>3</xdr:col>
      <xdr:colOff>591483</xdr:colOff>
      <xdr:row>4</xdr:row>
      <xdr:rowOff>152397</xdr:rowOff>
    </xdr:to>
    <xdr:pic>
      <xdr:nvPicPr>
        <xdr:cNvPr id="6" name="Image 5" descr="logoDRCstamp_petit.jpg">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1" cstate="print"/>
        <a:stretch>
          <a:fillRect/>
        </a:stretch>
      </xdr:blipFill>
      <xdr:spPr>
        <a:xfrm>
          <a:off x="1528235" y="287864"/>
          <a:ext cx="1383115" cy="914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10</xdr:row>
      <xdr:rowOff>114300</xdr:rowOff>
    </xdr:from>
    <xdr:to>
      <xdr:col>1</xdr:col>
      <xdr:colOff>76200</xdr:colOff>
      <xdr:row>11</xdr:row>
      <xdr:rowOff>142875</xdr:rowOff>
    </xdr:to>
    <xdr:sp macro="" textlink="">
      <xdr:nvSpPr>
        <xdr:cNvPr id="171150" name="Text Box 3">
          <a:extLst>
            <a:ext uri="{FF2B5EF4-FFF2-40B4-BE49-F238E27FC236}">
              <a16:creationId xmlns:a16="http://schemas.microsoft.com/office/drawing/2014/main" id="{00000000-0008-0000-0400-00008E9C0200}"/>
            </a:ext>
          </a:extLst>
        </xdr:cNvPr>
        <xdr:cNvSpPr txBox="1">
          <a:spLocks noChangeArrowheads="1"/>
        </xdr:cNvSpPr>
      </xdr:nvSpPr>
      <xdr:spPr bwMode="auto">
        <a:xfrm>
          <a:off x="762000" y="1952625"/>
          <a:ext cx="76200" cy="238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2</xdr:col>
      <xdr:colOff>419100</xdr:colOff>
      <xdr:row>14</xdr:row>
      <xdr:rowOff>66675</xdr:rowOff>
    </xdr:from>
    <xdr:to>
      <xdr:col>3</xdr:col>
      <xdr:colOff>95250</xdr:colOff>
      <xdr:row>15</xdr:row>
      <xdr:rowOff>9525</xdr:rowOff>
    </xdr:to>
    <xdr:sp macro="" textlink="">
      <xdr:nvSpPr>
        <xdr:cNvPr id="171151" name="Rectangle 6">
          <a:extLst>
            <a:ext uri="{FF2B5EF4-FFF2-40B4-BE49-F238E27FC236}">
              <a16:creationId xmlns:a16="http://schemas.microsoft.com/office/drawing/2014/main" id="{00000000-0008-0000-0400-00008F9C0200}"/>
            </a:ext>
          </a:extLst>
        </xdr:cNvPr>
        <xdr:cNvSpPr>
          <a:spLocks noChangeArrowheads="1"/>
        </xdr:cNvSpPr>
      </xdr:nvSpPr>
      <xdr:spPr bwMode="auto">
        <a:xfrm>
          <a:off x="1971675" y="2800350"/>
          <a:ext cx="619125" cy="161925"/>
        </a:xfrm>
        <a:prstGeom prst="rect">
          <a:avLst/>
        </a:prstGeom>
        <a:solidFill>
          <a:srgbClr val="FFFFFF"/>
        </a:solidFill>
        <a:ln w="9525">
          <a:solidFill>
            <a:srgbClr val="000000"/>
          </a:solidFill>
          <a:miter lim="800000"/>
          <a:headEnd/>
          <a:tailEnd/>
        </a:ln>
      </xdr:spPr>
    </xdr:sp>
    <xdr:clientData/>
  </xdr:twoCellAnchor>
  <xdr:twoCellAnchor>
    <xdr:from>
      <xdr:col>4</xdr:col>
      <xdr:colOff>447674</xdr:colOff>
      <xdr:row>14</xdr:row>
      <xdr:rowOff>66674</xdr:rowOff>
    </xdr:from>
    <xdr:to>
      <xdr:col>4</xdr:col>
      <xdr:colOff>685799</xdr:colOff>
      <xdr:row>15</xdr:row>
      <xdr:rowOff>50799</xdr:rowOff>
    </xdr:to>
    <xdr:sp macro="" textlink="">
      <xdr:nvSpPr>
        <xdr:cNvPr id="171152" name="Rectangle 7">
          <a:extLst>
            <a:ext uri="{FF2B5EF4-FFF2-40B4-BE49-F238E27FC236}">
              <a16:creationId xmlns:a16="http://schemas.microsoft.com/office/drawing/2014/main" id="{00000000-0008-0000-0400-0000909C0200}"/>
            </a:ext>
          </a:extLst>
        </xdr:cNvPr>
        <xdr:cNvSpPr>
          <a:spLocks noChangeArrowheads="1"/>
        </xdr:cNvSpPr>
      </xdr:nvSpPr>
      <xdr:spPr bwMode="auto">
        <a:xfrm>
          <a:off x="5172074" y="2771774"/>
          <a:ext cx="238125" cy="200025"/>
        </a:xfrm>
        <a:prstGeom prst="rect">
          <a:avLst/>
        </a:prstGeom>
        <a:solidFill>
          <a:srgbClr val="FFFFFF"/>
        </a:solidFill>
        <a:ln w="9525">
          <a:solidFill>
            <a:srgbClr val="000000"/>
          </a:solidFill>
          <a:miter lim="800000"/>
          <a:headEnd/>
          <a:tailEnd/>
        </a:ln>
      </xdr:spPr>
      <xdr:txBody>
        <a:bodyPr/>
        <a:lstStyle/>
        <a:p>
          <a:r>
            <a:rPr lang="fr-CA"/>
            <a:t>X</a:t>
          </a:r>
        </a:p>
      </xdr:txBody>
    </xdr:sp>
    <xdr:clientData/>
  </xdr:twoCellAnchor>
  <xdr:twoCellAnchor>
    <xdr:from>
      <xdr:col>5</xdr:col>
      <xdr:colOff>330200</xdr:colOff>
      <xdr:row>10</xdr:row>
      <xdr:rowOff>50800</xdr:rowOff>
    </xdr:from>
    <xdr:to>
      <xdr:col>6</xdr:col>
      <xdr:colOff>101600</xdr:colOff>
      <xdr:row>11</xdr:row>
      <xdr:rowOff>12700</xdr:rowOff>
    </xdr:to>
    <xdr:sp macro="" textlink="">
      <xdr:nvSpPr>
        <xdr:cNvPr id="10248" name="Rectangle 8">
          <a:extLst>
            <a:ext uri="{FF2B5EF4-FFF2-40B4-BE49-F238E27FC236}">
              <a16:creationId xmlns:a16="http://schemas.microsoft.com/office/drawing/2014/main" id="{00000000-0008-0000-0400-000008280000}"/>
            </a:ext>
          </a:extLst>
        </xdr:cNvPr>
        <xdr:cNvSpPr>
          <a:spLocks noChangeArrowheads="1"/>
        </xdr:cNvSpPr>
      </xdr:nvSpPr>
      <xdr:spPr bwMode="auto">
        <a:xfrm>
          <a:off x="5105400" y="1866900"/>
          <a:ext cx="241300" cy="165100"/>
        </a:xfrm>
        <a:prstGeom prst="rect">
          <a:avLst/>
        </a:prstGeom>
        <a:solidFill>
          <a:srgbClr val="FFFFFF"/>
        </a:solidFill>
        <a:ln w="9525">
          <a:solidFill>
            <a:srgbClr val="000000"/>
          </a:solidFill>
          <a:miter lim="800000"/>
          <a:headEnd/>
          <a:tailEnd/>
        </a:ln>
      </xdr:spPr>
      <xdr:txBody>
        <a:bodyPr vertOverflow="clip" wrap="square" lIns="27432" tIns="18288" rIns="27432" bIns="0" anchor="ctr" upright="1"/>
        <a:lstStyle/>
        <a:p>
          <a:pPr algn="ctr" rtl="0">
            <a:defRPr sz="1000"/>
          </a:pPr>
          <a:endParaRPr lang="fr-FR" sz="800" b="0" i="0" strike="noStrike">
            <a:solidFill>
              <a:srgbClr val="000000"/>
            </a:solidFill>
            <a:latin typeface="Arial"/>
            <a:ea typeface="Arial"/>
            <a:cs typeface="Arial"/>
          </a:endParaRPr>
        </a:p>
        <a:p>
          <a:pPr algn="ctr" rtl="0">
            <a:defRPr sz="1000"/>
          </a:pPr>
          <a:endParaRPr lang="fr-FR" sz="800" b="0" i="0" strike="noStrike">
            <a:solidFill>
              <a:srgbClr val="000000"/>
            </a:solidFill>
            <a:latin typeface="Arial"/>
            <a:ea typeface="Arial"/>
            <a:cs typeface="Arial"/>
          </a:endParaRPr>
        </a:p>
      </xdr:txBody>
    </xdr:sp>
    <xdr:clientData/>
  </xdr:twoCellAnchor>
  <xdr:twoCellAnchor>
    <xdr:from>
      <xdr:col>6</xdr:col>
      <xdr:colOff>66674</xdr:colOff>
      <xdr:row>14</xdr:row>
      <xdr:rowOff>66674</xdr:rowOff>
    </xdr:from>
    <xdr:to>
      <xdr:col>6</xdr:col>
      <xdr:colOff>266699</xdr:colOff>
      <xdr:row>15</xdr:row>
      <xdr:rowOff>50799</xdr:rowOff>
    </xdr:to>
    <xdr:sp macro="" textlink="">
      <xdr:nvSpPr>
        <xdr:cNvPr id="73131" name="Rectangle 11">
          <a:extLst>
            <a:ext uri="{FF2B5EF4-FFF2-40B4-BE49-F238E27FC236}">
              <a16:creationId xmlns:a16="http://schemas.microsoft.com/office/drawing/2014/main" id="{00000000-0008-0000-0400-0000AB1D0100}"/>
            </a:ext>
          </a:extLst>
        </xdr:cNvPr>
        <xdr:cNvSpPr>
          <a:spLocks noChangeArrowheads="1"/>
        </xdr:cNvSpPr>
      </xdr:nvSpPr>
      <xdr:spPr bwMode="auto">
        <a:xfrm>
          <a:off x="6289674" y="2771774"/>
          <a:ext cx="200025" cy="200025"/>
        </a:xfrm>
        <a:prstGeom prst="rect">
          <a:avLst/>
        </a:prstGeom>
        <a:solidFill>
          <a:srgbClr val="FFFFFF"/>
        </a:solidFill>
        <a:ln w="9525">
          <a:solidFill>
            <a:srgbClr val="000000"/>
          </a:solidFill>
          <a:miter lim="800000"/>
          <a:headEnd/>
          <a:tailEnd/>
        </a:ln>
      </xdr:spPr>
      <xdr:txBody>
        <a:bodyPr vertOverflow="clip" wrap="square" lIns="27432" tIns="18288" rIns="27432" bIns="0" anchor="ctr" upright="1"/>
        <a:lstStyle/>
        <a:p>
          <a:pPr algn="ctr" rtl="0">
            <a:defRPr sz="1000"/>
          </a:pPr>
          <a:endParaRPr lang="fr-FR" sz="800" b="1" i="0" strike="noStrike">
            <a:solidFill>
              <a:srgbClr val="000000"/>
            </a:solidFill>
            <a:latin typeface="Arial"/>
            <a:ea typeface="Arial"/>
            <a:cs typeface="Arial"/>
          </a:endParaRPr>
        </a:p>
        <a:p>
          <a:pPr algn="ctr" rtl="0">
            <a:defRPr sz="1000"/>
          </a:pPr>
          <a:endParaRPr lang="fr-FR" sz="800" b="1" i="0" strike="noStrike">
            <a:solidFill>
              <a:srgbClr val="000000"/>
            </a:solidFill>
            <a:latin typeface="Arial"/>
            <a:ea typeface="Arial"/>
            <a:cs typeface="Arial"/>
          </a:endParaRPr>
        </a:p>
      </xdr:txBody>
    </xdr:sp>
    <xdr:clientData/>
  </xdr:twoCellAnchor>
  <xdr:twoCellAnchor>
    <xdr:from>
      <xdr:col>9</xdr:col>
      <xdr:colOff>142874</xdr:colOff>
      <xdr:row>19</xdr:row>
      <xdr:rowOff>123825</xdr:rowOff>
    </xdr:from>
    <xdr:to>
      <xdr:col>9</xdr:col>
      <xdr:colOff>482599</xdr:colOff>
      <xdr:row>19</xdr:row>
      <xdr:rowOff>393700</xdr:rowOff>
    </xdr:to>
    <xdr:sp macro="" textlink="">
      <xdr:nvSpPr>
        <xdr:cNvPr id="171155" name="Rectangle 15">
          <a:extLst>
            <a:ext uri="{FF2B5EF4-FFF2-40B4-BE49-F238E27FC236}">
              <a16:creationId xmlns:a16="http://schemas.microsoft.com/office/drawing/2014/main" id="{00000000-0008-0000-0400-0000939C0200}"/>
            </a:ext>
          </a:extLst>
        </xdr:cNvPr>
        <xdr:cNvSpPr>
          <a:spLocks noChangeArrowheads="1"/>
        </xdr:cNvSpPr>
      </xdr:nvSpPr>
      <xdr:spPr bwMode="auto">
        <a:xfrm>
          <a:off x="9401174" y="3844925"/>
          <a:ext cx="339725" cy="269875"/>
        </a:xfrm>
        <a:prstGeom prst="rect">
          <a:avLst/>
        </a:prstGeom>
        <a:solidFill>
          <a:srgbClr val="FFFFFF"/>
        </a:solidFill>
        <a:ln w="9525">
          <a:solidFill>
            <a:srgbClr val="000000"/>
          </a:solidFill>
          <a:miter lim="800000"/>
          <a:headEnd/>
          <a:tailEnd/>
        </a:ln>
      </xdr:spPr>
      <xdr:txBody>
        <a:bodyPr/>
        <a:lstStyle/>
        <a:p>
          <a:r>
            <a:rPr lang="fr-CA"/>
            <a:t> </a:t>
          </a:r>
        </a:p>
      </xdr:txBody>
    </xdr:sp>
    <xdr:clientData/>
  </xdr:twoCellAnchor>
  <xdr:twoCellAnchor>
    <xdr:from>
      <xdr:col>14</xdr:col>
      <xdr:colOff>85725</xdr:colOff>
      <xdr:row>14</xdr:row>
      <xdr:rowOff>66675</xdr:rowOff>
    </xdr:from>
    <xdr:to>
      <xdr:col>14</xdr:col>
      <xdr:colOff>317501</xdr:colOff>
      <xdr:row>15</xdr:row>
      <xdr:rowOff>50801</xdr:rowOff>
    </xdr:to>
    <xdr:sp macro="" textlink="">
      <xdr:nvSpPr>
        <xdr:cNvPr id="171156" name="Rectangle 20">
          <a:extLst>
            <a:ext uri="{FF2B5EF4-FFF2-40B4-BE49-F238E27FC236}">
              <a16:creationId xmlns:a16="http://schemas.microsoft.com/office/drawing/2014/main" id="{00000000-0008-0000-0400-0000949C0200}"/>
            </a:ext>
          </a:extLst>
        </xdr:cNvPr>
        <xdr:cNvSpPr>
          <a:spLocks noChangeArrowheads="1"/>
        </xdr:cNvSpPr>
      </xdr:nvSpPr>
      <xdr:spPr bwMode="auto">
        <a:xfrm>
          <a:off x="13560425" y="2771775"/>
          <a:ext cx="231776" cy="200026"/>
        </a:xfrm>
        <a:prstGeom prst="rect">
          <a:avLst/>
        </a:prstGeom>
        <a:solidFill>
          <a:srgbClr val="FFFFFF"/>
        </a:solidFill>
        <a:ln w="9525">
          <a:solidFill>
            <a:srgbClr val="000000"/>
          </a:solidFill>
          <a:miter lim="800000"/>
          <a:headEnd/>
          <a:tailEnd/>
        </a:ln>
      </xdr:spPr>
    </xdr:sp>
    <xdr:clientData/>
  </xdr:twoCellAnchor>
  <xdr:twoCellAnchor>
    <xdr:from>
      <xdr:col>6</xdr:col>
      <xdr:colOff>155575</xdr:colOff>
      <xdr:row>18</xdr:row>
      <xdr:rowOff>88900</xdr:rowOff>
    </xdr:from>
    <xdr:to>
      <xdr:col>6</xdr:col>
      <xdr:colOff>300939</xdr:colOff>
      <xdr:row>18</xdr:row>
      <xdr:rowOff>244828</xdr:rowOff>
    </xdr:to>
    <xdr:sp macro="" textlink="">
      <xdr:nvSpPr>
        <xdr:cNvPr id="10781" name="Rectangle 541">
          <a:extLst>
            <a:ext uri="{FF2B5EF4-FFF2-40B4-BE49-F238E27FC236}">
              <a16:creationId xmlns:a16="http://schemas.microsoft.com/office/drawing/2014/main" id="{00000000-0008-0000-0400-00001D2A0000}"/>
            </a:ext>
          </a:extLst>
        </xdr:cNvPr>
        <xdr:cNvSpPr>
          <a:spLocks noChangeArrowheads="1"/>
        </xdr:cNvSpPr>
      </xdr:nvSpPr>
      <xdr:spPr bwMode="auto">
        <a:xfrm>
          <a:off x="5397500" y="3543300"/>
          <a:ext cx="228600" cy="165100"/>
        </a:xfrm>
        <a:prstGeom prst="rect">
          <a:avLst/>
        </a:prstGeom>
        <a:solidFill>
          <a:srgbClr val="FFFFFF"/>
        </a:solidFill>
        <a:ln w="9525">
          <a:solidFill>
            <a:srgbClr val="000000"/>
          </a:solidFill>
          <a:miter lim="800000"/>
          <a:headEnd/>
          <a:tailEnd/>
        </a:ln>
      </xdr:spPr>
      <xdr:txBody>
        <a:bodyPr vertOverflow="clip" wrap="square" lIns="27432" tIns="18288" rIns="27432" bIns="0" anchor="ctr" upright="1"/>
        <a:lstStyle/>
        <a:p>
          <a:pPr algn="ctr" rtl="0">
            <a:defRPr sz="1000"/>
          </a:pPr>
          <a:endParaRPr lang="fr-FR" sz="800" b="0" i="0" strike="noStrike">
            <a:solidFill>
              <a:srgbClr val="000000"/>
            </a:solidFill>
            <a:latin typeface="Arial"/>
            <a:ea typeface="Arial"/>
            <a:cs typeface="Arial"/>
          </a:endParaRPr>
        </a:p>
        <a:p>
          <a:pPr algn="ctr" rtl="0">
            <a:defRPr sz="1000"/>
          </a:pPr>
          <a:endParaRPr lang="fr-FR" sz="800" b="0" i="0" strike="noStrike">
            <a:solidFill>
              <a:srgbClr val="000000"/>
            </a:solidFill>
            <a:latin typeface="Arial"/>
            <a:ea typeface="Arial"/>
            <a:cs typeface="Arial"/>
          </a:endParaRPr>
        </a:p>
      </xdr:txBody>
    </xdr:sp>
    <xdr:clientData/>
  </xdr:twoCellAnchor>
  <xdr:twoCellAnchor>
    <xdr:from>
      <xdr:col>3</xdr:col>
      <xdr:colOff>638175</xdr:colOff>
      <xdr:row>19</xdr:row>
      <xdr:rowOff>114300</xdr:rowOff>
    </xdr:from>
    <xdr:to>
      <xdr:col>3</xdr:col>
      <xdr:colOff>840413</xdr:colOff>
      <xdr:row>19</xdr:row>
      <xdr:rowOff>304800</xdr:rowOff>
    </xdr:to>
    <xdr:sp macro="" textlink="">
      <xdr:nvSpPr>
        <xdr:cNvPr id="10782" name="Rectangle 542">
          <a:extLst>
            <a:ext uri="{FF2B5EF4-FFF2-40B4-BE49-F238E27FC236}">
              <a16:creationId xmlns:a16="http://schemas.microsoft.com/office/drawing/2014/main" id="{00000000-0008-0000-0400-00001E2A0000}"/>
            </a:ext>
          </a:extLst>
        </xdr:cNvPr>
        <xdr:cNvSpPr>
          <a:spLocks noChangeArrowheads="1"/>
        </xdr:cNvSpPr>
      </xdr:nvSpPr>
      <xdr:spPr bwMode="auto">
        <a:xfrm>
          <a:off x="3238500" y="3822700"/>
          <a:ext cx="279400" cy="190500"/>
        </a:xfrm>
        <a:prstGeom prst="rect">
          <a:avLst/>
        </a:prstGeom>
        <a:solidFill>
          <a:srgbClr val="FFFFFF"/>
        </a:solidFill>
        <a:ln w="9525">
          <a:solidFill>
            <a:srgbClr val="000000"/>
          </a:solidFill>
          <a:miter lim="800000"/>
          <a:headEnd/>
          <a:tailEnd/>
        </a:ln>
      </xdr:spPr>
      <xdr:txBody>
        <a:bodyPr vertOverflow="clip" wrap="square" lIns="27432" tIns="18288" rIns="27432" bIns="0" anchor="ctr" upright="1"/>
        <a:lstStyle/>
        <a:p>
          <a:pPr algn="ctr" rtl="0">
            <a:defRPr sz="1000"/>
          </a:pPr>
          <a:endParaRPr lang="fr-FR" sz="800" b="0" i="0" strike="noStrike">
            <a:solidFill>
              <a:srgbClr val="000000"/>
            </a:solidFill>
            <a:latin typeface="Arial"/>
            <a:ea typeface="Arial"/>
            <a:cs typeface="Arial"/>
          </a:endParaRPr>
        </a:p>
        <a:p>
          <a:pPr algn="ctr" rtl="0">
            <a:defRPr sz="1000"/>
          </a:pPr>
          <a:endParaRPr lang="fr-FR" sz="800" b="0" i="0" strike="noStrike">
            <a:solidFill>
              <a:srgbClr val="000000"/>
            </a:solidFill>
            <a:latin typeface="Arial"/>
            <a:ea typeface="Arial"/>
            <a:cs typeface="Arial"/>
          </a:endParaRPr>
        </a:p>
      </xdr:txBody>
    </xdr:sp>
    <xdr:clientData/>
  </xdr:twoCellAnchor>
  <xdr:twoCellAnchor>
    <xdr:from>
      <xdr:col>3</xdr:col>
      <xdr:colOff>638175</xdr:colOff>
      <xdr:row>18</xdr:row>
      <xdr:rowOff>76200</xdr:rowOff>
    </xdr:from>
    <xdr:to>
      <xdr:col>3</xdr:col>
      <xdr:colOff>837200</xdr:colOff>
      <xdr:row>19</xdr:row>
      <xdr:rowOff>0</xdr:rowOff>
    </xdr:to>
    <xdr:sp macro="" textlink="">
      <xdr:nvSpPr>
        <xdr:cNvPr id="10783" name="Rectangle 543">
          <a:extLst>
            <a:ext uri="{FF2B5EF4-FFF2-40B4-BE49-F238E27FC236}">
              <a16:creationId xmlns:a16="http://schemas.microsoft.com/office/drawing/2014/main" id="{00000000-0008-0000-0400-00001F2A0000}"/>
            </a:ext>
          </a:extLst>
        </xdr:cNvPr>
        <xdr:cNvSpPr>
          <a:spLocks noChangeArrowheads="1"/>
        </xdr:cNvSpPr>
      </xdr:nvSpPr>
      <xdr:spPr bwMode="auto">
        <a:xfrm>
          <a:off x="3238500" y="3530600"/>
          <a:ext cx="266700" cy="177800"/>
        </a:xfrm>
        <a:prstGeom prst="rect">
          <a:avLst/>
        </a:prstGeom>
        <a:solidFill>
          <a:srgbClr val="FFFFFF"/>
        </a:solidFill>
        <a:ln w="9525">
          <a:solidFill>
            <a:srgbClr val="000000"/>
          </a:solidFill>
          <a:miter lim="800000"/>
          <a:headEnd/>
          <a:tailEnd/>
        </a:ln>
      </xdr:spPr>
      <xdr:txBody>
        <a:bodyPr vertOverflow="clip" wrap="square" lIns="27432" tIns="18288" rIns="27432" bIns="0" anchor="ctr" upright="1"/>
        <a:lstStyle/>
        <a:p>
          <a:pPr algn="ctr" rtl="0">
            <a:defRPr sz="1000"/>
          </a:pPr>
          <a:r>
            <a:rPr lang="fr-FR" sz="800" b="1" i="0" strike="noStrike">
              <a:solidFill>
                <a:srgbClr val="000000"/>
              </a:solidFill>
              <a:latin typeface="Arial"/>
              <a:ea typeface="Arial"/>
              <a:cs typeface="Arial"/>
            </a:rPr>
            <a:t>X</a:t>
          </a:r>
        </a:p>
        <a:p>
          <a:pPr algn="ctr" rtl="0">
            <a:defRPr sz="1000"/>
          </a:pPr>
          <a:endParaRPr lang="fr-FR" sz="800" b="1" i="0" strike="noStrike">
            <a:solidFill>
              <a:srgbClr val="000000"/>
            </a:solidFill>
            <a:latin typeface="Arial"/>
            <a:ea typeface="Arial"/>
            <a:cs typeface="Arial"/>
          </a:endParaRPr>
        </a:p>
      </xdr:txBody>
    </xdr:sp>
    <xdr:clientData/>
  </xdr:twoCellAnchor>
  <xdr:twoCellAnchor>
    <xdr:from>
      <xdr:col>12</xdr:col>
      <xdr:colOff>142874</xdr:colOff>
      <xdr:row>19</xdr:row>
      <xdr:rowOff>114300</xdr:rowOff>
    </xdr:from>
    <xdr:to>
      <xdr:col>12</xdr:col>
      <xdr:colOff>457199</xdr:colOff>
      <xdr:row>19</xdr:row>
      <xdr:rowOff>393700</xdr:rowOff>
    </xdr:to>
    <xdr:sp macro="" textlink="">
      <xdr:nvSpPr>
        <xdr:cNvPr id="171160" name="Rectangle 548">
          <a:extLst>
            <a:ext uri="{FF2B5EF4-FFF2-40B4-BE49-F238E27FC236}">
              <a16:creationId xmlns:a16="http://schemas.microsoft.com/office/drawing/2014/main" id="{00000000-0008-0000-0400-0000989C0200}"/>
            </a:ext>
          </a:extLst>
        </xdr:cNvPr>
        <xdr:cNvSpPr>
          <a:spLocks noChangeArrowheads="1"/>
        </xdr:cNvSpPr>
      </xdr:nvSpPr>
      <xdr:spPr bwMode="auto">
        <a:xfrm>
          <a:off x="12182474" y="3835400"/>
          <a:ext cx="314325" cy="279400"/>
        </a:xfrm>
        <a:prstGeom prst="rect">
          <a:avLst/>
        </a:prstGeom>
        <a:solidFill>
          <a:srgbClr val="FFFFFF"/>
        </a:solidFill>
        <a:ln w="9525">
          <a:solidFill>
            <a:srgbClr val="000000"/>
          </a:solidFill>
          <a:miter lim="800000"/>
          <a:headEnd/>
          <a:tailEnd/>
        </a:ln>
      </xdr:spPr>
      <xdr:txBody>
        <a:bodyPr/>
        <a:lstStyle/>
        <a:p>
          <a:r>
            <a:rPr lang="fr-CA"/>
            <a:t>X</a:t>
          </a:r>
        </a:p>
      </xdr:txBody>
    </xdr:sp>
    <xdr:clientData/>
  </xdr:twoCellAnchor>
  <xdr:twoCellAnchor>
    <xdr:from>
      <xdr:col>8</xdr:col>
      <xdr:colOff>104775</xdr:colOff>
      <xdr:row>17</xdr:row>
      <xdr:rowOff>38100</xdr:rowOff>
    </xdr:from>
    <xdr:to>
      <xdr:col>8</xdr:col>
      <xdr:colOff>431800</xdr:colOff>
      <xdr:row>17</xdr:row>
      <xdr:rowOff>304800</xdr:rowOff>
    </xdr:to>
    <xdr:sp macro="" textlink="">
      <xdr:nvSpPr>
        <xdr:cNvPr id="171161" name="Rectangle 549">
          <a:extLst>
            <a:ext uri="{FF2B5EF4-FFF2-40B4-BE49-F238E27FC236}">
              <a16:creationId xmlns:a16="http://schemas.microsoft.com/office/drawing/2014/main" id="{00000000-0008-0000-0400-0000999C0200}"/>
            </a:ext>
          </a:extLst>
        </xdr:cNvPr>
        <xdr:cNvSpPr>
          <a:spLocks noChangeArrowheads="1"/>
        </xdr:cNvSpPr>
      </xdr:nvSpPr>
      <xdr:spPr bwMode="auto">
        <a:xfrm>
          <a:off x="8461375" y="3263900"/>
          <a:ext cx="327025" cy="266700"/>
        </a:xfrm>
        <a:prstGeom prst="rect">
          <a:avLst/>
        </a:prstGeom>
        <a:solidFill>
          <a:srgbClr val="FFFFFF"/>
        </a:solidFill>
        <a:ln w="9525">
          <a:solidFill>
            <a:srgbClr val="000000"/>
          </a:solidFill>
          <a:miter lim="800000"/>
          <a:headEnd/>
          <a:tailEnd/>
        </a:ln>
      </xdr:spPr>
    </xdr:sp>
    <xdr:clientData/>
  </xdr:twoCellAnchor>
  <xdr:twoCellAnchor>
    <xdr:from>
      <xdr:col>11</xdr:col>
      <xdr:colOff>190500</xdr:colOff>
      <xdr:row>17</xdr:row>
      <xdr:rowOff>28575</xdr:rowOff>
    </xdr:from>
    <xdr:to>
      <xdr:col>11</xdr:col>
      <xdr:colOff>495300</xdr:colOff>
      <xdr:row>17</xdr:row>
      <xdr:rowOff>292100</xdr:rowOff>
    </xdr:to>
    <xdr:sp macro="" textlink="">
      <xdr:nvSpPr>
        <xdr:cNvPr id="171162" name="Rectangle 550">
          <a:extLst>
            <a:ext uri="{FF2B5EF4-FFF2-40B4-BE49-F238E27FC236}">
              <a16:creationId xmlns:a16="http://schemas.microsoft.com/office/drawing/2014/main" id="{00000000-0008-0000-0400-00009A9C0200}"/>
            </a:ext>
          </a:extLst>
        </xdr:cNvPr>
        <xdr:cNvSpPr>
          <a:spLocks noChangeArrowheads="1"/>
        </xdr:cNvSpPr>
      </xdr:nvSpPr>
      <xdr:spPr bwMode="auto">
        <a:xfrm>
          <a:off x="11252200" y="3254375"/>
          <a:ext cx="304800" cy="263525"/>
        </a:xfrm>
        <a:prstGeom prst="rect">
          <a:avLst/>
        </a:prstGeom>
        <a:solidFill>
          <a:srgbClr val="FFFFFF"/>
        </a:solidFill>
        <a:ln w="9525">
          <a:solidFill>
            <a:srgbClr val="000000"/>
          </a:solidFill>
          <a:miter lim="800000"/>
          <a:headEnd/>
          <a:tailEnd/>
        </a:ln>
      </xdr:spPr>
      <xdr:txBody>
        <a:bodyPr/>
        <a:lstStyle/>
        <a:p>
          <a:r>
            <a:rPr lang="fr-CA"/>
            <a:t>X</a:t>
          </a:r>
        </a:p>
      </xdr:txBody>
    </xdr:sp>
    <xdr:clientData/>
  </xdr:twoCellAnchor>
  <xdr:twoCellAnchor>
    <xdr:from>
      <xdr:col>13</xdr:col>
      <xdr:colOff>215901</xdr:colOff>
      <xdr:row>17</xdr:row>
      <xdr:rowOff>41275</xdr:rowOff>
    </xdr:from>
    <xdr:to>
      <xdr:col>14</xdr:col>
      <xdr:colOff>38100</xdr:colOff>
      <xdr:row>17</xdr:row>
      <xdr:rowOff>304800</xdr:rowOff>
    </xdr:to>
    <xdr:sp macro="" textlink="">
      <xdr:nvSpPr>
        <xdr:cNvPr id="171163" name="Rectangle 551">
          <a:extLst>
            <a:ext uri="{FF2B5EF4-FFF2-40B4-BE49-F238E27FC236}">
              <a16:creationId xmlns:a16="http://schemas.microsoft.com/office/drawing/2014/main" id="{00000000-0008-0000-0400-00009B9C0200}"/>
            </a:ext>
          </a:extLst>
        </xdr:cNvPr>
        <xdr:cNvSpPr>
          <a:spLocks noChangeArrowheads="1"/>
        </xdr:cNvSpPr>
      </xdr:nvSpPr>
      <xdr:spPr bwMode="auto">
        <a:xfrm>
          <a:off x="13284201" y="3267075"/>
          <a:ext cx="266699" cy="263525"/>
        </a:xfrm>
        <a:prstGeom prst="rect">
          <a:avLst/>
        </a:prstGeom>
        <a:solidFill>
          <a:srgbClr val="FFFFFF"/>
        </a:solidFill>
        <a:ln w="9525">
          <a:solidFill>
            <a:srgbClr val="000000"/>
          </a:solidFill>
          <a:miter lim="800000"/>
          <a:headEnd/>
          <a:tailEnd/>
        </a:ln>
      </xdr:spPr>
    </xdr:sp>
    <xdr:clientData/>
  </xdr:twoCellAnchor>
  <xdr:twoCellAnchor>
    <xdr:from>
      <xdr:col>10</xdr:col>
      <xdr:colOff>628651</xdr:colOff>
      <xdr:row>21</xdr:row>
      <xdr:rowOff>66674</xdr:rowOff>
    </xdr:from>
    <xdr:to>
      <xdr:col>11</xdr:col>
      <xdr:colOff>127001</xdr:colOff>
      <xdr:row>22</xdr:row>
      <xdr:rowOff>76200</xdr:rowOff>
    </xdr:to>
    <xdr:sp macro="" textlink="">
      <xdr:nvSpPr>
        <xdr:cNvPr id="171164" name="Rectangle 553">
          <a:extLst>
            <a:ext uri="{FF2B5EF4-FFF2-40B4-BE49-F238E27FC236}">
              <a16:creationId xmlns:a16="http://schemas.microsoft.com/office/drawing/2014/main" id="{00000000-0008-0000-0400-00009C9C0200}"/>
            </a:ext>
          </a:extLst>
        </xdr:cNvPr>
        <xdr:cNvSpPr>
          <a:spLocks noChangeArrowheads="1"/>
        </xdr:cNvSpPr>
      </xdr:nvSpPr>
      <xdr:spPr bwMode="auto">
        <a:xfrm>
          <a:off x="10788651" y="4384674"/>
          <a:ext cx="400050" cy="238126"/>
        </a:xfrm>
        <a:prstGeom prst="rect">
          <a:avLst/>
        </a:prstGeom>
        <a:solidFill>
          <a:srgbClr val="FFFFFF"/>
        </a:solidFill>
        <a:ln w="9525">
          <a:solidFill>
            <a:srgbClr val="000000"/>
          </a:solidFill>
          <a:miter lim="800000"/>
          <a:headEnd/>
          <a:tailEnd/>
        </a:ln>
      </xdr:spPr>
      <xdr:txBody>
        <a:bodyPr/>
        <a:lstStyle/>
        <a:p>
          <a:r>
            <a:rPr lang="fr-CA"/>
            <a:t>X</a:t>
          </a:r>
        </a:p>
      </xdr:txBody>
    </xdr:sp>
    <xdr:clientData/>
  </xdr:twoCellAnchor>
  <xdr:twoCellAnchor>
    <xdr:from>
      <xdr:col>13</xdr:col>
      <xdr:colOff>219075</xdr:colOff>
      <xdr:row>21</xdr:row>
      <xdr:rowOff>66675</xdr:rowOff>
    </xdr:from>
    <xdr:to>
      <xdr:col>14</xdr:col>
      <xdr:colOff>12700</xdr:colOff>
      <xdr:row>22</xdr:row>
      <xdr:rowOff>76200</xdr:rowOff>
    </xdr:to>
    <xdr:sp macro="" textlink="">
      <xdr:nvSpPr>
        <xdr:cNvPr id="171165" name="Rectangle 555">
          <a:extLst>
            <a:ext uri="{FF2B5EF4-FFF2-40B4-BE49-F238E27FC236}">
              <a16:creationId xmlns:a16="http://schemas.microsoft.com/office/drawing/2014/main" id="{00000000-0008-0000-0400-00009D9C0200}"/>
            </a:ext>
          </a:extLst>
        </xdr:cNvPr>
        <xdr:cNvSpPr>
          <a:spLocks noChangeArrowheads="1"/>
        </xdr:cNvSpPr>
      </xdr:nvSpPr>
      <xdr:spPr bwMode="auto">
        <a:xfrm>
          <a:off x="13287375" y="4384675"/>
          <a:ext cx="238125" cy="238125"/>
        </a:xfrm>
        <a:prstGeom prst="rect">
          <a:avLst/>
        </a:prstGeom>
        <a:solidFill>
          <a:srgbClr val="FFFFFF"/>
        </a:solidFill>
        <a:ln w="9525">
          <a:solidFill>
            <a:srgbClr val="000000"/>
          </a:solidFill>
          <a:miter lim="800000"/>
          <a:headEnd/>
          <a:tailEnd/>
        </a:ln>
      </xdr:spPr>
      <xdr:txBody>
        <a:bodyPr/>
        <a:lstStyle/>
        <a:p>
          <a:r>
            <a:rPr lang="fr-CA"/>
            <a:t>X</a:t>
          </a:r>
        </a:p>
      </xdr:txBody>
    </xdr:sp>
    <xdr:clientData/>
  </xdr:twoCellAnchor>
  <xdr:twoCellAnchor>
    <xdr:from>
      <xdr:col>11</xdr:col>
      <xdr:colOff>749300</xdr:colOff>
      <xdr:row>14</xdr:row>
      <xdr:rowOff>50801</xdr:rowOff>
    </xdr:from>
    <xdr:to>
      <xdr:col>12</xdr:col>
      <xdr:colOff>304800</xdr:colOff>
      <xdr:row>15</xdr:row>
      <xdr:rowOff>50800</xdr:rowOff>
    </xdr:to>
    <xdr:sp macro="" textlink="">
      <xdr:nvSpPr>
        <xdr:cNvPr id="171166" name="Rectangle 560">
          <a:extLst>
            <a:ext uri="{FF2B5EF4-FFF2-40B4-BE49-F238E27FC236}">
              <a16:creationId xmlns:a16="http://schemas.microsoft.com/office/drawing/2014/main" id="{00000000-0008-0000-0400-00009E9C0200}"/>
            </a:ext>
          </a:extLst>
        </xdr:cNvPr>
        <xdr:cNvSpPr>
          <a:spLocks noChangeArrowheads="1"/>
        </xdr:cNvSpPr>
      </xdr:nvSpPr>
      <xdr:spPr bwMode="auto">
        <a:xfrm>
          <a:off x="11772900" y="2755901"/>
          <a:ext cx="571500" cy="215899"/>
        </a:xfrm>
        <a:prstGeom prst="rect">
          <a:avLst/>
        </a:prstGeom>
        <a:solidFill>
          <a:srgbClr val="FFFFFF"/>
        </a:solidFill>
        <a:ln w="9525">
          <a:solidFill>
            <a:srgbClr val="000000"/>
          </a:solidFill>
          <a:miter lim="800000"/>
          <a:headEnd/>
          <a:tailEnd/>
        </a:ln>
      </xdr:spPr>
      <xdr:txBody>
        <a:bodyPr/>
        <a:lstStyle/>
        <a:p>
          <a:r>
            <a:rPr lang="fr-CA"/>
            <a:t>X</a:t>
          </a:r>
        </a:p>
      </xdr:txBody>
    </xdr:sp>
    <xdr:clientData/>
  </xdr:twoCellAnchor>
  <xdr:twoCellAnchor>
    <xdr:from>
      <xdr:col>9</xdr:col>
      <xdr:colOff>180975</xdr:colOff>
      <xdr:row>14</xdr:row>
      <xdr:rowOff>66674</xdr:rowOff>
    </xdr:from>
    <xdr:to>
      <xdr:col>9</xdr:col>
      <xdr:colOff>406400</xdr:colOff>
      <xdr:row>15</xdr:row>
      <xdr:rowOff>50799</xdr:rowOff>
    </xdr:to>
    <xdr:sp macro="" textlink="">
      <xdr:nvSpPr>
        <xdr:cNvPr id="171167" name="Rectangle 562">
          <a:extLst>
            <a:ext uri="{FF2B5EF4-FFF2-40B4-BE49-F238E27FC236}">
              <a16:creationId xmlns:a16="http://schemas.microsoft.com/office/drawing/2014/main" id="{00000000-0008-0000-0400-00009F9C0200}"/>
            </a:ext>
          </a:extLst>
        </xdr:cNvPr>
        <xdr:cNvSpPr>
          <a:spLocks noChangeArrowheads="1"/>
        </xdr:cNvSpPr>
      </xdr:nvSpPr>
      <xdr:spPr bwMode="auto">
        <a:xfrm>
          <a:off x="9401175" y="2771774"/>
          <a:ext cx="225425" cy="200025"/>
        </a:xfrm>
        <a:prstGeom prst="rect">
          <a:avLst/>
        </a:prstGeom>
        <a:solidFill>
          <a:srgbClr val="FFFFFF"/>
        </a:solidFill>
        <a:ln w="9525">
          <a:solidFill>
            <a:srgbClr val="000000"/>
          </a:solidFill>
          <a:miter lim="800000"/>
          <a:headEnd/>
          <a:tailEnd/>
        </a:ln>
      </xdr:spPr>
    </xdr:sp>
    <xdr:clientData/>
  </xdr:twoCellAnchor>
  <xdr:twoCellAnchor editAs="oneCell">
    <xdr:from>
      <xdr:col>8</xdr:col>
      <xdr:colOff>571500</xdr:colOff>
      <xdr:row>21</xdr:row>
      <xdr:rowOff>66674</xdr:rowOff>
    </xdr:from>
    <xdr:to>
      <xdr:col>9</xdr:col>
      <xdr:colOff>114300</xdr:colOff>
      <xdr:row>22</xdr:row>
      <xdr:rowOff>76200</xdr:rowOff>
    </xdr:to>
    <xdr:sp macro="" textlink="">
      <xdr:nvSpPr>
        <xdr:cNvPr id="171168" name="Rectangle 6233">
          <a:extLst>
            <a:ext uri="{FF2B5EF4-FFF2-40B4-BE49-F238E27FC236}">
              <a16:creationId xmlns:a16="http://schemas.microsoft.com/office/drawing/2014/main" id="{00000000-0008-0000-0400-0000A09C0200}"/>
            </a:ext>
          </a:extLst>
        </xdr:cNvPr>
        <xdr:cNvSpPr>
          <a:spLocks noChangeArrowheads="1"/>
        </xdr:cNvSpPr>
      </xdr:nvSpPr>
      <xdr:spPr bwMode="auto">
        <a:xfrm>
          <a:off x="8928100" y="4384674"/>
          <a:ext cx="444500" cy="238126"/>
        </a:xfrm>
        <a:prstGeom prst="rect">
          <a:avLst/>
        </a:prstGeom>
        <a:solidFill>
          <a:srgbClr val="FFFFFF"/>
        </a:solidFill>
        <a:ln w="9525">
          <a:solidFill>
            <a:srgbClr val="000000"/>
          </a:solidFill>
          <a:miter lim="800000"/>
          <a:headEnd/>
          <a:tailEnd/>
        </a:ln>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D:\Pnadeau\Share\Soumission\Cotation%20ordi%20C-1551%20MDP%2036%20MCX%20%20CAL%20R1%20v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1551 R1"/>
      <sheetName val="C-1551 R1 (POUR PROD)"/>
      <sheetName val="C-1551 R1 pour SC PRIM"/>
    </sheetNames>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B4:C5" totalsRowShown="0" headerRowDxfId="7" dataDxfId="6">
  <autoFilter ref="B4:C5" xr:uid="{00000000-0009-0000-0100-000001000000}"/>
  <tableColumns count="2">
    <tableColumn id="1" xr3:uid="{00000000-0010-0000-0000-000001000000}" name="Anglais" dataDxfId="5"/>
    <tableColumn id="2" xr3:uid="{00000000-0010-0000-0000-000002000000}" name="Français" dataDxfId="4"/>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5">
    <outlinePr summaryBelow="0" summaryRight="0"/>
  </sheetPr>
  <dimension ref="B1:G75"/>
  <sheetViews>
    <sheetView showGridLines="0" workbookViewId="0">
      <selection activeCell="D59" sqref="D59"/>
    </sheetView>
  </sheetViews>
  <sheetFormatPr baseColWidth="10" defaultColWidth="11.42578125" defaultRowHeight="11.25" outlineLevelRow="1"/>
  <cols>
    <col min="1" max="1" width="18" style="331" customWidth="1"/>
    <col min="2" max="2" width="36.85546875" style="331" customWidth="1"/>
    <col min="3" max="3" width="20" style="331" bestFit="1" customWidth="1"/>
    <col min="4" max="4" width="25.7109375" style="331" bestFit="1" customWidth="1"/>
    <col min="5" max="5" width="6.85546875" style="331" bestFit="1" customWidth="1"/>
    <col min="6" max="6" width="5.140625" style="331" bestFit="1" customWidth="1"/>
    <col min="7" max="7" width="5" style="331" bestFit="1" customWidth="1"/>
    <col min="8" max="16384" width="11.42578125" style="331"/>
  </cols>
  <sheetData>
    <row r="1" spans="2:7" ht="12" thickBot="1"/>
    <row r="2" spans="2:7" ht="12" thickBot="1">
      <c r="B2" s="332" t="s">
        <v>158</v>
      </c>
      <c r="C2" s="332" t="s">
        <v>159</v>
      </c>
      <c r="D2" s="332" t="s">
        <v>65</v>
      </c>
      <c r="E2" s="333" t="s">
        <v>160</v>
      </c>
      <c r="F2" s="341"/>
      <c r="G2" s="342"/>
    </row>
    <row r="3" spans="2:7">
      <c r="B3" s="343"/>
      <c r="C3" s="335"/>
      <c r="D3" s="336"/>
      <c r="E3" s="334" t="s">
        <v>161</v>
      </c>
      <c r="F3" s="334" t="s">
        <v>162</v>
      </c>
      <c r="G3" s="344" t="s">
        <v>163</v>
      </c>
    </row>
    <row r="4" spans="2:7">
      <c r="B4" s="345"/>
      <c r="C4" s="317" t="s">
        <v>66</v>
      </c>
      <c r="D4" s="346" t="s">
        <v>235</v>
      </c>
      <c r="E4" s="347"/>
      <c r="G4" s="348"/>
    </row>
    <row r="5" spans="2:7">
      <c r="B5" s="345"/>
      <c r="C5" s="317" t="s">
        <v>67</v>
      </c>
      <c r="D5" s="346" t="s">
        <v>236</v>
      </c>
      <c r="E5" s="347"/>
      <c r="G5" s="348"/>
    </row>
    <row r="6" spans="2:7">
      <c r="B6" s="345"/>
      <c r="C6" s="317" t="s">
        <v>68</v>
      </c>
      <c r="D6" s="346" t="s">
        <v>230</v>
      </c>
      <c r="E6" s="347"/>
      <c r="G6" s="348"/>
    </row>
    <row r="7" spans="2:7">
      <c r="B7" s="345"/>
      <c r="C7" s="317" t="s">
        <v>70</v>
      </c>
      <c r="D7" s="346"/>
      <c r="E7" s="347"/>
      <c r="G7" s="348"/>
    </row>
    <row r="8" spans="2:7">
      <c r="B8" s="345"/>
      <c r="C8" s="317" t="s">
        <v>69</v>
      </c>
      <c r="D8" s="346" t="s">
        <v>233</v>
      </c>
      <c r="E8" s="347"/>
      <c r="G8" s="348"/>
    </row>
    <row r="9" spans="2:7">
      <c r="B9" s="345"/>
      <c r="C9" s="317" t="s">
        <v>71</v>
      </c>
      <c r="D9" s="346"/>
      <c r="E9" s="347"/>
      <c r="G9" s="348"/>
    </row>
    <row r="10" spans="2:7" ht="33.75">
      <c r="B10" s="345"/>
      <c r="C10" s="317" t="s">
        <v>72</v>
      </c>
      <c r="D10" s="483" t="s">
        <v>229</v>
      </c>
      <c r="E10" s="347"/>
      <c r="G10" s="348"/>
    </row>
    <row r="11" spans="2:7">
      <c r="B11" s="345"/>
      <c r="C11" s="317" t="s">
        <v>73</v>
      </c>
      <c r="D11" s="346"/>
      <c r="E11" s="347"/>
      <c r="G11" s="348"/>
    </row>
    <row r="12" spans="2:7" ht="33.75">
      <c r="B12" s="345"/>
      <c r="C12" s="317" t="s">
        <v>74</v>
      </c>
      <c r="D12" s="483" t="s">
        <v>229</v>
      </c>
      <c r="E12" s="347"/>
      <c r="G12" s="348"/>
    </row>
    <row r="13" spans="2:7" ht="33.75">
      <c r="B13" s="345"/>
      <c r="C13" s="317" t="s">
        <v>75</v>
      </c>
      <c r="D13" s="483" t="s">
        <v>229</v>
      </c>
      <c r="E13" s="347"/>
      <c r="G13" s="348"/>
    </row>
    <row r="14" spans="2:7">
      <c r="B14" s="345"/>
      <c r="C14" s="317" t="s">
        <v>76</v>
      </c>
      <c r="D14" s="346" t="s">
        <v>232</v>
      </c>
      <c r="E14" s="347"/>
      <c r="G14" s="348"/>
    </row>
    <row r="15" spans="2:7">
      <c r="B15" s="345"/>
      <c r="C15" s="317" t="s">
        <v>77</v>
      </c>
      <c r="D15" s="368" t="s">
        <v>231</v>
      </c>
      <c r="E15" s="347"/>
      <c r="G15" s="348"/>
    </row>
    <row r="16" spans="2:7">
      <c r="B16" s="345"/>
      <c r="C16" s="317" t="s">
        <v>78</v>
      </c>
      <c r="D16" s="346"/>
      <c r="E16" s="347"/>
      <c r="G16" s="348"/>
    </row>
    <row r="17" spans="2:7">
      <c r="B17" s="345"/>
      <c r="C17" s="317" t="s">
        <v>79</v>
      </c>
      <c r="D17" s="346" t="s">
        <v>240</v>
      </c>
      <c r="E17" s="347"/>
      <c r="G17" s="348"/>
    </row>
    <row r="18" spans="2:7">
      <c r="B18" s="345"/>
      <c r="C18" s="317" t="s">
        <v>81</v>
      </c>
      <c r="D18" s="346">
        <v>1</v>
      </c>
      <c r="E18" s="347"/>
      <c r="G18" s="348"/>
    </row>
    <row r="19" spans="2:7">
      <c r="B19" s="345"/>
      <c r="C19" s="317" t="s">
        <v>82</v>
      </c>
      <c r="D19" s="346">
        <v>0</v>
      </c>
      <c r="E19" s="347"/>
      <c r="G19" s="348"/>
    </row>
    <row r="20" spans="2:7">
      <c r="B20" s="345"/>
      <c r="C20" s="317" t="s">
        <v>83</v>
      </c>
      <c r="D20" s="346">
        <v>0</v>
      </c>
      <c r="E20" s="347"/>
      <c r="G20" s="348"/>
    </row>
    <row r="21" spans="2:7">
      <c r="B21" s="345"/>
      <c r="C21" s="317" t="s">
        <v>84</v>
      </c>
      <c r="D21" s="346">
        <v>1</v>
      </c>
      <c r="E21" s="347"/>
      <c r="G21" s="348"/>
    </row>
    <row r="22" spans="2:7">
      <c r="B22" s="345"/>
      <c r="C22" s="317" t="s">
        <v>85</v>
      </c>
      <c r="D22" s="346">
        <v>0</v>
      </c>
      <c r="E22" s="347"/>
      <c r="G22" s="348"/>
    </row>
    <row r="23" spans="2:7">
      <c r="B23" s="345"/>
      <c r="C23" s="317" t="s">
        <v>86</v>
      </c>
      <c r="D23" s="346">
        <v>1</v>
      </c>
      <c r="E23" s="347"/>
      <c r="G23" s="348"/>
    </row>
    <row r="24" spans="2:7">
      <c r="B24" s="345"/>
      <c r="C24" s="317" t="s">
        <v>87</v>
      </c>
      <c r="D24" s="346">
        <v>0</v>
      </c>
      <c r="E24" s="349"/>
      <c r="F24" s="350"/>
      <c r="G24" s="351"/>
    </row>
    <row r="25" spans="2:7">
      <c r="B25" s="345"/>
      <c r="C25" s="317" t="s">
        <v>88</v>
      </c>
      <c r="D25" s="352">
        <f>DATE(dateEmissionAn,dateEmissionMois,dateEmissionJour)</f>
        <v>44555</v>
      </c>
      <c r="E25" s="353">
        <v>2025</v>
      </c>
      <c r="F25" s="353">
        <v>12</v>
      </c>
      <c r="G25" s="354">
        <v>26</v>
      </c>
    </row>
    <row r="26" spans="2:7">
      <c r="B26" s="345"/>
      <c r="C26" s="317" t="s">
        <v>89</v>
      </c>
      <c r="D26" s="346">
        <v>2</v>
      </c>
      <c r="E26" s="355"/>
      <c r="F26" s="356"/>
      <c r="G26" s="357"/>
    </row>
    <row r="27" spans="2:7">
      <c r="B27" s="345"/>
      <c r="C27" s="317" t="s">
        <v>95</v>
      </c>
      <c r="D27" s="358" t="s">
        <v>237</v>
      </c>
      <c r="E27" s="347"/>
      <c r="G27" s="348"/>
    </row>
    <row r="28" spans="2:7">
      <c r="B28" s="345"/>
      <c r="C28" s="317" t="s">
        <v>96</v>
      </c>
      <c r="D28" s="358" t="s">
        <v>238</v>
      </c>
      <c r="E28" s="347"/>
      <c r="G28" s="348"/>
    </row>
    <row r="29" spans="2:7">
      <c r="B29" s="345"/>
      <c r="C29" s="317" t="s">
        <v>97</v>
      </c>
      <c r="D29" s="358" t="s">
        <v>238</v>
      </c>
      <c r="E29" s="347"/>
      <c r="G29" s="348"/>
    </row>
    <row r="30" spans="2:7" ht="12" thickBot="1">
      <c r="B30" s="345"/>
      <c r="C30" s="318" t="s">
        <v>98</v>
      </c>
      <c r="D30" s="359">
        <v>1</v>
      </c>
      <c r="E30" s="347"/>
      <c r="G30" s="348"/>
    </row>
    <row r="31" spans="2:7">
      <c r="B31" s="345"/>
      <c r="C31" s="317" t="s">
        <v>128</v>
      </c>
      <c r="D31" s="346" t="s">
        <v>234</v>
      </c>
      <c r="E31" s="347"/>
      <c r="G31" s="348"/>
    </row>
    <row r="32" spans="2:7">
      <c r="B32" s="345"/>
      <c r="C32" s="317" t="s">
        <v>129</v>
      </c>
      <c r="D32" s="346"/>
      <c r="E32" s="347"/>
      <c r="G32" s="348"/>
    </row>
    <row r="33" spans="2:7">
      <c r="B33" s="345"/>
      <c r="C33" s="320" t="s">
        <v>130</v>
      </c>
      <c r="D33" s="360"/>
      <c r="E33" s="347"/>
      <c r="G33" s="348"/>
    </row>
    <row r="34" spans="2:7">
      <c r="B34" s="345"/>
      <c r="C34" s="317" t="s">
        <v>70</v>
      </c>
      <c r="D34" s="360"/>
      <c r="E34" s="347"/>
      <c r="G34" s="348"/>
    </row>
    <row r="35" spans="2:7">
      <c r="B35" s="345"/>
      <c r="C35" s="317" t="s">
        <v>69</v>
      </c>
      <c r="D35" s="360"/>
      <c r="E35" s="347"/>
      <c r="G35" s="348"/>
    </row>
    <row r="36" spans="2:7">
      <c r="B36" s="345"/>
      <c r="C36" s="317" t="s">
        <v>71</v>
      </c>
      <c r="D36" s="360"/>
      <c r="E36" s="347"/>
      <c r="G36" s="348"/>
    </row>
    <row r="37" spans="2:7">
      <c r="B37" s="345"/>
      <c r="C37" s="317" t="s">
        <v>128</v>
      </c>
      <c r="D37" s="360"/>
      <c r="E37" s="347"/>
      <c r="G37" s="348"/>
    </row>
    <row r="38" spans="2:7">
      <c r="B38" s="345"/>
      <c r="C38" s="317" t="s">
        <v>129</v>
      </c>
      <c r="D38" s="360"/>
      <c r="E38" s="347"/>
      <c r="G38" s="348"/>
    </row>
    <row r="39" spans="2:7">
      <c r="B39" s="345"/>
      <c r="C39" s="317" t="s">
        <v>72</v>
      </c>
      <c r="D39" s="360"/>
      <c r="E39" s="347"/>
      <c r="G39" s="348"/>
    </row>
    <row r="40" spans="2:7">
      <c r="B40" s="345"/>
      <c r="C40" s="317" t="s">
        <v>73</v>
      </c>
      <c r="D40" s="360"/>
      <c r="E40" s="347"/>
      <c r="G40" s="348"/>
    </row>
    <row r="41" spans="2:7">
      <c r="B41" s="345"/>
      <c r="C41" s="317" t="s">
        <v>74</v>
      </c>
      <c r="D41" s="360"/>
      <c r="E41" s="347"/>
      <c r="G41" s="348"/>
    </row>
    <row r="42" spans="2:7">
      <c r="B42" s="345"/>
      <c r="C42" s="317" t="s">
        <v>75</v>
      </c>
      <c r="D42" s="360"/>
      <c r="E42" s="347"/>
      <c r="G42" s="348"/>
    </row>
    <row r="43" spans="2:7">
      <c r="B43" s="345"/>
      <c r="C43" s="317" t="s">
        <v>76</v>
      </c>
      <c r="D43" s="360"/>
      <c r="E43" s="347"/>
      <c r="G43" s="348"/>
    </row>
    <row r="44" spans="2:7">
      <c r="B44" s="345"/>
      <c r="C44" s="317" t="s">
        <v>77</v>
      </c>
      <c r="D44" s="369"/>
      <c r="E44" s="347"/>
      <c r="G44" s="348"/>
    </row>
    <row r="45" spans="2:7">
      <c r="B45" s="345"/>
      <c r="D45" s="360"/>
      <c r="E45" s="347"/>
      <c r="G45" s="348"/>
    </row>
    <row r="46" spans="2:7">
      <c r="B46" s="337" t="s">
        <v>165</v>
      </c>
      <c r="C46" s="365" t="s">
        <v>164</v>
      </c>
      <c r="D46" s="360">
        <v>4</v>
      </c>
      <c r="E46" s="347"/>
      <c r="G46" s="348"/>
    </row>
    <row r="47" spans="2:7">
      <c r="B47" s="338"/>
      <c r="C47" s="367"/>
      <c r="D47" s="360"/>
      <c r="E47" s="347"/>
      <c r="G47" s="348"/>
    </row>
    <row r="48" spans="2:7">
      <c r="B48" s="338"/>
      <c r="C48" s="367" t="s">
        <v>132</v>
      </c>
      <c r="D48" s="360" t="s">
        <v>135</v>
      </c>
      <c r="E48" s="347"/>
      <c r="G48" s="348"/>
    </row>
    <row r="49" spans="2:7">
      <c r="B49" s="338"/>
      <c r="C49" s="367" t="s">
        <v>171</v>
      </c>
      <c r="D49" s="340" t="s">
        <v>239</v>
      </c>
      <c r="E49" s="347">
        <f>IF(UPPER(Langue)="FR",2,1)</f>
        <v>1</v>
      </c>
      <c r="G49" s="348"/>
    </row>
    <row r="50" spans="2:7">
      <c r="B50" s="338"/>
      <c r="C50" s="367" t="s">
        <v>133</v>
      </c>
      <c r="D50" s="360"/>
      <c r="E50" s="347"/>
      <c r="G50" s="348"/>
    </row>
    <row r="51" spans="2:7" ht="22.5">
      <c r="B51" s="338"/>
      <c r="C51" s="367" t="s">
        <v>182</v>
      </c>
      <c r="D51" s="360"/>
      <c r="E51" s="347"/>
      <c r="G51" s="348"/>
    </row>
    <row r="52" spans="2:7" ht="12" thickBot="1">
      <c r="B52" s="339"/>
      <c r="C52" s="366" t="s">
        <v>134</v>
      </c>
      <c r="D52" s="360"/>
      <c r="E52" s="347"/>
      <c r="G52" s="348"/>
    </row>
    <row r="53" spans="2:7">
      <c r="B53" s="337" t="s">
        <v>176</v>
      </c>
      <c r="C53" s="365" t="s">
        <v>172</v>
      </c>
      <c r="D53" s="360" t="s">
        <v>242</v>
      </c>
      <c r="E53" s="347"/>
      <c r="G53" s="348"/>
    </row>
    <row r="54" spans="2:7" outlineLevel="1">
      <c r="B54" s="338"/>
      <c r="C54" s="367" t="s">
        <v>173</v>
      </c>
      <c r="D54" s="360" t="s">
        <v>242</v>
      </c>
      <c r="E54" s="347"/>
      <c r="G54" s="348"/>
    </row>
    <row r="55" spans="2:7" outlineLevel="1">
      <c r="B55" s="338"/>
      <c r="C55" s="367" t="s">
        <v>174</v>
      </c>
      <c r="D55" s="360">
        <v>1</v>
      </c>
      <c r="E55" s="347"/>
      <c r="G55" s="348"/>
    </row>
    <row r="56" spans="2:7" ht="12" outlineLevel="1" thickBot="1">
      <c r="B56" s="339"/>
      <c r="C56" s="366" t="s">
        <v>175</v>
      </c>
      <c r="D56" s="360" t="s">
        <v>241</v>
      </c>
      <c r="E56" s="347"/>
      <c r="G56" s="348"/>
    </row>
    <row r="57" spans="2:7">
      <c r="B57" s="337" t="s">
        <v>167</v>
      </c>
      <c r="C57" s="365" t="s">
        <v>166</v>
      </c>
      <c r="D57" s="360" t="s">
        <v>1</v>
      </c>
      <c r="G57" s="348"/>
    </row>
    <row r="58" spans="2:7" outlineLevel="1">
      <c r="B58" s="338"/>
      <c r="C58" s="367" t="s">
        <v>72</v>
      </c>
      <c r="D58" s="360">
        <v>475</v>
      </c>
      <c r="G58" s="348"/>
    </row>
    <row r="59" spans="2:7" outlineLevel="1">
      <c r="B59" s="338"/>
      <c r="C59" s="367" t="s">
        <v>73</v>
      </c>
      <c r="D59" s="360" t="s">
        <v>178</v>
      </c>
      <c r="G59" s="348"/>
    </row>
    <row r="60" spans="2:7" outlineLevel="1">
      <c r="B60" s="338"/>
      <c r="C60" s="367" t="s">
        <v>177</v>
      </c>
      <c r="D60" s="360"/>
      <c r="G60" s="348"/>
    </row>
    <row r="61" spans="2:7" outlineLevel="1">
      <c r="B61" s="338"/>
      <c r="C61" s="367" t="s">
        <v>74</v>
      </c>
      <c r="D61" s="360" t="s">
        <v>169</v>
      </c>
      <c r="G61" s="348"/>
    </row>
    <row r="62" spans="2:7" outlineLevel="1">
      <c r="B62" s="338"/>
      <c r="C62" s="367" t="s">
        <v>168</v>
      </c>
      <c r="D62" s="360" t="s">
        <v>90</v>
      </c>
      <c r="G62" s="348"/>
    </row>
    <row r="63" spans="2:7" outlineLevel="1">
      <c r="B63" s="338"/>
      <c r="C63" s="367" t="s">
        <v>76</v>
      </c>
      <c r="D63" s="360" t="s">
        <v>91</v>
      </c>
      <c r="G63" s="348"/>
    </row>
    <row r="64" spans="2:7" outlineLevel="1">
      <c r="B64" s="338"/>
      <c r="C64" s="367" t="s">
        <v>180</v>
      </c>
      <c r="D64" s="360" t="s">
        <v>91</v>
      </c>
      <c r="G64" s="348"/>
    </row>
    <row r="65" spans="2:7" ht="12" outlineLevel="1" thickBot="1">
      <c r="B65" s="361"/>
      <c r="C65" s="366" t="s">
        <v>77</v>
      </c>
      <c r="D65" s="370" t="s">
        <v>170</v>
      </c>
      <c r="E65" s="363"/>
      <c r="F65" s="363"/>
      <c r="G65" s="364"/>
    </row>
    <row r="66" spans="2:7">
      <c r="B66" s="337" t="s">
        <v>179</v>
      </c>
      <c r="C66" s="365" t="s">
        <v>166</v>
      </c>
      <c r="D66" s="360" t="s">
        <v>243</v>
      </c>
      <c r="G66" s="348"/>
    </row>
    <row r="67" spans="2:7">
      <c r="B67" s="338"/>
      <c r="C67" s="367" t="s">
        <v>72</v>
      </c>
      <c r="D67" s="360" t="s">
        <v>244</v>
      </c>
      <c r="G67" s="348"/>
    </row>
    <row r="68" spans="2:7">
      <c r="B68" s="338"/>
      <c r="C68" s="367" t="s">
        <v>73</v>
      </c>
      <c r="D68" s="360" t="s">
        <v>178</v>
      </c>
      <c r="G68" s="348"/>
    </row>
    <row r="69" spans="2:7">
      <c r="B69" s="338"/>
      <c r="C69" s="367" t="s">
        <v>177</v>
      </c>
      <c r="D69" s="360"/>
      <c r="G69" s="348"/>
    </row>
    <row r="70" spans="2:7">
      <c r="B70" s="338"/>
      <c r="C70" s="367" t="s">
        <v>74</v>
      </c>
      <c r="D70" s="360" t="s">
        <v>245</v>
      </c>
      <c r="G70" s="348"/>
    </row>
    <row r="71" spans="2:7">
      <c r="B71" s="338"/>
      <c r="C71" s="367" t="s">
        <v>168</v>
      </c>
      <c r="D71" s="360"/>
      <c r="G71" s="348"/>
    </row>
    <row r="72" spans="2:7">
      <c r="B72" s="338"/>
      <c r="C72" s="367" t="s">
        <v>181</v>
      </c>
      <c r="D72" s="360" t="s">
        <v>90</v>
      </c>
      <c r="G72" s="348"/>
    </row>
    <row r="73" spans="2:7">
      <c r="B73" s="338"/>
      <c r="C73" s="367" t="s">
        <v>76</v>
      </c>
      <c r="D73" s="360" t="s">
        <v>5</v>
      </c>
      <c r="G73" s="348"/>
    </row>
    <row r="74" spans="2:7">
      <c r="B74" s="338"/>
      <c r="C74" s="367" t="s">
        <v>180</v>
      </c>
      <c r="D74" s="360" t="s">
        <v>91</v>
      </c>
      <c r="G74" s="348"/>
    </row>
    <row r="75" spans="2:7" ht="12" thickBot="1">
      <c r="B75" s="361"/>
      <c r="C75" s="366" t="s">
        <v>77</v>
      </c>
      <c r="D75" s="362" t="s">
        <v>246</v>
      </c>
      <c r="E75" s="363"/>
      <c r="F75" s="363"/>
      <c r="G75" s="364"/>
    </row>
  </sheetData>
  <phoneticPr fontId="20" type="noConversion"/>
  <dataValidations count="1">
    <dataValidation type="list" allowBlank="1" showInputMessage="1" showErrorMessage="1" sqref="D49" xr:uid="{00000000-0002-0000-0000-000000000000}">
      <formula1>"fr,en"</formula1>
    </dataValidation>
  </dataValidations>
  <pageMargins left="0.78740157499999996" right="0.78740157499999996" top="0.984251969" bottom="0.984251969" header="0.4921259845" footer="0.4921259845"/>
  <pageSetup paperSize="9" orientation="portrait" horizontalDpi="4294967293" r:id="rId1"/>
  <headerFooter alignWithMargins="0"/>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AH1261"/>
  <sheetViews>
    <sheetView showGridLines="0" zoomScale="75" zoomScaleNormal="65" zoomScaleSheetLayoutView="75" workbookViewId="0">
      <pane ySplit="7" topLeftCell="A8" activePane="bottomLeft" state="frozen"/>
      <selection pane="bottomLeft" activeCell="E8" sqref="E8"/>
    </sheetView>
  </sheetViews>
  <sheetFormatPr baseColWidth="10" defaultColWidth="30.5703125" defaultRowHeight="14.25" thickTop="1" thickBottom="1"/>
  <cols>
    <col min="1" max="1" width="10.28515625" style="122" bestFit="1" customWidth="1"/>
    <col min="2" max="3" width="9.28515625" style="122" customWidth="1"/>
    <col min="4" max="4" width="9.140625" style="122" customWidth="1"/>
    <col min="5" max="5" width="11.140625" style="122" customWidth="1"/>
    <col min="6" max="6" width="11.42578125" style="122" customWidth="1"/>
    <col min="7" max="7" width="8.140625" style="122" customWidth="1"/>
    <col min="8" max="8" width="9.85546875" style="122" customWidth="1"/>
    <col min="9" max="9" width="4.7109375" style="122" customWidth="1"/>
    <col min="10" max="10" width="10.7109375" style="122" customWidth="1"/>
    <col min="11" max="11" width="8.140625" style="122" customWidth="1"/>
    <col min="12" max="12" width="12.28515625" style="122" customWidth="1"/>
    <col min="13" max="13" width="8" style="122" customWidth="1"/>
    <col min="14" max="14" width="13.140625" style="122" customWidth="1"/>
    <col min="15" max="15" width="9.5703125" style="122" customWidth="1"/>
    <col min="16" max="16" width="9.7109375" style="122" customWidth="1"/>
    <col min="17" max="17" width="8.85546875" style="122" customWidth="1"/>
    <col min="18" max="18" width="35.5703125" style="122" customWidth="1"/>
    <col min="19" max="19" width="18.140625" style="122" customWidth="1"/>
    <col min="20" max="20" width="11" style="122" customWidth="1"/>
    <col min="21" max="21" width="10.5703125" style="122" customWidth="1"/>
    <col min="22" max="22" width="13.140625" style="122" bestFit="1" customWidth="1"/>
    <col min="23" max="23" width="11.7109375" style="122" bestFit="1" customWidth="1"/>
    <col min="24" max="24" width="15.85546875" style="122" customWidth="1"/>
    <col min="25" max="25" width="12.5703125" style="122" bestFit="1" customWidth="1"/>
    <col min="26" max="26" width="11.42578125" style="122" bestFit="1" customWidth="1"/>
    <col min="27" max="27" width="6.5703125" style="122" customWidth="1"/>
    <col min="28" max="28" width="14" style="122" customWidth="1"/>
    <col min="29" max="29" width="14.140625" style="122" customWidth="1"/>
    <col min="30" max="30" width="11.28515625" style="122" customWidth="1"/>
    <col min="31" max="31" width="10.140625" style="122" customWidth="1"/>
    <col min="32" max="32" width="12.28515625" style="122" customWidth="1"/>
    <col min="33" max="33" width="12.42578125" style="122" bestFit="1" customWidth="1"/>
    <col min="34" max="34" width="4.5703125" style="122" bestFit="1" customWidth="1"/>
    <col min="35" max="36" width="5.140625" style="122" bestFit="1" customWidth="1"/>
    <col min="37" max="16384" width="30.5703125" style="122"/>
  </cols>
  <sheetData>
    <row r="1" spans="1:34" ht="12.75">
      <c r="X1" s="123"/>
    </row>
    <row r="2" spans="1:34" ht="12.75">
      <c r="X2" s="123"/>
      <c r="AC2" s="124"/>
    </row>
    <row r="3" spans="1:34" ht="12.75">
      <c r="X3" s="123"/>
    </row>
    <row r="4" spans="1:34" ht="12.75">
      <c r="A4" s="125"/>
      <c r="B4" s="126"/>
      <c r="C4" s="126"/>
      <c r="D4" s="127"/>
      <c r="E4" s="128"/>
      <c r="F4" s="129"/>
      <c r="G4" s="130"/>
      <c r="H4" s="131"/>
      <c r="I4" s="125"/>
      <c r="J4" s="125"/>
      <c r="K4" s="125"/>
      <c r="L4" s="125"/>
      <c r="M4" s="125"/>
      <c r="N4" s="125"/>
      <c r="O4" s="132"/>
      <c r="P4" s="132"/>
      <c r="Q4" s="132"/>
      <c r="R4" s="125"/>
      <c r="S4" s="125"/>
      <c r="T4" s="125"/>
      <c r="U4" s="125"/>
      <c r="V4" s="125"/>
      <c r="W4" s="125"/>
      <c r="X4" s="125"/>
      <c r="Y4" s="133"/>
      <c r="Z4" s="133"/>
      <c r="AA4" s="132"/>
      <c r="AB4" s="134"/>
      <c r="AC4" s="134"/>
      <c r="AD4" s="135"/>
      <c r="AE4" s="136"/>
      <c r="AF4" s="125"/>
      <c r="AG4" s="125"/>
      <c r="AH4" s="125"/>
    </row>
    <row r="5" spans="1:34" ht="25.5">
      <c r="A5" s="137"/>
      <c r="B5" s="138"/>
      <c r="C5" s="138"/>
      <c r="D5" s="139"/>
      <c r="E5" s="140"/>
      <c r="F5" s="140"/>
      <c r="G5" s="141"/>
      <c r="H5" s="139"/>
      <c r="I5" s="139"/>
      <c r="J5" s="139"/>
      <c r="K5" s="139"/>
      <c r="L5" s="137"/>
      <c r="M5" s="142" t="s">
        <v>110</v>
      </c>
      <c r="N5" s="143" t="s">
        <v>111</v>
      </c>
      <c r="O5" s="144"/>
      <c r="P5" s="145"/>
      <c r="Q5" s="146"/>
      <c r="R5" s="137"/>
      <c r="S5" s="137"/>
      <c r="T5" s="137"/>
      <c r="U5" s="147"/>
      <c r="V5" s="147"/>
      <c r="W5" s="147" t="s">
        <v>112</v>
      </c>
      <c r="X5" s="148" t="s">
        <v>113</v>
      </c>
      <c r="Y5" s="149"/>
      <c r="Z5" s="149"/>
      <c r="AA5" s="146"/>
      <c r="AB5" s="150" t="s">
        <v>114</v>
      </c>
      <c r="AC5" s="150" t="s">
        <v>114</v>
      </c>
      <c r="AD5" s="151"/>
      <c r="AE5" s="152"/>
      <c r="AF5" s="129"/>
      <c r="AG5" s="129"/>
      <c r="AH5" s="129"/>
    </row>
    <row r="6" spans="1:34" ht="23.25">
      <c r="A6" s="153"/>
      <c r="B6" s="138"/>
      <c r="C6" s="138"/>
      <c r="D6" s="154"/>
      <c r="E6" s="137"/>
      <c r="F6" s="137"/>
      <c r="G6" s="137"/>
      <c r="H6" s="137"/>
      <c r="I6" s="137"/>
      <c r="J6" s="137"/>
      <c r="K6" s="137"/>
      <c r="L6" s="137"/>
      <c r="M6" s="143">
        <f>SUBTOTAL(9,M8:M6683)</f>
        <v>63</v>
      </c>
      <c r="N6" s="155">
        <f>SUBTOTAL(3,N8:N6683)</f>
        <v>10</v>
      </c>
      <c r="O6" s="144"/>
      <c r="P6" s="156"/>
      <c r="Q6" s="146"/>
      <c r="R6" s="137"/>
      <c r="S6" s="137"/>
      <c r="T6" s="137"/>
      <c r="U6" s="157">
        <f>SUBTOTAL(9,U8:U6683)</f>
        <v>342</v>
      </c>
      <c r="V6" s="158">
        <f>SUBTOTAL(9,V8:V6683)</f>
        <v>4185.0416000000005</v>
      </c>
      <c r="W6" s="159">
        <f>SUBTOTAL(9,W8:W6683)</f>
        <v>192.5</v>
      </c>
      <c r="X6" s="160">
        <f>SUBTOTAL(9,X8:X6683)</f>
        <v>33685.1</v>
      </c>
      <c r="Y6" s="161"/>
      <c r="Z6" s="161"/>
      <c r="AA6" s="162"/>
      <c r="AB6" s="163">
        <f>SUBTOTAL(9,AB8:AB6683)</f>
        <v>23143.8</v>
      </c>
      <c r="AC6" s="164">
        <f>SUBTOTAL(9,AC8:AC6683)</f>
        <v>23143.8</v>
      </c>
      <c r="AD6" s="138"/>
      <c r="AE6" s="152"/>
      <c r="AF6" s="165"/>
      <c r="AG6" s="165"/>
      <c r="AH6" s="165"/>
    </row>
    <row r="7" spans="1:34" ht="24.75" customHeight="1" thickBot="1">
      <c r="A7" s="166" t="s">
        <v>115</v>
      </c>
      <c r="B7" s="167" t="s">
        <v>116</v>
      </c>
      <c r="C7" s="167" t="s">
        <v>225</v>
      </c>
      <c r="D7" s="168" t="s">
        <v>55</v>
      </c>
      <c r="E7" s="169" t="s">
        <v>117</v>
      </c>
      <c r="F7" s="170" t="s">
        <v>63</v>
      </c>
      <c r="G7" s="171" t="s">
        <v>118</v>
      </c>
      <c r="H7" s="172" t="s">
        <v>119</v>
      </c>
      <c r="I7" s="173" t="s">
        <v>120</v>
      </c>
      <c r="J7" s="173" t="s">
        <v>121</v>
      </c>
      <c r="K7" s="173" t="s">
        <v>52</v>
      </c>
      <c r="L7" s="173" t="s">
        <v>149</v>
      </c>
      <c r="M7" s="173" t="s">
        <v>122</v>
      </c>
      <c r="N7" s="173" t="s">
        <v>150</v>
      </c>
      <c r="O7" s="174" t="s">
        <v>123</v>
      </c>
      <c r="P7" s="174" t="s">
        <v>124</v>
      </c>
      <c r="Q7" s="174" t="s">
        <v>125</v>
      </c>
      <c r="R7" s="173" t="s">
        <v>126</v>
      </c>
      <c r="S7" s="173" t="s">
        <v>104</v>
      </c>
      <c r="T7" s="173" t="s">
        <v>105</v>
      </c>
      <c r="U7" s="175" t="s">
        <v>136</v>
      </c>
      <c r="V7" s="175" t="s">
        <v>137</v>
      </c>
      <c r="W7" s="175" t="s">
        <v>138</v>
      </c>
      <c r="X7" s="173" t="s">
        <v>139</v>
      </c>
      <c r="Y7" s="176" t="s">
        <v>92</v>
      </c>
      <c r="Z7" s="176" t="s">
        <v>93</v>
      </c>
      <c r="AA7" s="177" t="s">
        <v>140</v>
      </c>
      <c r="AB7" s="176" t="s">
        <v>94</v>
      </c>
      <c r="AC7" s="176" t="str">
        <f>CONCATENATE("TOTAL","
",Devise)</f>
        <v>TOTAL
CAD</v>
      </c>
      <c r="AD7" s="178" t="s">
        <v>141</v>
      </c>
      <c r="AE7" s="179" t="s">
        <v>29</v>
      </c>
      <c r="AF7" s="180" t="s">
        <v>142</v>
      </c>
      <c r="AG7" s="180"/>
      <c r="AH7" s="180"/>
    </row>
    <row r="8" spans="1:34" ht="29.25" customHeight="1" thickTop="1" thickBot="1">
      <c r="A8" s="217" t="str">
        <f>'Bon #BL25-0002'!N2</f>
        <v>#BL25-0002</v>
      </c>
      <c r="B8" s="269"/>
      <c r="C8" s="269" t="s">
        <v>243</v>
      </c>
      <c r="D8" s="315" t="s">
        <v>247</v>
      </c>
      <c r="E8" s="270" t="s">
        <v>248</v>
      </c>
      <c r="F8" s="271" t="str">
        <f t="shared" ref="F8:F71" si="0">nomClient</f>
        <v>Construction Exemplaire Inc.</v>
      </c>
      <c r="G8" s="271" t="s">
        <v>249</v>
      </c>
      <c r="H8" s="218">
        <v>44554</v>
      </c>
      <c r="I8" s="272" t="s">
        <v>250</v>
      </c>
      <c r="J8" s="273" t="s">
        <v>251</v>
      </c>
      <c r="K8" s="274" t="s">
        <v>252</v>
      </c>
      <c r="L8" s="376" t="s">
        <v>253</v>
      </c>
      <c r="M8" s="275">
        <v>1</v>
      </c>
      <c r="N8" s="273" t="s">
        <v>254</v>
      </c>
      <c r="O8" s="276">
        <v>34</v>
      </c>
      <c r="P8" s="276">
        <v>23</v>
      </c>
      <c r="Q8" s="276">
        <v>4</v>
      </c>
      <c r="R8" s="277"/>
      <c r="S8" s="219">
        <v>34</v>
      </c>
      <c r="T8" s="219">
        <v>23</v>
      </c>
      <c r="U8" s="278">
        <v>34</v>
      </c>
      <c r="V8" s="279">
        <v>21.722200000000001</v>
      </c>
      <c r="W8" s="280">
        <v>1.81</v>
      </c>
      <c r="X8" s="281">
        <v>316.8</v>
      </c>
      <c r="Y8" s="220">
        <v>253.6</v>
      </c>
      <c r="Z8" s="282">
        <v>253.6</v>
      </c>
      <c r="AA8" s="316" t="s">
        <v>255</v>
      </c>
      <c r="AB8" s="221">
        <v>253.6</v>
      </c>
      <c r="AC8" s="222">
        <v>253.6</v>
      </c>
      <c r="AD8" s="200"/>
      <c r="AE8" s="182"/>
      <c r="AF8" s="201"/>
      <c r="AG8" s="201"/>
    </row>
    <row r="9" spans="1:34" ht="29.25" customHeight="1" thickTop="1" thickBot="1">
      <c r="A9" s="217" t="str">
        <f t="shared" ref="A9:A72" si="1">Ligne1</f>
        <v>#BL25-0002</v>
      </c>
      <c r="B9" s="269"/>
      <c r="C9" s="269" t="s">
        <v>243</v>
      </c>
      <c r="D9" s="315" t="s">
        <v>247</v>
      </c>
      <c r="E9" s="270" t="s">
        <v>248</v>
      </c>
      <c r="F9" s="271" t="str">
        <f t="shared" si="0"/>
        <v>Construction Exemplaire Inc.</v>
      </c>
      <c r="G9" s="271" t="s">
        <v>249</v>
      </c>
      <c r="H9" s="218">
        <v>44554</v>
      </c>
      <c r="I9" s="272" t="s">
        <v>256</v>
      </c>
      <c r="J9" s="273" t="s">
        <v>251</v>
      </c>
      <c r="K9" s="274" t="s">
        <v>257</v>
      </c>
      <c r="L9" s="273" t="s">
        <v>253</v>
      </c>
      <c r="M9" s="275">
        <v>2</v>
      </c>
      <c r="N9" s="273" t="s">
        <v>258</v>
      </c>
      <c r="O9" s="276">
        <v>46</v>
      </c>
      <c r="P9" s="276">
        <v>76</v>
      </c>
      <c r="Q9" s="276">
        <v>3</v>
      </c>
      <c r="R9" s="277"/>
      <c r="S9" s="277">
        <v>46</v>
      </c>
      <c r="T9" s="277">
        <v>76</v>
      </c>
      <c r="U9" s="278">
        <v>46</v>
      </c>
      <c r="V9" s="279">
        <v>825.44439999999997</v>
      </c>
      <c r="W9" s="280">
        <v>12.14</v>
      </c>
      <c r="X9" s="281">
        <v>2124.3000000000002</v>
      </c>
      <c r="Y9" s="220">
        <v>713.9</v>
      </c>
      <c r="Z9" s="282">
        <v>713.9</v>
      </c>
      <c r="AA9" s="316" t="s">
        <v>255</v>
      </c>
      <c r="AB9" s="221">
        <v>1427.8</v>
      </c>
      <c r="AC9" s="222">
        <v>1427.8</v>
      </c>
      <c r="AD9" s="200"/>
      <c r="AE9" s="182"/>
      <c r="AF9" s="201"/>
      <c r="AG9" s="201"/>
    </row>
    <row r="10" spans="1:34" ht="29.25" customHeight="1" thickTop="1" thickBot="1">
      <c r="A10" s="217" t="str">
        <f t="shared" si="1"/>
        <v>#BL25-0002</v>
      </c>
      <c r="B10" s="269"/>
      <c r="C10" s="269" t="s">
        <v>243</v>
      </c>
      <c r="D10" s="315" t="s">
        <v>247</v>
      </c>
      <c r="E10" s="270" t="s">
        <v>248</v>
      </c>
      <c r="F10" s="271" t="str">
        <f t="shared" si="0"/>
        <v>Construction Exemplaire Inc.</v>
      </c>
      <c r="G10" s="271" t="s">
        <v>249</v>
      </c>
      <c r="H10" s="218">
        <v>44554</v>
      </c>
      <c r="I10" s="272" t="s">
        <v>259</v>
      </c>
      <c r="J10" s="273" t="s">
        <v>251</v>
      </c>
      <c r="K10" s="274" t="s">
        <v>260</v>
      </c>
      <c r="L10" s="273" t="s">
        <v>253</v>
      </c>
      <c r="M10" s="275">
        <v>3</v>
      </c>
      <c r="N10" s="273" t="s">
        <v>261</v>
      </c>
      <c r="O10" s="276">
        <v>45</v>
      </c>
      <c r="P10" s="276">
        <v>45</v>
      </c>
      <c r="Q10" s="276">
        <v>5</v>
      </c>
      <c r="R10" s="277"/>
      <c r="S10" s="277">
        <v>45</v>
      </c>
      <c r="T10" s="277">
        <v>45</v>
      </c>
      <c r="U10" s="278">
        <v>45</v>
      </c>
      <c r="V10" s="279">
        <v>323.4375</v>
      </c>
      <c r="W10" s="280">
        <v>17.579999999999998</v>
      </c>
      <c r="X10" s="281">
        <v>3076.2</v>
      </c>
      <c r="Y10" s="220">
        <v>633.9</v>
      </c>
      <c r="Z10" s="282">
        <v>633.9</v>
      </c>
      <c r="AA10" s="316" t="s">
        <v>255</v>
      </c>
      <c r="AB10" s="221">
        <v>1901.7</v>
      </c>
      <c r="AC10" s="222">
        <v>1901.7</v>
      </c>
      <c r="AD10" s="200"/>
      <c r="AE10" s="182"/>
      <c r="AF10" s="201"/>
      <c r="AG10" s="201"/>
    </row>
    <row r="11" spans="1:34" ht="29.25" customHeight="1" thickTop="1" thickBot="1">
      <c r="A11" s="217" t="str">
        <f t="shared" si="1"/>
        <v>#BL25-0002</v>
      </c>
      <c r="B11" s="269"/>
      <c r="C11" s="269" t="s">
        <v>243</v>
      </c>
      <c r="D11" s="315" t="s">
        <v>247</v>
      </c>
      <c r="E11" s="270" t="s">
        <v>248</v>
      </c>
      <c r="F11" s="271" t="str">
        <f t="shared" si="0"/>
        <v>Construction Exemplaire Inc.</v>
      </c>
      <c r="G11" s="271" t="s">
        <v>249</v>
      </c>
      <c r="H11" s="218">
        <v>44554</v>
      </c>
      <c r="I11" s="272" t="s">
        <v>262</v>
      </c>
      <c r="J11" s="273" t="s">
        <v>251</v>
      </c>
      <c r="K11" s="274" t="s">
        <v>263</v>
      </c>
      <c r="L11" s="273" t="s">
        <v>253</v>
      </c>
      <c r="M11" s="275">
        <v>4</v>
      </c>
      <c r="N11" s="273" t="s">
        <v>264</v>
      </c>
      <c r="O11" s="276">
        <v>23</v>
      </c>
      <c r="P11" s="276">
        <v>34</v>
      </c>
      <c r="Q11" s="276">
        <v>6</v>
      </c>
      <c r="R11" s="277"/>
      <c r="S11" s="277">
        <v>23</v>
      </c>
      <c r="T11" s="277">
        <v>34</v>
      </c>
      <c r="U11" s="278">
        <v>23</v>
      </c>
      <c r="V11" s="279">
        <v>293.25</v>
      </c>
      <c r="W11" s="280">
        <v>10.86</v>
      </c>
      <c r="X11" s="281">
        <v>1900.7</v>
      </c>
      <c r="Y11" s="220">
        <v>321.39999999999998</v>
      </c>
      <c r="Z11" s="282">
        <v>321.39999999999998</v>
      </c>
      <c r="AA11" s="316" t="s">
        <v>255</v>
      </c>
      <c r="AB11" s="221">
        <v>1285.5999999999999</v>
      </c>
      <c r="AC11" s="222">
        <v>1285.5999999999999</v>
      </c>
      <c r="AD11" s="200"/>
      <c r="AE11" s="182"/>
      <c r="AF11" s="201"/>
      <c r="AG11" s="201"/>
    </row>
    <row r="12" spans="1:34" ht="29.25" customHeight="1" thickTop="1" thickBot="1">
      <c r="A12" s="217" t="str">
        <f t="shared" si="1"/>
        <v>#BL25-0002</v>
      </c>
      <c r="B12" s="269"/>
      <c r="C12" s="269" t="s">
        <v>243</v>
      </c>
      <c r="D12" s="315" t="s">
        <v>247</v>
      </c>
      <c r="E12" s="270" t="s">
        <v>248</v>
      </c>
      <c r="F12" s="271" t="str">
        <f t="shared" si="0"/>
        <v>Construction Exemplaire Inc.</v>
      </c>
      <c r="G12" s="271" t="s">
        <v>249</v>
      </c>
      <c r="H12" s="218">
        <v>44554</v>
      </c>
      <c r="I12" s="272" t="s">
        <v>265</v>
      </c>
      <c r="J12" s="273" t="s">
        <v>251</v>
      </c>
      <c r="K12" s="274" t="s">
        <v>266</v>
      </c>
      <c r="L12" s="273" t="s">
        <v>253</v>
      </c>
      <c r="M12" s="275">
        <v>5</v>
      </c>
      <c r="N12" s="273" t="s">
        <v>267</v>
      </c>
      <c r="O12" s="276">
        <v>23</v>
      </c>
      <c r="P12" s="276">
        <v>32</v>
      </c>
      <c r="Q12" s="276">
        <v>5</v>
      </c>
      <c r="R12" s="277"/>
      <c r="S12" s="277">
        <v>23</v>
      </c>
      <c r="T12" s="277">
        <v>32</v>
      </c>
      <c r="U12" s="278">
        <v>23</v>
      </c>
      <c r="V12" s="279">
        <v>628.66669999999999</v>
      </c>
      <c r="W12" s="280">
        <v>10.65</v>
      </c>
      <c r="X12" s="281">
        <v>1863.4</v>
      </c>
      <c r="Y12" s="220">
        <v>271.3</v>
      </c>
      <c r="Z12" s="282">
        <v>271.3</v>
      </c>
      <c r="AA12" s="316" t="s">
        <v>255</v>
      </c>
      <c r="AB12" s="221">
        <v>1356.5</v>
      </c>
      <c r="AC12" s="222">
        <v>1356.5</v>
      </c>
      <c r="AD12" s="200"/>
      <c r="AE12" s="182"/>
      <c r="AF12" s="201"/>
      <c r="AG12" s="201"/>
    </row>
    <row r="13" spans="1:34" ht="29.25" customHeight="1" thickTop="1" thickBot="1">
      <c r="A13" s="217" t="str">
        <f t="shared" si="1"/>
        <v>#BL25-0002</v>
      </c>
      <c r="B13" s="269"/>
      <c r="C13" s="269" t="s">
        <v>243</v>
      </c>
      <c r="D13" s="315" t="s">
        <v>268</v>
      </c>
      <c r="E13" s="270" t="s">
        <v>248</v>
      </c>
      <c r="F13" s="271" t="str">
        <f t="shared" si="0"/>
        <v>Construction Exemplaire Inc.</v>
      </c>
      <c r="G13" s="271" t="s">
        <v>269</v>
      </c>
      <c r="H13" s="218">
        <v>44554</v>
      </c>
      <c r="I13" s="272" t="s">
        <v>250</v>
      </c>
      <c r="J13" s="273" t="s">
        <v>251</v>
      </c>
      <c r="K13" s="274" t="s">
        <v>252</v>
      </c>
      <c r="L13" s="273" t="s">
        <v>253</v>
      </c>
      <c r="M13" s="275">
        <v>1</v>
      </c>
      <c r="N13" s="273" t="s">
        <v>254</v>
      </c>
      <c r="O13" s="276">
        <v>34</v>
      </c>
      <c r="P13" s="276">
        <v>23</v>
      </c>
      <c r="Q13" s="276">
        <v>4</v>
      </c>
      <c r="R13" s="277"/>
      <c r="S13" s="277">
        <v>34</v>
      </c>
      <c r="T13" s="277">
        <v>23</v>
      </c>
      <c r="U13" s="278">
        <v>34</v>
      </c>
      <c r="V13" s="279">
        <v>21.722200000000001</v>
      </c>
      <c r="W13" s="280">
        <v>1.81</v>
      </c>
      <c r="X13" s="281">
        <v>316.8</v>
      </c>
      <c r="Y13" s="220">
        <v>253.6</v>
      </c>
      <c r="Z13" s="282">
        <v>253.6</v>
      </c>
      <c r="AA13" s="316" t="s">
        <v>255</v>
      </c>
      <c r="AB13" s="221">
        <v>253.6</v>
      </c>
      <c r="AC13" s="222">
        <v>253.6</v>
      </c>
      <c r="AD13" s="200"/>
      <c r="AE13" s="182"/>
      <c r="AF13" s="201"/>
      <c r="AG13" s="201"/>
    </row>
    <row r="14" spans="1:34" ht="29.25" customHeight="1" thickTop="1" thickBot="1">
      <c r="A14" s="217" t="str">
        <f t="shared" si="1"/>
        <v>#BL25-0002</v>
      </c>
      <c r="B14" s="269"/>
      <c r="C14" s="269" t="s">
        <v>243</v>
      </c>
      <c r="D14" s="315" t="s">
        <v>268</v>
      </c>
      <c r="E14" s="270" t="s">
        <v>248</v>
      </c>
      <c r="F14" s="271" t="str">
        <f t="shared" si="0"/>
        <v>Construction Exemplaire Inc.</v>
      </c>
      <c r="G14" s="271" t="s">
        <v>269</v>
      </c>
      <c r="H14" s="218">
        <v>44554</v>
      </c>
      <c r="I14" s="272" t="s">
        <v>256</v>
      </c>
      <c r="J14" s="273" t="s">
        <v>251</v>
      </c>
      <c r="K14" s="274" t="s">
        <v>257</v>
      </c>
      <c r="L14" s="273" t="s">
        <v>253</v>
      </c>
      <c r="M14" s="275">
        <v>5</v>
      </c>
      <c r="N14" s="273" t="s">
        <v>258</v>
      </c>
      <c r="O14" s="276">
        <v>46</v>
      </c>
      <c r="P14" s="276">
        <v>76</v>
      </c>
      <c r="Q14" s="276">
        <v>3</v>
      </c>
      <c r="R14" s="277"/>
      <c r="S14" s="277">
        <v>46</v>
      </c>
      <c r="T14" s="277">
        <v>76</v>
      </c>
      <c r="U14" s="278">
        <v>46</v>
      </c>
      <c r="V14" s="279">
        <v>825.44439999999997</v>
      </c>
      <c r="W14" s="280">
        <v>30.35</v>
      </c>
      <c r="X14" s="281">
        <v>5310.8</v>
      </c>
      <c r="Y14" s="220">
        <v>713.9</v>
      </c>
      <c r="Z14" s="282">
        <v>713.9</v>
      </c>
      <c r="AA14" s="316" t="s">
        <v>255</v>
      </c>
      <c r="AB14" s="221">
        <v>3569.5</v>
      </c>
      <c r="AC14" s="222">
        <v>3569.5</v>
      </c>
      <c r="AD14" s="200"/>
      <c r="AE14" s="182"/>
      <c r="AF14" s="201"/>
      <c r="AG14" s="201"/>
    </row>
    <row r="15" spans="1:34" ht="29.25" customHeight="1" thickTop="1" thickBot="1">
      <c r="A15" s="217" t="str">
        <f t="shared" si="1"/>
        <v>#BL25-0002</v>
      </c>
      <c r="B15" s="269"/>
      <c r="C15" s="269" t="s">
        <v>243</v>
      </c>
      <c r="D15" s="315" t="s">
        <v>268</v>
      </c>
      <c r="E15" s="270" t="s">
        <v>248</v>
      </c>
      <c r="F15" s="271" t="str">
        <f t="shared" si="0"/>
        <v>Construction Exemplaire Inc.</v>
      </c>
      <c r="G15" s="271" t="s">
        <v>269</v>
      </c>
      <c r="H15" s="218">
        <v>44554</v>
      </c>
      <c r="I15" s="272" t="s">
        <v>259</v>
      </c>
      <c r="J15" s="273" t="s">
        <v>251</v>
      </c>
      <c r="K15" s="274" t="s">
        <v>260</v>
      </c>
      <c r="L15" s="273" t="s">
        <v>253</v>
      </c>
      <c r="M15" s="275">
        <v>4</v>
      </c>
      <c r="N15" s="273" t="s">
        <v>261</v>
      </c>
      <c r="O15" s="276">
        <v>45</v>
      </c>
      <c r="P15" s="276">
        <v>45</v>
      </c>
      <c r="Q15" s="276">
        <v>5</v>
      </c>
      <c r="R15" s="277"/>
      <c r="S15" s="277">
        <v>45</v>
      </c>
      <c r="T15" s="277">
        <v>45</v>
      </c>
      <c r="U15" s="278">
        <v>45</v>
      </c>
      <c r="V15" s="279">
        <v>323.4375</v>
      </c>
      <c r="W15" s="280">
        <v>23.44</v>
      </c>
      <c r="X15" s="281">
        <v>4101.6000000000004</v>
      </c>
      <c r="Y15" s="220">
        <v>633.9</v>
      </c>
      <c r="Z15" s="282">
        <v>633.9</v>
      </c>
      <c r="AA15" s="316" t="s">
        <v>255</v>
      </c>
      <c r="AB15" s="221">
        <v>2535.6</v>
      </c>
      <c r="AC15" s="222">
        <v>2535.6</v>
      </c>
      <c r="AD15" s="200"/>
      <c r="AE15" s="182"/>
      <c r="AF15" s="201"/>
      <c r="AG15" s="201"/>
    </row>
    <row r="16" spans="1:34" ht="29.25" customHeight="1" thickTop="1" thickBot="1">
      <c r="A16" s="217" t="str">
        <f t="shared" si="1"/>
        <v>#BL25-0002</v>
      </c>
      <c r="B16" s="269"/>
      <c r="C16" s="269" t="s">
        <v>243</v>
      </c>
      <c r="D16" s="315" t="s">
        <v>268</v>
      </c>
      <c r="E16" s="270" t="s">
        <v>248</v>
      </c>
      <c r="F16" s="271" t="str">
        <f t="shared" si="0"/>
        <v>Construction Exemplaire Inc.</v>
      </c>
      <c r="G16" s="271" t="s">
        <v>269</v>
      </c>
      <c r="H16" s="218">
        <v>44554</v>
      </c>
      <c r="I16" s="272" t="s">
        <v>262</v>
      </c>
      <c r="J16" s="273" t="s">
        <v>251</v>
      </c>
      <c r="K16" s="274" t="s">
        <v>263</v>
      </c>
      <c r="L16" s="273" t="s">
        <v>253</v>
      </c>
      <c r="M16" s="275">
        <v>5</v>
      </c>
      <c r="N16" s="273" t="s">
        <v>264</v>
      </c>
      <c r="O16" s="276">
        <v>23</v>
      </c>
      <c r="P16" s="276">
        <v>34</v>
      </c>
      <c r="Q16" s="276">
        <v>6</v>
      </c>
      <c r="R16" s="277"/>
      <c r="S16" s="277">
        <v>23</v>
      </c>
      <c r="T16" s="277">
        <v>34</v>
      </c>
      <c r="U16" s="278">
        <v>23</v>
      </c>
      <c r="V16" s="279">
        <v>293.25</v>
      </c>
      <c r="W16" s="280">
        <v>13.58</v>
      </c>
      <c r="X16" s="281">
        <v>2375.9</v>
      </c>
      <c r="Y16" s="220">
        <v>321.39999999999998</v>
      </c>
      <c r="Z16" s="282">
        <v>321.39999999999998</v>
      </c>
      <c r="AA16" s="316" t="s">
        <v>255</v>
      </c>
      <c r="AB16" s="221">
        <v>1607</v>
      </c>
      <c r="AC16" s="222">
        <v>1607</v>
      </c>
      <c r="AD16" s="200"/>
      <c r="AE16" s="182"/>
      <c r="AF16" s="201"/>
      <c r="AG16" s="201"/>
    </row>
    <row r="17" spans="1:33" ht="27.75" customHeight="1" thickTop="1" thickBot="1">
      <c r="A17" s="217" t="str">
        <f t="shared" si="1"/>
        <v>#BL25-0002</v>
      </c>
      <c r="B17" s="269"/>
      <c r="C17" s="269" t="s">
        <v>243</v>
      </c>
      <c r="D17" s="315" t="s">
        <v>268</v>
      </c>
      <c r="E17" s="270" t="s">
        <v>248</v>
      </c>
      <c r="F17" s="271" t="str">
        <f t="shared" si="0"/>
        <v>Construction Exemplaire Inc.</v>
      </c>
      <c r="G17" s="271" t="s">
        <v>269</v>
      </c>
      <c r="H17" s="218">
        <v>44554</v>
      </c>
      <c r="I17" s="272" t="s">
        <v>265</v>
      </c>
      <c r="J17" s="273" t="s">
        <v>251</v>
      </c>
      <c r="K17" s="274" t="s">
        <v>266</v>
      </c>
      <c r="L17" s="273" t="s">
        <v>253</v>
      </c>
      <c r="M17" s="275">
        <v>33</v>
      </c>
      <c r="N17" s="273" t="s">
        <v>267</v>
      </c>
      <c r="O17" s="276">
        <v>23</v>
      </c>
      <c r="P17" s="276">
        <v>32</v>
      </c>
      <c r="Q17" s="276">
        <v>5</v>
      </c>
      <c r="R17" s="277"/>
      <c r="S17" s="277">
        <v>23</v>
      </c>
      <c r="T17" s="277">
        <v>32</v>
      </c>
      <c r="U17" s="278">
        <v>23</v>
      </c>
      <c r="V17" s="279">
        <v>628.66669999999999</v>
      </c>
      <c r="W17" s="280">
        <v>70.28</v>
      </c>
      <c r="X17" s="281">
        <v>12298.6</v>
      </c>
      <c r="Y17" s="220">
        <v>271.3</v>
      </c>
      <c r="Z17" s="282">
        <v>271.3</v>
      </c>
      <c r="AA17" s="316" t="s">
        <v>255</v>
      </c>
      <c r="AB17" s="221">
        <v>8952.9</v>
      </c>
      <c r="AC17" s="222">
        <v>8952.9</v>
      </c>
      <c r="AD17" s="200"/>
      <c r="AE17" s="182"/>
      <c r="AF17" s="201"/>
      <c r="AG17" s="201"/>
    </row>
    <row r="18" spans="1:33" ht="27.75" customHeight="1" thickTop="1" thickBot="1">
      <c r="A18" s="217" t="str">
        <f t="shared" si="1"/>
        <v>#BL25-0002</v>
      </c>
      <c r="B18" s="269"/>
      <c r="C18" s="269"/>
      <c r="D18" s="284"/>
      <c r="E18" s="270"/>
      <c r="F18" s="271" t="str">
        <f t="shared" si="0"/>
        <v>Construction Exemplaire Inc.</v>
      </c>
      <c r="G18" s="271"/>
      <c r="H18" s="218"/>
      <c r="I18" s="272"/>
      <c r="J18" s="273"/>
      <c r="K18" s="274"/>
      <c r="L18" s="273"/>
      <c r="M18" s="275"/>
      <c r="N18" s="273"/>
      <c r="O18" s="219"/>
      <c r="P18" s="219"/>
      <c r="Q18" s="276"/>
      <c r="R18" s="277"/>
      <c r="S18" s="277"/>
      <c r="T18" s="277"/>
      <c r="U18" s="278"/>
      <c r="V18" s="279"/>
      <c r="W18" s="280"/>
      <c r="X18" s="281"/>
      <c r="Y18" s="220"/>
      <c r="Z18" s="282"/>
      <c r="AA18" s="283"/>
      <c r="AB18" s="221"/>
      <c r="AC18" s="222"/>
      <c r="AD18" s="200"/>
      <c r="AE18" s="182"/>
      <c r="AF18" s="201"/>
      <c r="AG18" s="201"/>
    </row>
    <row r="19" spans="1:33" ht="27.75" customHeight="1" thickTop="1" thickBot="1">
      <c r="A19" s="217" t="str">
        <f t="shared" si="1"/>
        <v>#BL25-0002</v>
      </c>
      <c r="B19" s="269"/>
      <c r="C19" s="269"/>
      <c r="D19" s="284"/>
      <c r="E19" s="270"/>
      <c r="F19" s="271" t="str">
        <f t="shared" si="0"/>
        <v>Construction Exemplaire Inc.</v>
      </c>
      <c r="G19" s="271"/>
      <c r="H19" s="218"/>
      <c r="I19" s="272"/>
      <c r="J19" s="273"/>
      <c r="K19" s="274"/>
      <c r="L19" s="273"/>
      <c r="M19" s="275"/>
      <c r="N19" s="273"/>
      <c r="O19" s="219"/>
      <c r="P19" s="219"/>
      <c r="Q19" s="276"/>
      <c r="R19" s="277"/>
      <c r="S19" s="277"/>
      <c r="T19" s="277"/>
      <c r="U19" s="278"/>
      <c r="V19" s="279"/>
      <c r="W19" s="280"/>
      <c r="X19" s="281"/>
      <c r="Y19" s="220"/>
      <c r="Z19" s="282"/>
      <c r="AA19" s="283"/>
      <c r="AB19" s="221"/>
      <c r="AC19" s="222"/>
      <c r="AD19" s="200"/>
      <c r="AE19" s="182"/>
      <c r="AF19" s="201"/>
      <c r="AG19" s="201"/>
    </row>
    <row r="20" spans="1:33" ht="27.75" customHeight="1" thickTop="1" thickBot="1">
      <c r="A20" s="217" t="str">
        <f t="shared" si="1"/>
        <v>#BL25-0002</v>
      </c>
      <c r="B20" s="269"/>
      <c r="C20" s="269"/>
      <c r="D20" s="284"/>
      <c r="E20" s="270"/>
      <c r="F20" s="271" t="str">
        <f t="shared" si="0"/>
        <v>Construction Exemplaire Inc.</v>
      </c>
      <c r="G20" s="271"/>
      <c r="H20" s="218"/>
      <c r="I20" s="272"/>
      <c r="J20" s="273"/>
      <c r="K20" s="274"/>
      <c r="L20" s="273"/>
      <c r="M20" s="275"/>
      <c r="N20" s="273"/>
      <c r="O20" s="219"/>
      <c r="P20" s="219"/>
      <c r="Q20" s="276"/>
      <c r="R20" s="277"/>
      <c r="S20" s="277"/>
      <c r="T20" s="277"/>
      <c r="U20" s="278"/>
      <c r="V20" s="279"/>
      <c r="W20" s="280"/>
      <c r="X20" s="281"/>
      <c r="Y20" s="220"/>
      <c r="Z20" s="282"/>
      <c r="AA20" s="283"/>
      <c r="AB20" s="221"/>
      <c r="AC20" s="222"/>
      <c r="AD20" s="200"/>
      <c r="AE20" s="182"/>
      <c r="AF20" s="201"/>
      <c r="AG20" s="201"/>
    </row>
    <row r="21" spans="1:33" ht="27.75" customHeight="1" thickTop="1" thickBot="1">
      <c r="A21" s="217" t="str">
        <f t="shared" si="1"/>
        <v>#BL25-0002</v>
      </c>
      <c r="B21" s="181"/>
      <c r="C21" s="181"/>
      <c r="D21" s="202"/>
      <c r="E21" s="183"/>
      <c r="F21" s="184" t="str">
        <f t="shared" si="0"/>
        <v>Construction Exemplaire Inc.</v>
      </c>
      <c r="G21" s="184"/>
      <c r="H21" s="183"/>
      <c r="I21" s="182"/>
      <c r="J21" s="185"/>
      <c r="K21" s="186"/>
      <c r="L21" s="185"/>
      <c r="M21" s="187"/>
      <c r="N21" s="185"/>
      <c r="O21" s="188"/>
      <c r="P21" s="188"/>
      <c r="Q21" s="189"/>
      <c r="R21" s="190"/>
      <c r="S21" s="190"/>
      <c r="T21" s="190"/>
      <c r="U21" s="191"/>
      <c r="V21" s="192"/>
      <c r="W21" s="193"/>
      <c r="X21" s="194"/>
      <c r="Y21" s="195"/>
      <c r="Z21" s="196"/>
      <c r="AA21" s="197"/>
      <c r="AB21" s="198"/>
      <c r="AC21" s="199"/>
      <c r="AD21" s="200"/>
      <c r="AE21" s="182"/>
      <c r="AF21" s="201"/>
      <c r="AG21" s="201"/>
    </row>
    <row r="22" spans="1:33" ht="27.75" customHeight="1" thickTop="1" thickBot="1">
      <c r="A22" s="217" t="str">
        <f t="shared" si="1"/>
        <v>#BL25-0002</v>
      </c>
      <c r="B22" s="181"/>
      <c r="C22" s="181"/>
      <c r="D22" s="202"/>
      <c r="E22" s="183"/>
      <c r="F22" s="184" t="str">
        <f t="shared" si="0"/>
        <v>Construction Exemplaire Inc.</v>
      </c>
      <c r="G22" s="184"/>
      <c r="H22" s="183"/>
      <c r="I22" s="182"/>
      <c r="J22" s="185"/>
      <c r="K22" s="186"/>
      <c r="L22" s="185"/>
      <c r="M22" s="187"/>
      <c r="N22" s="185"/>
      <c r="O22" s="188"/>
      <c r="P22" s="188"/>
      <c r="Q22" s="189"/>
      <c r="R22" s="190"/>
      <c r="S22" s="190"/>
      <c r="T22" s="190"/>
      <c r="U22" s="191"/>
      <c r="V22" s="192"/>
      <c r="W22" s="193"/>
      <c r="X22" s="194"/>
      <c r="Y22" s="195"/>
      <c r="Z22" s="196"/>
      <c r="AA22" s="197"/>
      <c r="AB22" s="198"/>
      <c r="AC22" s="199"/>
      <c r="AD22" s="200"/>
      <c r="AE22" s="182"/>
      <c r="AF22" s="201"/>
      <c r="AG22" s="201"/>
    </row>
    <row r="23" spans="1:33" ht="27.75" customHeight="1" thickTop="1" thickBot="1">
      <c r="A23" s="217" t="str">
        <f t="shared" si="1"/>
        <v>#BL25-0002</v>
      </c>
      <c r="B23" s="181"/>
      <c r="C23" s="181"/>
      <c r="D23" s="202"/>
      <c r="E23" s="183"/>
      <c r="F23" s="184" t="str">
        <f t="shared" si="0"/>
        <v>Construction Exemplaire Inc.</v>
      </c>
      <c r="G23" s="184"/>
      <c r="H23" s="183"/>
      <c r="I23" s="182"/>
      <c r="J23" s="185"/>
      <c r="K23" s="186"/>
      <c r="L23" s="185"/>
      <c r="M23" s="187"/>
      <c r="N23" s="185"/>
      <c r="O23" s="188"/>
      <c r="P23" s="188"/>
      <c r="Q23" s="189"/>
      <c r="R23" s="190"/>
      <c r="S23" s="190"/>
      <c r="T23" s="190"/>
      <c r="U23" s="191"/>
      <c r="V23" s="192"/>
      <c r="W23" s="193"/>
      <c r="X23" s="194"/>
      <c r="Y23" s="195"/>
      <c r="Z23" s="196"/>
      <c r="AA23" s="197"/>
      <c r="AB23" s="198"/>
      <c r="AC23" s="199"/>
      <c r="AD23" s="200"/>
      <c r="AE23" s="182"/>
      <c r="AF23" s="201"/>
      <c r="AG23" s="201"/>
    </row>
    <row r="24" spans="1:33" ht="27.75" customHeight="1" thickTop="1" thickBot="1">
      <c r="A24" s="217" t="str">
        <f t="shared" si="1"/>
        <v>#BL25-0002</v>
      </c>
      <c r="B24" s="181"/>
      <c r="C24" s="181"/>
      <c r="D24" s="202"/>
      <c r="E24" s="183"/>
      <c r="F24" s="184" t="str">
        <f t="shared" si="0"/>
        <v>Construction Exemplaire Inc.</v>
      </c>
      <c r="G24" s="184"/>
      <c r="H24" s="183"/>
      <c r="I24" s="182"/>
      <c r="J24" s="185"/>
      <c r="K24" s="186"/>
      <c r="L24" s="185"/>
      <c r="M24" s="187"/>
      <c r="N24" s="185"/>
      <c r="O24" s="188"/>
      <c r="P24" s="188"/>
      <c r="Q24" s="189"/>
      <c r="R24" s="190"/>
      <c r="S24" s="190"/>
      <c r="T24" s="190"/>
      <c r="U24" s="191"/>
      <c r="V24" s="192"/>
      <c r="W24" s="193"/>
      <c r="X24" s="194"/>
      <c r="Y24" s="195"/>
      <c r="Z24" s="196"/>
      <c r="AA24" s="197"/>
      <c r="AB24" s="198"/>
      <c r="AC24" s="199"/>
      <c r="AD24" s="200"/>
      <c r="AE24" s="182"/>
      <c r="AF24" s="201"/>
      <c r="AG24" s="201"/>
    </row>
    <row r="25" spans="1:33" ht="27.75" customHeight="1" thickTop="1" thickBot="1">
      <c r="A25" s="217" t="str">
        <f t="shared" si="1"/>
        <v>#BL25-0002</v>
      </c>
      <c r="B25" s="181"/>
      <c r="C25" s="181"/>
      <c r="D25" s="202"/>
      <c r="E25" s="183"/>
      <c r="F25" s="184" t="str">
        <f t="shared" si="0"/>
        <v>Construction Exemplaire Inc.</v>
      </c>
      <c r="G25" s="184"/>
      <c r="H25" s="183"/>
      <c r="I25" s="182"/>
      <c r="J25" s="185"/>
      <c r="K25" s="186"/>
      <c r="L25" s="185"/>
      <c r="M25" s="187"/>
      <c r="N25" s="185"/>
      <c r="O25" s="188"/>
      <c r="P25" s="188"/>
      <c r="Q25" s="189"/>
      <c r="R25" s="190"/>
      <c r="S25" s="190"/>
      <c r="T25" s="190"/>
      <c r="U25" s="191"/>
      <c r="V25" s="192"/>
      <c r="W25" s="193"/>
      <c r="X25" s="194"/>
      <c r="Y25" s="195"/>
      <c r="Z25" s="196"/>
      <c r="AA25" s="197"/>
      <c r="AB25" s="198"/>
      <c r="AC25" s="199"/>
      <c r="AD25" s="200"/>
      <c r="AE25" s="182"/>
      <c r="AF25" s="201"/>
      <c r="AG25" s="201"/>
    </row>
    <row r="26" spans="1:33" ht="27.75" customHeight="1" thickTop="1" thickBot="1">
      <c r="A26" s="217" t="str">
        <f t="shared" si="1"/>
        <v>#BL25-0002</v>
      </c>
      <c r="B26" s="181"/>
      <c r="C26" s="181"/>
      <c r="D26" s="202"/>
      <c r="E26" s="183"/>
      <c r="F26" s="184" t="str">
        <f t="shared" si="0"/>
        <v>Construction Exemplaire Inc.</v>
      </c>
      <c r="G26" s="184"/>
      <c r="H26" s="183"/>
      <c r="I26" s="182"/>
      <c r="J26" s="185"/>
      <c r="K26" s="186"/>
      <c r="L26" s="185"/>
      <c r="M26" s="187"/>
      <c r="N26" s="185"/>
      <c r="O26" s="188"/>
      <c r="P26" s="188"/>
      <c r="Q26" s="189"/>
      <c r="R26" s="190"/>
      <c r="S26" s="190"/>
      <c r="T26" s="190"/>
      <c r="U26" s="191"/>
      <c r="V26" s="192"/>
      <c r="W26" s="193"/>
      <c r="X26" s="194"/>
      <c r="Y26" s="195"/>
      <c r="Z26" s="196"/>
      <c r="AA26" s="197"/>
      <c r="AB26" s="198"/>
      <c r="AC26" s="199"/>
      <c r="AD26" s="200"/>
      <c r="AE26" s="182"/>
      <c r="AF26" s="201"/>
      <c r="AG26" s="201"/>
    </row>
    <row r="27" spans="1:33" ht="27.75" customHeight="1" thickTop="1" thickBot="1">
      <c r="A27" s="217" t="str">
        <f t="shared" si="1"/>
        <v>#BL25-0002</v>
      </c>
      <c r="B27" s="181"/>
      <c r="C27" s="181"/>
      <c r="D27" s="202"/>
      <c r="E27" s="183"/>
      <c r="F27" s="184" t="str">
        <f t="shared" si="0"/>
        <v>Construction Exemplaire Inc.</v>
      </c>
      <c r="G27" s="184"/>
      <c r="H27" s="183"/>
      <c r="I27" s="182"/>
      <c r="J27" s="185"/>
      <c r="K27" s="186"/>
      <c r="L27" s="185"/>
      <c r="M27" s="187"/>
      <c r="N27" s="185"/>
      <c r="O27" s="188"/>
      <c r="P27" s="188"/>
      <c r="Q27" s="189"/>
      <c r="R27" s="190"/>
      <c r="S27" s="190"/>
      <c r="T27" s="190"/>
      <c r="U27" s="191"/>
      <c r="V27" s="192"/>
      <c r="W27" s="193"/>
      <c r="X27" s="194"/>
      <c r="Y27" s="195"/>
      <c r="Z27" s="196"/>
      <c r="AA27" s="197"/>
      <c r="AB27" s="198"/>
      <c r="AC27" s="199"/>
      <c r="AD27" s="200"/>
      <c r="AE27" s="182"/>
      <c r="AF27" s="201"/>
      <c r="AG27" s="201"/>
    </row>
    <row r="28" spans="1:33" ht="27.75" customHeight="1" thickTop="1" thickBot="1">
      <c r="A28" s="217" t="str">
        <f t="shared" si="1"/>
        <v>#BL25-0002</v>
      </c>
      <c r="B28" s="181"/>
      <c r="C28" s="181"/>
      <c r="D28" s="202"/>
      <c r="E28" s="183"/>
      <c r="F28" s="184" t="str">
        <f t="shared" si="0"/>
        <v>Construction Exemplaire Inc.</v>
      </c>
      <c r="G28" s="184"/>
      <c r="H28" s="183"/>
      <c r="I28" s="182"/>
      <c r="J28" s="185"/>
      <c r="K28" s="186"/>
      <c r="L28" s="185"/>
      <c r="M28" s="187"/>
      <c r="N28" s="185"/>
      <c r="O28" s="188"/>
      <c r="P28" s="188"/>
      <c r="Q28" s="189"/>
      <c r="R28" s="190"/>
      <c r="S28" s="190"/>
      <c r="T28" s="190"/>
      <c r="U28" s="191"/>
      <c r="V28" s="192"/>
      <c r="W28" s="193"/>
      <c r="X28" s="194"/>
      <c r="Y28" s="195"/>
      <c r="Z28" s="196"/>
      <c r="AA28" s="197"/>
      <c r="AB28" s="198"/>
      <c r="AC28" s="199"/>
      <c r="AD28" s="200"/>
      <c r="AE28" s="182"/>
      <c r="AF28" s="201"/>
      <c r="AG28" s="201"/>
    </row>
    <row r="29" spans="1:33" ht="27.75" customHeight="1" thickTop="1" thickBot="1">
      <c r="A29" s="217" t="str">
        <f t="shared" si="1"/>
        <v>#BL25-0002</v>
      </c>
      <c r="B29" s="181"/>
      <c r="C29" s="181"/>
      <c r="D29" s="202"/>
      <c r="E29" s="183"/>
      <c r="F29" s="184" t="str">
        <f t="shared" si="0"/>
        <v>Construction Exemplaire Inc.</v>
      </c>
      <c r="G29" s="184"/>
      <c r="H29" s="183"/>
      <c r="I29" s="182"/>
      <c r="J29" s="185"/>
      <c r="K29" s="186"/>
      <c r="L29" s="185"/>
      <c r="M29" s="187"/>
      <c r="N29" s="185"/>
      <c r="O29" s="188"/>
      <c r="P29" s="188"/>
      <c r="Q29" s="189"/>
      <c r="R29" s="190"/>
      <c r="S29" s="190"/>
      <c r="T29" s="190"/>
      <c r="U29" s="191"/>
      <c r="V29" s="192"/>
      <c r="W29" s="193"/>
      <c r="X29" s="194"/>
      <c r="Y29" s="195"/>
      <c r="Z29" s="196"/>
      <c r="AA29" s="197"/>
      <c r="AB29" s="198"/>
      <c r="AC29" s="199"/>
      <c r="AD29" s="200"/>
      <c r="AE29" s="182"/>
      <c r="AF29" s="201"/>
      <c r="AG29" s="201"/>
    </row>
    <row r="30" spans="1:33" ht="27.75" customHeight="1" thickTop="1" thickBot="1">
      <c r="A30" s="217" t="str">
        <f t="shared" si="1"/>
        <v>#BL25-0002</v>
      </c>
      <c r="B30" s="181"/>
      <c r="C30" s="181"/>
      <c r="D30" s="202"/>
      <c r="E30" s="183"/>
      <c r="F30" s="184" t="str">
        <f t="shared" si="0"/>
        <v>Construction Exemplaire Inc.</v>
      </c>
      <c r="G30" s="184"/>
      <c r="H30" s="183"/>
      <c r="I30" s="182"/>
      <c r="J30" s="185"/>
      <c r="K30" s="186"/>
      <c r="L30" s="185"/>
      <c r="M30" s="187"/>
      <c r="N30" s="185"/>
      <c r="O30" s="188"/>
      <c r="P30" s="188"/>
      <c r="Q30" s="189"/>
      <c r="R30" s="190"/>
      <c r="S30" s="190"/>
      <c r="T30" s="190"/>
      <c r="U30" s="191"/>
      <c r="V30" s="192"/>
      <c r="W30" s="193"/>
      <c r="X30" s="194"/>
      <c r="Y30" s="195"/>
      <c r="Z30" s="196"/>
      <c r="AA30" s="197"/>
      <c r="AB30" s="198"/>
      <c r="AC30" s="199"/>
      <c r="AD30" s="200"/>
      <c r="AE30" s="182"/>
      <c r="AF30" s="201"/>
      <c r="AG30" s="201"/>
    </row>
    <row r="31" spans="1:33" ht="27.75" customHeight="1" thickTop="1" thickBot="1">
      <c r="A31" s="217" t="str">
        <f t="shared" si="1"/>
        <v>#BL25-0002</v>
      </c>
      <c r="B31" s="181"/>
      <c r="C31" s="181"/>
      <c r="D31" s="202"/>
      <c r="E31" s="183"/>
      <c r="F31" s="184" t="str">
        <f t="shared" si="0"/>
        <v>Construction Exemplaire Inc.</v>
      </c>
      <c r="G31" s="184"/>
      <c r="H31" s="183"/>
      <c r="I31" s="182"/>
      <c r="J31" s="185"/>
      <c r="K31" s="186"/>
      <c r="L31" s="185"/>
      <c r="M31" s="187"/>
      <c r="N31" s="185"/>
      <c r="O31" s="188"/>
      <c r="P31" s="188"/>
      <c r="Q31" s="189"/>
      <c r="R31" s="190"/>
      <c r="S31" s="190"/>
      <c r="T31" s="190"/>
      <c r="U31" s="191"/>
      <c r="V31" s="192"/>
      <c r="W31" s="193"/>
      <c r="X31" s="194"/>
      <c r="Y31" s="195"/>
      <c r="Z31" s="196"/>
      <c r="AA31" s="197"/>
      <c r="AB31" s="198"/>
      <c r="AC31" s="199"/>
      <c r="AD31" s="200"/>
      <c r="AE31" s="182"/>
      <c r="AF31" s="201"/>
      <c r="AG31" s="201"/>
    </row>
    <row r="32" spans="1:33" ht="27.75" customHeight="1" thickTop="1" thickBot="1">
      <c r="A32" s="217" t="str">
        <f t="shared" si="1"/>
        <v>#BL25-0002</v>
      </c>
      <c r="B32" s="181"/>
      <c r="C32" s="181"/>
      <c r="D32" s="202"/>
      <c r="E32" s="183"/>
      <c r="F32" s="184" t="str">
        <f t="shared" si="0"/>
        <v>Construction Exemplaire Inc.</v>
      </c>
      <c r="G32" s="184"/>
      <c r="H32" s="183"/>
      <c r="I32" s="182"/>
      <c r="J32" s="185"/>
      <c r="K32" s="186"/>
      <c r="L32" s="185"/>
      <c r="M32" s="187"/>
      <c r="N32" s="185"/>
      <c r="O32" s="188"/>
      <c r="P32" s="188"/>
      <c r="Q32" s="189"/>
      <c r="R32" s="190"/>
      <c r="S32" s="190"/>
      <c r="T32" s="190"/>
      <c r="U32" s="191"/>
      <c r="V32" s="192"/>
      <c r="W32" s="193"/>
      <c r="X32" s="194"/>
      <c r="Y32" s="195"/>
      <c r="Z32" s="196"/>
      <c r="AA32" s="197"/>
      <c r="AB32" s="198"/>
      <c r="AC32" s="199"/>
      <c r="AD32" s="200"/>
      <c r="AE32" s="182"/>
      <c r="AF32" s="201"/>
      <c r="AG32" s="201"/>
    </row>
    <row r="33" spans="1:33" ht="27.75" customHeight="1" thickTop="1" thickBot="1">
      <c r="A33" s="217" t="str">
        <f t="shared" si="1"/>
        <v>#BL25-0002</v>
      </c>
      <c r="B33" s="181"/>
      <c r="C33" s="181"/>
      <c r="D33" s="202"/>
      <c r="E33" s="183"/>
      <c r="F33" s="184" t="str">
        <f t="shared" si="0"/>
        <v>Construction Exemplaire Inc.</v>
      </c>
      <c r="G33" s="184"/>
      <c r="H33" s="183"/>
      <c r="I33" s="182"/>
      <c r="J33" s="185"/>
      <c r="K33" s="186"/>
      <c r="L33" s="185"/>
      <c r="M33" s="187"/>
      <c r="N33" s="185"/>
      <c r="O33" s="188"/>
      <c r="P33" s="188"/>
      <c r="Q33" s="189"/>
      <c r="R33" s="190"/>
      <c r="S33" s="190"/>
      <c r="T33" s="190"/>
      <c r="U33" s="191"/>
      <c r="V33" s="192"/>
      <c r="W33" s="193"/>
      <c r="X33" s="194"/>
      <c r="Y33" s="195"/>
      <c r="Z33" s="196"/>
      <c r="AA33" s="197"/>
      <c r="AB33" s="198"/>
      <c r="AC33" s="199"/>
      <c r="AD33" s="200"/>
      <c r="AE33" s="182"/>
      <c r="AF33" s="201"/>
      <c r="AG33" s="201"/>
    </row>
    <row r="34" spans="1:33" ht="27.75" customHeight="1" thickTop="1" thickBot="1">
      <c r="A34" s="217" t="str">
        <f t="shared" si="1"/>
        <v>#BL25-0002</v>
      </c>
      <c r="B34" s="181"/>
      <c r="C34" s="181"/>
      <c r="D34" s="202"/>
      <c r="E34" s="183"/>
      <c r="F34" s="184" t="str">
        <f t="shared" si="0"/>
        <v>Construction Exemplaire Inc.</v>
      </c>
      <c r="G34" s="184"/>
      <c r="H34" s="183"/>
      <c r="I34" s="182"/>
      <c r="J34" s="185"/>
      <c r="K34" s="186"/>
      <c r="L34" s="185"/>
      <c r="M34" s="187"/>
      <c r="N34" s="185"/>
      <c r="O34" s="188"/>
      <c r="P34" s="188"/>
      <c r="Q34" s="189"/>
      <c r="R34" s="190"/>
      <c r="S34" s="190"/>
      <c r="T34" s="190"/>
      <c r="U34" s="191"/>
      <c r="V34" s="192"/>
      <c r="W34" s="193"/>
      <c r="X34" s="194"/>
      <c r="Y34" s="195"/>
      <c r="Z34" s="196"/>
      <c r="AA34" s="197"/>
      <c r="AB34" s="198"/>
      <c r="AC34" s="199"/>
      <c r="AD34" s="200"/>
      <c r="AE34" s="182"/>
      <c r="AF34" s="201"/>
      <c r="AG34" s="201"/>
    </row>
    <row r="35" spans="1:33" ht="27.75" customHeight="1" thickTop="1" thickBot="1">
      <c r="A35" s="217" t="str">
        <f t="shared" si="1"/>
        <v>#BL25-0002</v>
      </c>
      <c r="B35" s="181"/>
      <c r="C35" s="181"/>
      <c r="D35" s="202"/>
      <c r="E35" s="183"/>
      <c r="F35" s="184" t="str">
        <f t="shared" si="0"/>
        <v>Construction Exemplaire Inc.</v>
      </c>
      <c r="G35" s="184"/>
      <c r="H35" s="183"/>
      <c r="I35" s="182"/>
      <c r="J35" s="185"/>
      <c r="K35" s="186"/>
      <c r="L35" s="185"/>
      <c r="M35" s="187"/>
      <c r="N35" s="185"/>
      <c r="O35" s="188"/>
      <c r="P35" s="188"/>
      <c r="Q35" s="189"/>
      <c r="R35" s="190"/>
      <c r="S35" s="190"/>
      <c r="T35" s="190"/>
      <c r="U35" s="191"/>
      <c r="V35" s="192"/>
      <c r="W35" s="193"/>
      <c r="X35" s="194"/>
      <c r="Y35" s="195"/>
      <c r="Z35" s="196"/>
      <c r="AA35" s="197"/>
      <c r="AB35" s="198"/>
      <c r="AC35" s="199"/>
      <c r="AD35" s="200"/>
      <c r="AE35" s="182"/>
      <c r="AF35" s="201"/>
      <c r="AG35" s="201"/>
    </row>
    <row r="36" spans="1:33" ht="27.75" customHeight="1" thickTop="1" thickBot="1">
      <c r="A36" s="217" t="str">
        <f t="shared" si="1"/>
        <v>#BL25-0002</v>
      </c>
      <c r="B36" s="181"/>
      <c r="C36" s="181"/>
      <c r="D36" s="202"/>
      <c r="E36" s="183"/>
      <c r="F36" s="184" t="str">
        <f t="shared" si="0"/>
        <v>Construction Exemplaire Inc.</v>
      </c>
      <c r="G36" s="184"/>
      <c r="H36" s="183"/>
      <c r="I36" s="182"/>
      <c r="J36" s="185"/>
      <c r="K36" s="186"/>
      <c r="L36" s="185"/>
      <c r="M36" s="187"/>
      <c r="N36" s="185"/>
      <c r="O36" s="188"/>
      <c r="P36" s="188"/>
      <c r="Q36" s="189"/>
      <c r="R36" s="190"/>
      <c r="S36" s="190"/>
      <c r="T36" s="190"/>
      <c r="U36" s="191"/>
      <c r="V36" s="192"/>
      <c r="W36" s="193"/>
      <c r="X36" s="194"/>
      <c r="Y36" s="195"/>
      <c r="Z36" s="196"/>
      <c r="AA36" s="197"/>
      <c r="AB36" s="198"/>
      <c r="AC36" s="199"/>
      <c r="AD36" s="200"/>
      <c r="AE36" s="182"/>
      <c r="AF36" s="201"/>
      <c r="AG36" s="201"/>
    </row>
    <row r="37" spans="1:33" ht="27.75" customHeight="1" thickTop="1" thickBot="1">
      <c r="A37" s="217" t="str">
        <f t="shared" si="1"/>
        <v>#BL25-0002</v>
      </c>
      <c r="B37" s="181"/>
      <c r="C37" s="181"/>
      <c r="D37" s="202"/>
      <c r="E37" s="183"/>
      <c r="F37" s="184" t="str">
        <f t="shared" si="0"/>
        <v>Construction Exemplaire Inc.</v>
      </c>
      <c r="G37" s="184"/>
      <c r="H37" s="183"/>
      <c r="I37" s="182"/>
      <c r="J37" s="185"/>
      <c r="K37" s="186"/>
      <c r="L37" s="185"/>
      <c r="M37" s="187"/>
      <c r="N37" s="185"/>
      <c r="O37" s="188"/>
      <c r="P37" s="188"/>
      <c r="Q37" s="189"/>
      <c r="R37" s="190"/>
      <c r="S37" s="190"/>
      <c r="T37" s="190"/>
      <c r="U37" s="191"/>
      <c r="V37" s="192"/>
      <c r="W37" s="193"/>
      <c r="X37" s="194"/>
      <c r="Y37" s="195"/>
      <c r="Z37" s="196"/>
      <c r="AA37" s="197"/>
      <c r="AB37" s="198"/>
      <c r="AC37" s="199"/>
      <c r="AD37" s="200"/>
      <c r="AE37" s="182"/>
      <c r="AF37" s="201"/>
      <c r="AG37" s="201"/>
    </row>
    <row r="38" spans="1:33" ht="27.75" customHeight="1" thickTop="1" thickBot="1">
      <c r="A38" s="217" t="str">
        <f t="shared" si="1"/>
        <v>#BL25-0002</v>
      </c>
      <c r="B38" s="181"/>
      <c r="C38" s="181"/>
      <c r="D38" s="202"/>
      <c r="E38" s="183"/>
      <c r="F38" s="184" t="str">
        <f t="shared" si="0"/>
        <v>Construction Exemplaire Inc.</v>
      </c>
      <c r="G38" s="184"/>
      <c r="H38" s="183"/>
      <c r="I38" s="182"/>
      <c r="J38" s="185"/>
      <c r="K38" s="186"/>
      <c r="L38" s="185"/>
      <c r="M38" s="187"/>
      <c r="N38" s="185"/>
      <c r="O38" s="188"/>
      <c r="P38" s="188"/>
      <c r="Q38" s="189"/>
      <c r="R38" s="190"/>
      <c r="S38" s="190"/>
      <c r="T38" s="190"/>
      <c r="U38" s="191"/>
      <c r="V38" s="192"/>
      <c r="W38" s="193"/>
      <c r="X38" s="194"/>
      <c r="Y38" s="195"/>
      <c r="Z38" s="196"/>
      <c r="AA38" s="197"/>
      <c r="AB38" s="198"/>
      <c r="AC38" s="199"/>
      <c r="AD38" s="200"/>
      <c r="AE38" s="182"/>
      <c r="AF38" s="201"/>
      <c r="AG38" s="201"/>
    </row>
    <row r="39" spans="1:33" ht="27.75" customHeight="1" thickTop="1" thickBot="1">
      <c r="A39" s="217" t="str">
        <f t="shared" si="1"/>
        <v>#BL25-0002</v>
      </c>
      <c r="B39" s="181"/>
      <c r="C39" s="181"/>
      <c r="D39" s="202"/>
      <c r="E39" s="183"/>
      <c r="F39" s="184" t="str">
        <f t="shared" si="0"/>
        <v>Construction Exemplaire Inc.</v>
      </c>
      <c r="G39" s="184"/>
      <c r="H39" s="183"/>
      <c r="I39" s="182"/>
      <c r="J39" s="185"/>
      <c r="K39" s="186"/>
      <c r="L39" s="185"/>
      <c r="M39" s="187"/>
      <c r="N39" s="185"/>
      <c r="O39" s="188"/>
      <c r="P39" s="188"/>
      <c r="Q39" s="189"/>
      <c r="R39" s="190"/>
      <c r="S39" s="190"/>
      <c r="T39" s="190"/>
      <c r="U39" s="191"/>
      <c r="V39" s="192"/>
      <c r="W39" s="193"/>
      <c r="X39" s="194"/>
      <c r="Y39" s="195"/>
      <c r="Z39" s="196"/>
      <c r="AA39" s="197"/>
      <c r="AB39" s="198"/>
      <c r="AC39" s="199"/>
      <c r="AD39" s="200"/>
      <c r="AE39" s="182"/>
      <c r="AF39" s="201"/>
      <c r="AG39" s="201"/>
    </row>
    <row r="40" spans="1:33" ht="27.75" customHeight="1" thickTop="1" thickBot="1">
      <c r="A40" s="217" t="str">
        <f t="shared" si="1"/>
        <v>#BL25-0002</v>
      </c>
      <c r="B40" s="181"/>
      <c r="C40" s="181"/>
      <c r="D40" s="202"/>
      <c r="E40" s="183"/>
      <c r="F40" s="184" t="str">
        <f t="shared" si="0"/>
        <v>Construction Exemplaire Inc.</v>
      </c>
      <c r="G40" s="184"/>
      <c r="H40" s="183"/>
      <c r="I40" s="182"/>
      <c r="J40" s="185"/>
      <c r="K40" s="186"/>
      <c r="L40" s="185"/>
      <c r="M40" s="187"/>
      <c r="N40" s="185"/>
      <c r="O40" s="188"/>
      <c r="P40" s="188"/>
      <c r="Q40" s="189"/>
      <c r="R40" s="190"/>
      <c r="S40" s="190"/>
      <c r="T40" s="190"/>
      <c r="U40" s="191"/>
      <c r="V40" s="192"/>
      <c r="W40" s="193"/>
      <c r="X40" s="194"/>
      <c r="Y40" s="195"/>
      <c r="Z40" s="196"/>
      <c r="AA40" s="197"/>
      <c r="AB40" s="198"/>
      <c r="AC40" s="199"/>
      <c r="AD40" s="200"/>
      <c r="AE40" s="182"/>
      <c r="AF40" s="201"/>
      <c r="AG40" s="201"/>
    </row>
    <row r="41" spans="1:33" ht="27.75" customHeight="1" thickTop="1" thickBot="1">
      <c r="A41" s="217" t="str">
        <f t="shared" si="1"/>
        <v>#BL25-0002</v>
      </c>
      <c r="B41" s="181"/>
      <c r="C41" s="181"/>
      <c r="D41" s="202"/>
      <c r="E41" s="183"/>
      <c r="F41" s="184" t="str">
        <f t="shared" si="0"/>
        <v>Construction Exemplaire Inc.</v>
      </c>
      <c r="G41" s="184"/>
      <c r="H41" s="183"/>
      <c r="I41" s="182"/>
      <c r="J41" s="185"/>
      <c r="K41" s="186"/>
      <c r="L41" s="185"/>
      <c r="M41" s="187"/>
      <c r="N41" s="185"/>
      <c r="O41" s="188"/>
      <c r="P41" s="188"/>
      <c r="Q41" s="189"/>
      <c r="R41" s="190"/>
      <c r="S41" s="190"/>
      <c r="T41" s="190"/>
      <c r="U41" s="191"/>
      <c r="V41" s="192"/>
      <c r="W41" s="193"/>
      <c r="X41" s="194"/>
      <c r="Y41" s="195"/>
      <c r="Z41" s="196"/>
      <c r="AA41" s="197"/>
      <c r="AB41" s="198"/>
      <c r="AC41" s="199"/>
      <c r="AD41" s="200"/>
      <c r="AE41" s="182"/>
      <c r="AF41" s="201"/>
      <c r="AG41" s="201"/>
    </row>
    <row r="42" spans="1:33" ht="29.25" customHeight="1" thickTop="1" thickBot="1">
      <c r="A42" s="217" t="str">
        <f t="shared" si="1"/>
        <v>#BL25-0002</v>
      </c>
      <c r="B42" s="181"/>
      <c r="C42" s="181"/>
      <c r="D42" s="184"/>
      <c r="E42" s="183"/>
      <c r="F42" s="184" t="str">
        <f t="shared" si="0"/>
        <v>Construction Exemplaire Inc.</v>
      </c>
      <c r="G42" s="184"/>
      <c r="H42" s="183"/>
      <c r="I42" s="182"/>
      <c r="J42" s="185"/>
      <c r="K42" s="186"/>
      <c r="L42" s="185"/>
      <c r="M42" s="187"/>
      <c r="N42" s="185"/>
      <c r="O42" s="188"/>
      <c r="P42" s="188"/>
      <c r="Q42" s="189"/>
      <c r="R42" s="190"/>
      <c r="S42" s="190"/>
      <c r="T42" s="190"/>
      <c r="U42" s="191"/>
      <c r="V42" s="192"/>
      <c r="W42" s="193"/>
      <c r="X42" s="194"/>
      <c r="Y42" s="195"/>
      <c r="Z42" s="196"/>
      <c r="AA42" s="203"/>
      <c r="AB42" s="198"/>
      <c r="AC42" s="199"/>
      <c r="AD42" s="200"/>
      <c r="AE42" s="182"/>
      <c r="AF42" s="201"/>
      <c r="AG42" s="201"/>
    </row>
    <row r="43" spans="1:33" ht="29.25" customHeight="1" thickTop="1" thickBot="1">
      <c r="A43" s="217" t="str">
        <f t="shared" si="1"/>
        <v>#BL25-0002</v>
      </c>
      <c r="B43" s="181"/>
      <c r="C43" s="181"/>
      <c r="D43" s="184"/>
      <c r="E43" s="183"/>
      <c r="F43" s="184" t="str">
        <f t="shared" si="0"/>
        <v>Construction Exemplaire Inc.</v>
      </c>
      <c r="G43" s="184"/>
      <c r="H43" s="183"/>
      <c r="I43" s="182"/>
      <c r="J43" s="185"/>
      <c r="K43" s="186"/>
      <c r="L43" s="185"/>
      <c r="M43" s="187"/>
      <c r="N43" s="185"/>
      <c r="O43" s="188"/>
      <c r="P43" s="188"/>
      <c r="Q43" s="189"/>
      <c r="R43" s="190"/>
      <c r="S43" s="190"/>
      <c r="T43" s="190"/>
      <c r="U43" s="191"/>
      <c r="V43" s="192"/>
      <c r="W43" s="193"/>
      <c r="X43" s="194"/>
      <c r="Y43" s="195"/>
      <c r="Z43" s="196"/>
      <c r="AA43" s="203"/>
      <c r="AB43" s="198"/>
      <c r="AC43" s="199"/>
      <c r="AD43" s="200"/>
      <c r="AE43" s="182"/>
      <c r="AF43" s="201"/>
      <c r="AG43" s="201"/>
    </row>
    <row r="44" spans="1:33" ht="43.5" customHeight="1" thickTop="1" thickBot="1">
      <c r="A44" s="217" t="str">
        <f t="shared" si="1"/>
        <v>#BL25-0002</v>
      </c>
      <c r="B44" s="181"/>
      <c r="C44" s="181"/>
      <c r="D44" s="184"/>
      <c r="E44" s="183"/>
      <c r="F44" s="184" t="str">
        <f t="shared" si="0"/>
        <v>Construction Exemplaire Inc.</v>
      </c>
      <c r="G44" s="184"/>
      <c r="H44" s="183"/>
      <c r="I44" s="182"/>
      <c r="J44" s="185"/>
      <c r="K44" s="186"/>
      <c r="L44" s="185"/>
      <c r="M44" s="187"/>
      <c r="N44" s="185"/>
      <c r="O44" s="188"/>
      <c r="P44" s="188"/>
      <c r="Q44" s="189"/>
      <c r="R44" s="190"/>
      <c r="S44" s="190"/>
      <c r="T44" s="190"/>
      <c r="U44" s="191"/>
      <c r="V44" s="192"/>
      <c r="W44" s="193"/>
      <c r="X44" s="194"/>
      <c r="Y44" s="195"/>
      <c r="Z44" s="196"/>
      <c r="AA44" s="203"/>
      <c r="AB44" s="198"/>
      <c r="AC44" s="199"/>
      <c r="AD44" s="200"/>
      <c r="AE44" s="182"/>
      <c r="AF44" s="201"/>
      <c r="AG44" s="201"/>
    </row>
    <row r="45" spans="1:33" ht="43.5" customHeight="1" thickTop="1" thickBot="1">
      <c r="A45" s="217" t="str">
        <f t="shared" si="1"/>
        <v>#BL25-0002</v>
      </c>
      <c r="B45" s="181"/>
      <c r="C45" s="181"/>
      <c r="D45" s="184"/>
      <c r="E45" s="183"/>
      <c r="F45" s="184" t="str">
        <f t="shared" si="0"/>
        <v>Construction Exemplaire Inc.</v>
      </c>
      <c r="G45" s="184"/>
      <c r="H45" s="183"/>
      <c r="I45" s="182"/>
      <c r="J45" s="185"/>
      <c r="K45" s="186"/>
      <c r="L45" s="185"/>
      <c r="M45" s="187"/>
      <c r="N45" s="185"/>
      <c r="O45" s="188"/>
      <c r="P45" s="188"/>
      <c r="Q45" s="189"/>
      <c r="R45" s="190"/>
      <c r="S45" s="190"/>
      <c r="T45" s="190"/>
      <c r="U45" s="191"/>
      <c r="V45" s="192"/>
      <c r="W45" s="193"/>
      <c r="X45" s="194"/>
      <c r="Y45" s="195"/>
      <c r="Z45" s="196"/>
      <c r="AA45" s="203"/>
      <c r="AB45" s="198"/>
      <c r="AC45" s="199"/>
      <c r="AD45" s="200"/>
      <c r="AE45" s="182"/>
      <c r="AF45" s="201"/>
      <c r="AG45" s="201"/>
    </row>
    <row r="46" spans="1:33" ht="27.75" customHeight="1" thickTop="1" thickBot="1">
      <c r="A46" s="217" t="str">
        <f t="shared" si="1"/>
        <v>#BL25-0002</v>
      </c>
      <c r="B46" s="181"/>
      <c r="C46" s="181"/>
      <c r="D46" s="202"/>
      <c r="E46" s="183"/>
      <c r="F46" s="184" t="str">
        <f t="shared" si="0"/>
        <v>Construction Exemplaire Inc.</v>
      </c>
      <c r="G46" s="184"/>
      <c r="H46" s="183"/>
      <c r="I46" s="182"/>
      <c r="J46" s="185"/>
      <c r="K46" s="186"/>
      <c r="L46" s="185"/>
      <c r="M46" s="187"/>
      <c r="N46" s="185"/>
      <c r="O46" s="188"/>
      <c r="P46" s="188"/>
      <c r="Q46" s="189"/>
      <c r="R46" s="190"/>
      <c r="S46" s="190"/>
      <c r="T46" s="190"/>
      <c r="U46" s="191"/>
      <c r="V46" s="192"/>
      <c r="W46" s="193"/>
      <c r="X46" s="194"/>
      <c r="Y46" s="195"/>
      <c r="Z46" s="196"/>
      <c r="AA46" s="197"/>
      <c r="AB46" s="198"/>
      <c r="AC46" s="199"/>
      <c r="AD46" s="200"/>
      <c r="AE46" s="182"/>
      <c r="AF46" s="201"/>
      <c r="AG46" s="201"/>
    </row>
    <row r="47" spans="1:33" ht="27.75" customHeight="1" thickTop="1" thickBot="1">
      <c r="A47" s="217" t="str">
        <f t="shared" si="1"/>
        <v>#BL25-0002</v>
      </c>
      <c r="B47" s="181"/>
      <c r="C47" s="181"/>
      <c r="D47" s="202"/>
      <c r="E47" s="183"/>
      <c r="F47" s="184" t="str">
        <f t="shared" si="0"/>
        <v>Construction Exemplaire Inc.</v>
      </c>
      <c r="G47" s="184"/>
      <c r="H47" s="183"/>
      <c r="I47" s="182"/>
      <c r="J47" s="185"/>
      <c r="K47" s="186"/>
      <c r="L47" s="185"/>
      <c r="M47" s="187"/>
      <c r="N47" s="185"/>
      <c r="O47" s="188"/>
      <c r="P47" s="188"/>
      <c r="Q47" s="189"/>
      <c r="R47" s="190"/>
      <c r="S47" s="190"/>
      <c r="T47" s="190"/>
      <c r="U47" s="191"/>
      <c r="V47" s="192"/>
      <c r="W47" s="193"/>
      <c r="X47" s="194"/>
      <c r="Y47" s="195"/>
      <c r="Z47" s="196"/>
      <c r="AA47" s="197"/>
      <c r="AB47" s="198"/>
      <c r="AC47" s="199"/>
      <c r="AD47" s="200"/>
      <c r="AE47" s="182"/>
      <c r="AF47" s="201"/>
      <c r="AG47" s="201"/>
    </row>
    <row r="48" spans="1:33" ht="27.75" customHeight="1" thickTop="1" thickBot="1">
      <c r="A48" s="217" t="str">
        <f t="shared" si="1"/>
        <v>#BL25-0002</v>
      </c>
      <c r="B48" s="181"/>
      <c r="C48" s="181"/>
      <c r="D48" s="202"/>
      <c r="E48" s="183"/>
      <c r="F48" s="184" t="str">
        <f t="shared" si="0"/>
        <v>Construction Exemplaire Inc.</v>
      </c>
      <c r="G48" s="184"/>
      <c r="H48" s="183"/>
      <c r="I48" s="182"/>
      <c r="J48" s="185"/>
      <c r="K48" s="186"/>
      <c r="L48" s="185"/>
      <c r="M48" s="187"/>
      <c r="N48" s="185"/>
      <c r="O48" s="188"/>
      <c r="P48" s="188"/>
      <c r="Q48" s="189"/>
      <c r="R48" s="190"/>
      <c r="S48" s="190"/>
      <c r="T48" s="190"/>
      <c r="U48" s="191"/>
      <c r="V48" s="192"/>
      <c r="W48" s="193"/>
      <c r="X48" s="194"/>
      <c r="Y48" s="195"/>
      <c r="Z48" s="196"/>
      <c r="AA48" s="197"/>
      <c r="AB48" s="198"/>
      <c r="AC48" s="199"/>
      <c r="AD48" s="200"/>
      <c r="AE48" s="182"/>
      <c r="AF48" s="201"/>
      <c r="AG48" s="201"/>
    </row>
    <row r="49" spans="1:33" ht="27.75" customHeight="1" thickTop="1" thickBot="1">
      <c r="A49" s="217" t="str">
        <f t="shared" si="1"/>
        <v>#BL25-0002</v>
      </c>
      <c r="B49" s="181"/>
      <c r="C49" s="181"/>
      <c r="D49" s="202"/>
      <c r="E49" s="183"/>
      <c r="F49" s="184" t="str">
        <f t="shared" si="0"/>
        <v>Construction Exemplaire Inc.</v>
      </c>
      <c r="G49" s="184"/>
      <c r="H49" s="183"/>
      <c r="I49" s="182"/>
      <c r="J49" s="185"/>
      <c r="K49" s="186"/>
      <c r="L49" s="185"/>
      <c r="M49" s="187"/>
      <c r="N49" s="185"/>
      <c r="O49" s="188"/>
      <c r="P49" s="188"/>
      <c r="Q49" s="189"/>
      <c r="R49" s="190"/>
      <c r="S49" s="190"/>
      <c r="T49" s="190"/>
      <c r="U49" s="191"/>
      <c r="V49" s="192"/>
      <c r="W49" s="193"/>
      <c r="X49" s="194"/>
      <c r="Y49" s="195"/>
      <c r="Z49" s="196"/>
      <c r="AA49" s="197"/>
      <c r="AB49" s="198"/>
      <c r="AC49" s="199"/>
      <c r="AD49" s="200"/>
      <c r="AE49" s="182"/>
      <c r="AF49" s="201"/>
      <c r="AG49" s="201"/>
    </row>
    <row r="50" spans="1:33" ht="27.75" customHeight="1" thickTop="1" thickBot="1">
      <c r="A50" s="217" t="str">
        <f t="shared" si="1"/>
        <v>#BL25-0002</v>
      </c>
      <c r="B50" s="181"/>
      <c r="C50" s="181"/>
      <c r="D50" s="202"/>
      <c r="E50" s="183"/>
      <c r="F50" s="184" t="str">
        <f t="shared" si="0"/>
        <v>Construction Exemplaire Inc.</v>
      </c>
      <c r="G50" s="184"/>
      <c r="H50" s="183"/>
      <c r="I50" s="182"/>
      <c r="J50" s="185"/>
      <c r="K50" s="186"/>
      <c r="L50" s="185"/>
      <c r="M50" s="187"/>
      <c r="N50" s="185"/>
      <c r="O50" s="188"/>
      <c r="P50" s="188"/>
      <c r="Q50" s="189"/>
      <c r="R50" s="190"/>
      <c r="S50" s="190"/>
      <c r="T50" s="190"/>
      <c r="U50" s="191"/>
      <c r="V50" s="192"/>
      <c r="W50" s="193"/>
      <c r="X50" s="194"/>
      <c r="Y50" s="195"/>
      <c r="Z50" s="196"/>
      <c r="AA50" s="197"/>
      <c r="AB50" s="198"/>
      <c r="AC50" s="199"/>
      <c r="AD50" s="200"/>
      <c r="AE50" s="182"/>
      <c r="AF50" s="201"/>
      <c r="AG50" s="201"/>
    </row>
    <row r="51" spans="1:33" ht="27.75" customHeight="1" thickTop="1" thickBot="1">
      <c r="A51" s="217" t="str">
        <f t="shared" si="1"/>
        <v>#BL25-0002</v>
      </c>
      <c r="B51" s="181"/>
      <c r="C51" s="181"/>
      <c r="D51" s="202"/>
      <c r="E51" s="183"/>
      <c r="F51" s="184" t="str">
        <f t="shared" si="0"/>
        <v>Construction Exemplaire Inc.</v>
      </c>
      <c r="G51" s="184"/>
      <c r="H51" s="183"/>
      <c r="I51" s="182"/>
      <c r="J51" s="185"/>
      <c r="K51" s="186"/>
      <c r="L51" s="185"/>
      <c r="M51" s="187"/>
      <c r="N51" s="185"/>
      <c r="O51" s="188"/>
      <c r="P51" s="188"/>
      <c r="Q51" s="189"/>
      <c r="R51" s="190"/>
      <c r="S51" s="190"/>
      <c r="T51" s="190"/>
      <c r="U51" s="191"/>
      <c r="V51" s="192"/>
      <c r="W51" s="193"/>
      <c r="X51" s="194"/>
      <c r="Y51" s="195"/>
      <c r="Z51" s="196"/>
      <c r="AA51" s="197"/>
      <c r="AB51" s="198"/>
      <c r="AC51" s="199"/>
      <c r="AD51" s="200"/>
      <c r="AE51" s="182"/>
      <c r="AF51" s="201"/>
      <c r="AG51" s="201"/>
    </row>
    <row r="52" spans="1:33" ht="27.75" customHeight="1" thickTop="1" thickBot="1">
      <c r="A52" s="217" t="str">
        <f t="shared" si="1"/>
        <v>#BL25-0002</v>
      </c>
      <c r="B52" s="181"/>
      <c r="C52" s="181"/>
      <c r="D52" s="202"/>
      <c r="E52" s="183"/>
      <c r="F52" s="184" t="str">
        <f t="shared" si="0"/>
        <v>Construction Exemplaire Inc.</v>
      </c>
      <c r="G52" s="184"/>
      <c r="H52" s="183"/>
      <c r="I52" s="182"/>
      <c r="J52" s="185"/>
      <c r="K52" s="186"/>
      <c r="L52" s="185"/>
      <c r="M52" s="187"/>
      <c r="N52" s="185"/>
      <c r="O52" s="188"/>
      <c r="P52" s="188"/>
      <c r="Q52" s="189"/>
      <c r="R52" s="190"/>
      <c r="S52" s="190"/>
      <c r="T52" s="190"/>
      <c r="U52" s="191"/>
      <c r="V52" s="192"/>
      <c r="W52" s="193"/>
      <c r="X52" s="194"/>
      <c r="Y52" s="195"/>
      <c r="Z52" s="196"/>
      <c r="AA52" s="197"/>
      <c r="AB52" s="198"/>
      <c r="AC52" s="199"/>
      <c r="AD52" s="200"/>
      <c r="AE52" s="182"/>
      <c r="AF52" s="201"/>
      <c r="AG52" s="201"/>
    </row>
    <row r="53" spans="1:33" ht="27.75" customHeight="1" thickTop="1" thickBot="1">
      <c r="A53" s="217" t="str">
        <f t="shared" si="1"/>
        <v>#BL25-0002</v>
      </c>
      <c r="B53" s="181"/>
      <c r="C53" s="181"/>
      <c r="D53" s="202"/>
      <c r="E53" s="183"/>
      <c r="F53" s="184" t="str">
        <f t="shared" si="0"/>
        <v>Construction Exemplaire Inc.</v>
      </c>
      <c r="G53" s="184"/>
      <c r="H53" s="183"/>
      <c r="I53" s="182"/>
      <c r="J53" s="185"/>
      <c r="K53" s="186"/>
      <c r="L53" s="185"/>
      <c r="M53" s="187"/>
      <c r="N53" s="185"/>
      <c r="O53" s="188"/>
      <c r="P53" s="188"/>
      <c r="Q53" s="189"/>
      <c r="R53" s="190"/>
      <c r="S53" s="190"/>
      <c r="T53" s="190"/>
      <c r="U53" s="191"/>
      <c r="V53" s="192"/>
      <c r="W53" s="193"/>
      <c r="X53" s="194"/>
      <c r="Y53" s="195"/>
      <c r="Z53" s="196"/>
      <c r="AA53" s="197"/>
      <c r="AB53" s="198"/>
      <c r="AC53" s="199"/>
      <c r="AD53" s="200"/>
      <c r="AE53" s="182"/>
      <c r="AF53" s="201"/>
      <c r="AG53" s="201"/>
    </row>
    <row r="54" spans="1:33" ht="27.75" customHeight="1" thickTop="1" thickBot="1">
      <c r="A54" s="217" t="str">
        <f t="shared" si="1"/>
        <v>#BL25-0002</v>
      </c>
      <c r="B54" s="181"/>
      <c r="C54" s="181"/>
      <c r="D54" s="202"/>
      <c r="E54" s="183"/>
      <c r="F54" s="184" t="str">
        <f t="shared" si="0"/>
        <v>Construction Exemplaire Inc.</v>
      </c>
      <c r="G54" s="184"/>
      <c r="H54" s="183"/>
      <c r="I54" s="182"/>
      <c r="J54" s="185"/>
      <c r="K54" s="186"/>
      <c r="L54" s="185"/>
      <c r="M54" s="187"/>
      <c r="N54" s="185"/>
      <c r="O54" s="188"/>
      <c r="P54" s="188"/>
      <c r="Q54" s="189"/>
      <c r="R54" s="190"/>
      <c r="S54" s="190"/>
      <c r="T54" s="190"/>
      <c r="U54" s="191"/>
      <c r="V54" s="192"/>
      <c r="W54" s="193"/>
      <c r="X54" s="194"/>
      <c r="Y54" s="195"/>
      <c r="Z54" s="196"/>
      <c r="AA54" s="197"/>
      <c r="AB54" s="198"/>
      <c r="AC54" s="199"/>
      <c r="AD54" s="200"/>
      <c r="AE54" s="182"/>
      <c r="AF54" s="201"/>
      <c r="AG54" s="201"/>
    </row>
    <row r="55" spans="1:33" ht="27.75" customHeight="1" thickTop="1" thickBot="1">
      <c r="A55" s="217" t="str">
        <f t="shared" si="1"/>
        <v>#BL25-0002</v>
      </c>
      <c r="B55" s="181"/>
      <c r="C55" s="181"/>
      <c r="D55" s="202"/>
      <c r="E55" s="183"/>
      <c r="F55" s="184" t="str">
        <f t="shared" si="0"/>
        <v>Construction Exemplaire Inc.</v>
      </c>
      <c r="G55" s="184"/>
      <c r="H55" s="183"/>
      <c r="I55" s="182"/>
      <c r="J55" s="185"/>
      <c r="K55" s="186"/>
      <c r="L55" s="185"/>
      <c r="M55" s="187"/>
      <c r="N55" s="185"/>
      <c r="O55" s="188"/>
      <c r="P55" s="188"/>
      <c r="Q55" s="189"/>
      <c r="R55" s="190"/>
      <c r="S55" s="190"/>
      <c r="T55" s="190"/>
      <c r="U55" s="191"/>
      <c r="V55" s="192"/>
      <c r="W55" s="193"/>
      <c r="X55" s="194"/>
      <c r="Y55" s="195"/>
      <c r="Z55" s="196"/>
      <c r="AA55" s="197"/>
      <c r="AB55" s="198"/>
      <c r="AC55" s="199"/>
      <c r="AD55" s="200"/>
      <c r="AE55" s="182"/>
      <c r="AF55" s="201"/>
      <c r="AG55" s="201"/>
    </row>
    <row r="56" spans="1:33" ht="27.75" customHeight="1" thickTop="1" thickBot="1">
      <c r="A56" s="217" t="str">
        <f t="shared" si="1"/>
        <v>#BL25-0002</v>
      </c>
      <c r="B56" s="181"/>
      <c r="C56" s="181"/>
      <c r="D56" s="202"/>
      <c r="E56" s="183"/>
      <c r="F56" s="184" t="str">
        <f t="shared" si="0"/>
        <v>Construction Exemplaire Inc.</v>
      </c>
      <c r="G56" s="184"/>
      <c r="H56" s="183"/>
      <c r="I56" s="182"/>
      <c r="J56" s="185"/>
      <c r="K56" s="186"/>
      <c r="L56" s="185"/>
      <c r="M56" s="187"/>
      <c r="N56" s="185"/>
      <c r="O56" s="188"/>
      <c r="P56" s="188"/>
      <c r="Q56" s="189"/>
      <c r="R56" s="190"/>
      <c r="S56" s="190"/>
      <c r="T56" s="190"/>
      <c r="U56" s="191"/>
      <c r="V56" s="192"/>
      <c r="W56" s="193"/>
      <c r="X56" s="194"/>
      <c r="Y56" s="195"/>
      <c r="Z56" s="196"/>
      <c r="AA56" s="197"/>
      <c r="AB56" s="198"/>
      <c r="AC56" s="199"/>
      <c r="AD56" s="200"/>
      <c r="AE56" s="182"/>
      <c r="AF56" s="201"/>
      <c r="AG56" s="201"/>
    </row>
    <row r="57" spans="1:33" ht="31.5" customHeight="1" thickTop="1" thickBot="1">
      <c r="A57" s="217" t="str">
        <f t="shared" si="1"/>
        <v>#BL25-0002</v>
      </c>
      <c r="B57" s="181"/>
      <c r="C57" s="181"/>
      <c r="D57" s="184"/>
      <c r="E57" s="183"/>
      <c r="F57" s="184" t="str">
        <f t="shared" si="0"/>
        <v>Construction Exemplaire Inc.</v>
      </c>
      <c r="G57" s="184"/>
      <c r="H57" s="183"/>
      <c r="I57" s="182"/>
      <c r="J57" s="185"/>
      <c r="K57" s="186"/>
      <c r="L57" s="185"/>
      <c r="M57" s="187"/>
      <c r="N57" s="185"/>
      <c r="O57" s="188"/>
      <c r="P57" s="188"/>
      <c r="Q57" s="189"/>
      <c r="R57" s="190"/>
      <c r="S57" s="190"/>
      <c r="T57" s="190"/>
      <c r="U57" s="191"/>
      <c r="V57" s="192"/>
      <c r="W57" s="193"/>
      <c r="X57" s="194"/>
      <c r="Y57" s="195"/>
      <c r="Z57" s="196"/>
      <c r="AA57" s="203"/>
      <c r="AB57" s="198"/>
      <c r="AC57" s="199"/>
      <c r="AD57" s="200"/>
      <c r="AE57" s="182"/>
      <c r="AF57" s="201"/>
      <c r="AG57" s="201"/>
    </row>
    <row r="58" spans="1:33" ht="31.5" customHeight="1" thickTop="1" thickBot="1">
      <c r="A58" s="217" t="str">
        <f t="shared" si="1"/>
        <v>#BL25-0002</v>
      </c>
      <c r="B58" s="181"/>
      <c r="C58" s="181"/>
      <c r="D58" s="184"/>
      <c r="E58" s="183"/>
      <c r="F58" s="184" t="str">
        <f t="shared" si="0"/>
        <v>Construction Exemplaire Inc.</v>
      </c>
      <c r="G58" s="184"/>
      <c r="H58" s="183"/>
      <c r="I58" s="182"/>
      <c r="J58" s="185"/>
      <c r="K58" s="186"/>
      <c r="L58" s="185"/>
      <c r="M58" s="187"/>
      <c r="N58" s="185"/>
      <c r="O58" s="188"/>
      <c r="P58" s="188"/>
      <c r="Q58" s="189"/>
      <c r="R58" s="190"/>
      <c r="S58" s="190"/>
      <c r="T58" s="190"/>
      <c r="U58" s="191"/>
      <c r="V58" s="192"/>
      <c r="W58" s="193"/>
      <c r="X58" s="194"/>
      <c r="Y58" s="195"/>
      <c r="Z58" s="196"/>
      <c r="AA58" s="203"/>
      <c r="AB58" s="198"/>
      <c r="AC58" s="199"/>
      <c r="AD58" s="200"/>
      <c r="AE58" s="182"/>
      <c r="AF58" s="201"/>
      <c r="AG58" s="201"/>
    </row>
    <row r="59" spans="1:33" ht="27.75" customHeight="1" thickTop="1" thickBot="1">
      <c r="A59" s="217" t="str">
        <f t="shared" si="1"/>
        <v>#BL25-0002</v>
      </c>
      <c r="B59" s="181"/>
      <c r="C59" s="181"/>
      <c r="D59" s="202"/>
      <c r="E59" s="183"/>
      <c r="F59" s="184" t="str">
        <f t="shared" si="0"/>
        <v>Construction Exemplaire Inc.</v>
      </c>
      <c r="G59" s="184"/>
      <c r="H59" s="183"/>
      <c r="I59" s="182"/>
      <c r="J59" s="185"/>
      <c r="K59" s="186"/>
      <c r="L59" s="185"/>
      <c r="M59" s="187"/>
      <c r="N59" s="185"/>
      <c r="O59" s="188"/>
      <c r="P59" s="188"/>
      <c r="Q59" s="189"/>
      <c r="R59" s="190"/>
      <c r="S59" s="190"/>
      <c r="T59" s="190"/>
      <c r="U59" s="191"/>
      <c r="V59" s="192"/>
      <c r="W59" s="193"/>
      <c r="X59" s="194"/>
      <c r="Y59" s="195"/>
      <c r="Z59" s="196"/>
      <c r="AA59" s="197"/>
      <c r="AB59" s="198"/>
      <c r="AC59" s="199"/>
      <c r="AD59" s="200"/>
      <c r="AE59" s="182"/>
      <c r="AF59" s="201"/>
      <c r="AG59" s="201"/>
    </row>
    <row r="60" spans="1:33" ht="31.5" customHeight="1" thickTop="1" thickBot="1">
      <c r="A60" s="217" t="str">
        <f t="shared" si="1"/>
        <v>#BL25-0002</v>
      </c>
      <c r="B60" s="181"/>
      <c r="C60" s="181"/>
      <c r="D60" s="184"/>
      <c r="E60" s="183"/>
      <c r="F60" s="184" t="str">
        <f t="shared" si="0"/>
        <v>Construction Exemplaire Inc.</v>
      </c>
      <c r="G60" s="184"/>
      <c r="H60" s="183"/>
      <c r="I60" s="182"/>
      <c r="J60" s="185"/>
      <c r="K60" s="186"/>
      <c r="L60" s="185"/>
      <c r="M60" s="187"/>
      <c r="N60" s="185"/>
      <c r="O60" s="188"/>
      <c r="P60" s="188"/>
      <c r="Q60" s="189"/>
      <c r="R60" s="190"/>
      <c r="S60" s="190"/>
      <c r="T60" s="190"/>
      <c r="U60" s="191"/>
      <c r="V60" s="192"/>
      <c r="W60" s="193"/>
      <c r="X60" s="194"/>
      <c r="Y60" s="195"/>
      <c r="Z60" s="196"/>
      <c r="AA60" s="203"/>
      <c r="AB60" s="198"/>
      <c r="AC60" s="199"/>
      <c r="AD60" s="200"/>
      <c r="AE60" s="182"/>
      <c r="AF60" s="201"/>
      <c r="AG60" s="201"/>
    </row>
    <row r="61" spans="1:33" ht="31.5" customHeight="1" thickTop="1" thickBot="1">
      <c r="A61" s="217" t="str">
        <f t="shared" si="1"/>
        <v>#BL25-0002</v>
      </c>
      <c r="B61" s="181"/>
      <c r="C61" s="181"/>
      <c r="D61" s="184"/>
      <c r="E61" s="183"/>
      <c r="F61" s="184" t="str">
        <f t="shared" si="0"/>
        <v>Construction Exemplaire Inc.</v>
      </c>
      <c r="G61" s="184"/>
      <c r="H61" s="183"/>
      <c r="I61" s="182"/>
      <c r="J61" s="185"/>
      <c r="K61" s="186"/>
      <c r="L61" s="185"/>
      <c r="M61" s="187"/>
      <c r="N61" s="185"/>
      <c r="O61" s="188"/>
      <c r="P61" s="188"/>
      <c r="Q61" s="189"/>
      <c r="R61" s="190"/>
      <c r="S61" s="190"/>
      <c r="T61" s="190"/>
      <c r="U61" s="191"/>
      <c r="V61" s="192"/>
      <c r="W61" s="193"/>
      <c r="X61" s="194"/>
      <c r="Y61" s="195"/>
      <c r="Z61" s="196"/>
      <c r="AA61" s="203"/>
      <c r="AB61" s="198"/>
      <c r="AC61" s="199"/>
      <c r="AD61" s="200"/>
      <c r="AE61" s="182"/>
      <c r="AF61" s="201"/>
      <c r="AG61" s="201"/>
    </row>
    <row r="62" spans="1:33" ht="31.5" customHeight="1" thickTop="1" thickBot="1">
      <c r="A62" s="217" t="str">
        <f t="shared" si="1"/>
        <v>#BL25-0002</v>
      </c>
      <c r="B62" s="181"/>
      <c r="C62" s="181"/>
      <c r="D62" s="184"/>
      <c r="E62" s="183"/>
      <c r="F62" s="184" t="str">
        <f t="shared" si="0"/>
        <v>Construction Exemplaire Inc.</v>
      </c>
      <c r="G62" s="184"/>
      <c r="H62" s="183"/>
      <c r="I62" s="182"/>
      <c r="J62" s="185"/>
      <c r="K62" s="186"/>
      <c r="L62" s="185"/>
      <c r="M62" s="187"/>
      <c r="N62" s="185"/>
      <c r="O62" s="188"/>
      <c r="P62" s="188"/>
      <c r="Q62" s="189"/>
      <c r="R62" s="190"/>
      <c r="S62" s="190"/>
      <c r="T62" s="190"/>
      <c r="U62" s="191"/>
      <c r="V62" s="192"/>
      <c r="W62" s="193"/>
      <c r="X62" s="194"/>
      <c r="Y62" s="195"/>
      <c r="Z62" s="196"/>
      <c r="AA62" s="203"/>
      <c r="AB62" s="198"/>
      <c r="AC62" s="199"/>
      <c r="AD62" s="200"/>
      <c r="AE62" s="182"/>
      <c r="AF62" s="201"/>
      <c r="AG62" s="201"/>
    </row>
    <row r="63" spans="1:33" ht="31.5" customHeight="1" thickTop="1" thickBot="1">
      <c r="A63" s="217" t="str">
        <f t="shared" si="1"/>
        <v>#BL25-0002</v>
      </c>
      <c r="B63" s="181"/>
      <c r="C63" s="181"/>
      <c r="D63" s="184"/>
      <c r="E63" s="183"/>
      <c r="F63" s="184" t="str">
        <f t="shared" si="0"/>
        <v>Construction Exemplaire Inc.</v>
      </c>
      <c r="G63" s="184"/>
      <c r="H63" s="183"/>
      <c r="I63" s="182"/>
      <c r="J63" s="185"/>
      <c r="K63" s="186"/>
      <c r="L63" s="185"/>
      <c r="M63" s="187"/>
      <c r="N63" s="185"/>
      <c r="O63" s="188"/>
      <c r="P63" s="188"/>
      <c r="Q63" s="189"/>
      <c r="R63" s="190"/>
      <c r="S63" s="190"/>
      <c r="T63" s="190"/>
      <c r="U63" s="191"/>
      <c r="V63" s="192"/>
      <c r="W63" s="193"/>
      <c r="X63" s="194"/>
      <c r="Y63" s="195"/>
      <c r="Z63" s="196"/>
      <c r="AA63" s="203"/>
      <c r="AB63" s="198"/>
      <c r="AC63" s="199"/>
      <c r="AD63" s="200"/>
      <c r="AE63" s="182"/>
      <c r="AF63" s="201"/>
      <c r="AG63" s="201"/>
    </row>
    <row r="64" spans="1:33" ht="33.75" customHeight="1" thickTop="1" thickBot="1">
      <c r="A64" s="217" t="str">
        <f t="shared" si="1"/>
        <v>#BL25-0002</v>
      </c>
      <c r="B64" s="181"/>
      <c r="C64" s="181"/>
      <c r="D64" s="182"/>
      <c r="E64" s="204"/>
      <c r="F64" s="184" t="str">
        <f t="shared" si="0"/>
        <v>Construction Exemplaire Inc.</v>
      </c>
      <c r="G64" s="184"/>
      <c r="H64" s="183"/>
      <c r="I64" s="182"/>
      <c r="J64" s="185"/>
      <c r="K64" s="186"/>
      <c r="L64" s="185"/>
      <c r="M64" s="187"/>
      <c r="N64" s="185"/>
      <c r="O64" s="188"/>
      <c r="P64" s="188"/>
      <c r="Q64" s="189"/>
      <c r="R64" s="190"/>
      <c r="S64" s="190"/>
      <c r="T64" s="190"/>
      <c r="U64" s="191"/>
      <c r="V64" s="192"/>
      <c r="W64" s="193"/>
      <c r="X64" s="194"/>
      <c r="Y64" s="198"/>
      <c r="Z64" s="205"/>
      <c r="AA64" s="197"/>
      <c r="AB64" s="198"/>
      <c r="AC64" s="199"/>
      <c r="AD64" s="200"/>
      <c r="AE64" s="182"/>
      <c r="AF64" s="201"/>
      <c r="AG64" s="201"/>
    </row>
    <row r="65" spans="1:33" ht="45.75" customHeight="1" thickTop="1" thickBot="1">
      <c r="A65" s="217" t="str">
        <f t="shared" si="1"/>
        <v>#BL25-0002</v>
      </c>
      <c r="B65" s="181"/>
      <c r="C65" s="181"/>
      <c r="D65" s="182"/>
      <c r="E65" s="204"/>
      <c r="F65" s="184" t="str">
        <f t="shared" si="0"/>
        <v>Construction Exemplaire Inc.</v>
      </c>
      <c r="G65" s="184"/>
      <c r="H65" s="183"/>
      <c r="I65" s="182"/>
      <c r="J65" s="185"/>
      <c r="K65" s="186"/>
      <c r="L65" s="185"/>
      <c r="M65" s="187"/>
      <c r="N65" s="185"/>
      <c r="O65" s="188"/>
      <c r="P65" s="188"/>
      <c r="Q65" s="189"/>
      <c r="R65" s="190"/>
      <c r="S65" s="190"/>
      <c r="T65" s="190"/>
      <c r="U65" s="191"/>
      <c r="V65" s="192"/>
      <c r="W65" s="193"/>
      <c r="X65" s="194"/>
      <c r="Y65" s="198"/>
      <c r="Z65" s="205"/>
      <c r="AA65" s="197"/>
      <c r="AB65" s="198"/>
      <c r="AC65" s="199"/>
      <c r="AD65" s="200"/>
      <c r="AE65" s="182"/>
      <c r="AF65" s="201"/>
      <c r="AG65" s="201"/>
    </row>
    <row r="66" spans="1:33" ht="27.75" customHeight="1" thickTop="1" thickBot="1">
      <c r="A66" s="217" t="str">
        <f t="shared" si="1"/>
        <v>#BL25-0002</v>
      </c>
      <c r="B66" s="181"/>
      <c r="C66" s="181"/>
      <c r="D66" s="202"/>
      <c r="E66" s="183"/>
      <c r="F66" s="184" t="str">
        <f t="shared" si="0"/>
        <v>Construction Exemplaire Inc.</v>
      </c>
      <c r="G66" s="184"/>
      <c r="H66" s="183"/>
      <c r="I66" s="182"/>
      <c r="J66" s="185"/>
      <c r="K66" s="186"/>
      <c r="L66" s="185"/>
      <c r="M66" s="187"/>
      <c r="N66" s="185"/>
      <c r="O66" s="188"/>
      <c r="P66" s="188"/>
      <c r="Q66" s="189"/>
      <c r="R66" s="190"/>
      <c r="S66" s="190"/>
      <c r="T66" s="190"/>
      <c r="U66" s="191"/>
      <c r="V66" s="192"/>
      <c r="W66" s="193"/>
      <c r="X66" s="194"/>
      <c r="Y66" s="195"/>
      <c r="Z66" s="196"/>
      <c r="AA66" s="197"/>
      <c r="AB66" s="198"/>
      <c r="AC66" s="199"/>
      <c r="AD66" s="200"/>
      <c r="AE66" s="182"/>
      <c r="AF66" s="201"/>
      <c r="AG66" s="201"/>
    </row>
    <row r="67" spans="1:33" ht="27.75" customHeight="1" thickTop="1" thickBot="1">
      <c r="A67" s="217" t="str">
        <f t="shared" si="1"/>
        <v>#BL25-0002</v>
      </c>
      <c r="B67" s="181"/>
      <c r="C67" s="181"/>
      <c r="D67" s="202"/>
      <c r="E67" s="183"/>
      <c r="F67" s="184" t="str">
        <f t="shared" si="0"/>
        <v>Construction Exemplaire Inc.</v>
      </c>
      <c r="G67" s="184"/>
      <c r="H67" s="183"/>
      <c r="I67" s="182"/>
      <c r="J67" s="185"/>
      <c r="K67" s="186"/>
      <c r="L67" s="185"/>
      <c r="M67" s="187"/>
      <c r="N67" s="185"/>
      <c r="O67" s="188"/>
      <c r="P67" s="188"/>
      <c r="Q67" s="189"/>
      <c r="R67" s="190"/>
      <c r="S67" s="190"/>
      <c r="T67" s="190"/>
      <c r="U67" s="191"/>
      <c r="V67" s="192"/>
      <c r="W67" s="193"/>
      <c r="X67" s="194"/>
      <c r="Y67" s="195"/>
      <c r="Z67" s="196"/>
      <c r="AA67" s="197"/>
      <c r="AB67" s="198"/>
      <c r="AC67" s="199"/>
      <c r="AD67" s="200"/>
      <c r="AE67" s="182"/>
      <c r="AF67" s="201"/>
      <c r="AG67" s="201"/>
    </row>
    <row r="68" spans="1:33" ht="31.5" customHeight="1" thickTop="1" thickBot="1">
      <c r="A68" s="217" t="str">
        <f t="shared" si="1"/>
        <v>#BL25-0002</v>
      </c>
      <c r="B68" s="181"/>
      <c r="C68" s="181"/>
      <c r="D68" s="184"/>
      <c r="E68" s="183"/>
      <c r="F68" s="184" t="str">
        <f t="shared" si="0"/>
        <v>Construction Exemplaire Inc.</v>
      </c>
      <c r="G68" s="184"/>
      <c r="H68" s="183"/>
      <c r="I68" s="182"/>
      <c r="J68" s="185"/>
      <c r="K68" s="186"/>
      <c r="L68" s="185"/>
      <c r="M68" s="187"/>
      <c r="N68" s="185"/>
      <c r="O68" s="188"/>
      <c r="P68" s="188"/>
      <c r="Q68" s="189"/>
      <c r="R68" s="190"/>
      <c r="S68" s="190"/>
      <c r="T68" s="190"/>
      <c r="U68" s="191"/>
      <c r="V68" s="192"/>
      <c r="W68" s="193"/>
      <c r="X68" s="194"/>
      <c r="Y68" s="195"/>
      <c r="Z68" s="196"/>
      <c r="AA68" s="203"/>
      <c r="AB68" s="198"/>
      <c r="AC68" s="199"/>
      <c r="AD68" s="200"/>
      <c r="AE68" s="182"/>
      <c r="AF68" s="201"/>
      <c r="AG68" s="201"/>
    </row>
    <row r="69" spans="1:33" thickTop="1" thickBot="1">
      <c r="A69" s="217" t="str">
        <f t="shared" si="1"/>
        <v>#BL25-0002</v>
      </c>
      <c r="B69" s="181"/>
      <c r="C69" s="181"/>
      <c r="D69" s="184"/>
      <c r="E69" s="183"/>
      <c r="F69" s="184" t="str">
        <f t="shared" si="0"/>
        <v>Construction Exemplaire Inc.</v>
      </c>
      <c r="G69" s="184"/>
      <c r="H69" s="183"/>
      <c r="I69" s="182"/>
      <c r="J69" s="185"/>
      <c r="K69" s="186"/>
      <c r="L69" s="185"/>
      <c r="M69" s="187"/>
      <c r="N69" s="185"/>
      <c r="O69" s="188"/>
      <c r="P69" s="188"/>
      <c r="Q69" s="189"/>
      <c r="R69" s="190"/>
      <c r="S69" s="190"/>
      <c r="T69" s="190"/>
      <c r="U69" s="191"/>
      <c r="V69" s="192"/>
      <c r="W69" s="193"/>
      <c r="X69" s="194"/>
      <c r="Y69" s="195"/>
      <c r="Z69" s="196"/>
      <c r="AA69" s="197"/>
      <c r="AB69" s="198"/>
      <c r="AC69" s="199"/>
      <c r="AD69" s="200"/>
      <c r="AE69" s="182"/>
      <c r="AF69" s="201"/>
      <c r="AG69" s="201"/>
    </row>
    <row r="70" spans="1:33" thickTop="1" thickBot="1">
      <c r="A70" s="217" t="str">
        <f t="shared" si="1"/>
        <v>#BL25-0002</v>
      </c>
      <c r="B70" s="181"/>
      <c r="C70" s="181"/>
      <c r="D70" s="184"/>
      <c r="E70" s="183"/>
      <c r="F70" s="184" t="str">
        <f t="shared" si="0"/>
        <v>Construction Exemplaire Inc.</v>
      </c>
      <c r="G70" s="184"/>
      <c r="H70" s="183"/>
      <c r="I70" s="182"/>
      <c r="J70" s="185"/>
      <c r="K70" s="186"/>
      <c r="L70" s="185"/>
      <c r="M70" s="187"/>
      <c r="N70" s="185"/>
      <c r="O70" s="188"/>
      <c r="P70" s="188"/>
      <c r="Q70" s="189"/>
      <c r="R70" s="190"/>
      <c r="S70" s="190"/>
      <c r="T70" s="190"/>
      <c r="U70" s="191"/>
      <c r="V70" s="192"/>
      <c r="W70" s="193"/>
      <c r="X70" s="194"/>
      <c r="Y70" s="195"/>
      <c r="Z70" s="196"/>
      <c r="AA70" s="197"/>
      <c r="AB70" s="198"/>
      <c r="AC70" s="199"/>
      <c r="AD70" s="200"/>
      <c r="AE70" s="182"/>
      <c r="AF70" s="201"/>
      <c r="AG70" s="201"/>
    </row>
    <row r="71" spans="1:33" ht="31.5" customHeight="1" thickTop="1" thickBot="1">
      <c r="A71" s="217" t="str">
        <f t="shared" si="1"/>
        <v>#BL25-0002</v>
      </c>
      <c r="B71" s="181"/>
      <c r="C71" s="181"/>
      <c r="D71" s="184"/>
      <c r="E71" s="183"/>
      <c r="F71" s="184" t="str">
        <f t="shared" si="0"/>
        <v>Construction Exemplaire Inc.</v>
      </c>
      <c r="G71" s="184"/>
      <c r="H71" s="183"/>
      <c r="I71" s="182"/>
      <c r="J71" s="185"/>
      <c r="K71" s="186"/>
      <c r="L71" s="185"/>
      <c r="M71" s="187"/>
      <c r="N71" s="185"/>
      <c r="O71" s="188"/>
      <c r="P71" s="188"/>
      <c r="Q71" s="189"/>
      <c r="R71" s="190"/>
      <c r="S71" s="190"/>
      <c r="T71" s="190"/>
      <c r="U71" s="191"/>
      <c r="V71" s="192"/>
      <c r="W71" s="193"/>
      <c r="X71" s="194"/>
      <c r="Y71" s="195"/>
      <c r="Z71" s="196"/>
      <c r="AA71" s="203"/>
      <c r="AB71" s="198"/>
      <c r="AC71" s="199"/>
      <c r="AD71" s="200"/>
      <c r="AE71" s="182"/>
      <c r="AF71" s="201"/>
      <c r="AG71" s="201"/>
    </row>
    <row r="72" spans="1:33" ht="45.75" customHeight="1" thickTop="1" thickBot="1">
      <c r="A72" s="217" t="str">
        <f t="shared" si="1"/>
        <v>#BL25-0002</v>
      </c>
      <c r="B72" s="181"/>
      <c r="C72" s="181"/>
      <c r="D72" s="182"/>
      <c r="E72" s="204"/>
      <c r="F72" s="184" t="str">
        <f t="shared" ref="F72:F135" si="2">nomClient</f>
        <v>Construction Exemplaire Inc.</v>
      </c>
      <c r="G72" s="184"/>
      <c r="H72" s="183"/>
      <c r="I72" s="182"/>
      <c r="J72" s="185"/>
      <c r="K72" s="186"/>
      <c r="L72" s="185"/>
      <c r="M72" s="187"/>
      <c r="N72" s="185"/>
      <c r="O72" s="188"/>
      <c r="P72" s="188"/>
      <c r="Q72" s="189"/>
      <c r="R72" s="190"/>
      <c r="S72" s="190"/>
      <c r="T72" s="190"/>
      <c r="U72" s="191"/>
      <c r="V72" s="192"/>
      <c r="W72" s="193"/>
      <c r="X72" s="194"/>
      <c r="Y72" s="198"/>
      <c r="Z72" s="205"/>
      <c r="AA72" s="197"/>
      <c r="AB72" s="198"/>
      <c r="AC72" s="199"/>
      <c r="AD72" s="200"/>
      <c r="AE72" s="182"/>
      <c r="AF72" s="201"/>
      <c r="AG72" s="201"/>
    </row>
    <row r="73" spans="1:33" ht="45.75" customHeight="1" thickTop="1" thickBot="1">
      <c r="A73" s="217" t="str">
        <f t="shared" ref="A73:A136" si="3">Ligne1</f>
        <v>#BL25-0002</v>
      </c>
      <c r="B73" s="181"/>
      <c r="C73" s="181"/>
      <c r="D73" s="182"/>
      <c r="E73" s="204"/>
      <c r="F73" s="184" t="str">
        <f t="shared" si="2"/>
        <v>Construction Exemplaire Inc.</v>
      </c>
      <c r="G73" s="184"/>
      <c r="H73" s="183"/>
      <c r="I73" s="182"/>
      <c r="J73" s="185"/>
      <c r="K73" s="186"/>
      <c r="L73" s="185"/>
      <c r="M73" s="187"/>
      <c r="N73" s="185"/>
      <c r="O73" s="188"/>
      <c r="P73" s="188"/>
      <c r="Q73" s="189"/>
      <c r="R73" s="190"/>
      <c r="S73" s="190"/>
      <c r="T73" s="190"/>
      <c r="U73" s="191"/>
      <c r="V73" s="192"/>
      <c r="W73" s="193"/>
      <c r="X73" s="194"/>
      <c r="Y73" s="198"/>
      <c r="Z73" s="205"/>
      <c r="AA73" s="197"/>
      <c r="AB73" s="198"/>
      <c r="AC73" s="199"/>
      <c r="AD73" s="200"/>
      <c r="AE73" s="182"/>
      <c r="AF73" s="201"/>
      <c r="AG73" s="201"/>
    </row>
    <row r="74" spans="1:33" ht="27.75" customHeight="1" thickTop="1" thickBot="1">
      <c r="A74" s="217" t="str">
        <f t="shared" si="3"/>
        <v>#BL25-0002</v>
      </c>
      <c r="B74" s="181"/>
      <c r="C74" s="181"/>
      <c r="D74" s="202"/>
      <c r="E74" s="183"/>
      <c r="F74" s="184" t="str">
        <f t="shared" si="2"/>
        <v>Construction Exemplaire Inc.</v>
      </c>
      <c r="G74" s="184"/>
      <c r="H74" s="183"/>
      <c r="I74" s="182"/>
      <c r="J74" s="185"/>
      <c r="K74" s="186"/>
      <c r="L74" s="185"/>
      <c r="M74" s="187"/>
      <c r="N74" s="185"/>
      <c r="O74" s="188"/>
      <c r="P74" s="188"/>
      <c r="Q74" s="189"/>
      <c r="R74" s="190"/>
      <c r="S74" s="190"/>
      <c r="T74" s="190"/>
      <c r="U74" s="191"/>
      <c r="V74" s="192"/>
      <c r="W74" s="193"/>
      <c r="X74" s="194"/>
      <c r="Y74" s="195"/>
      <c r="Z74" s="196"/>
      <c r="AA74" s="197"/>
      <c r="AB74" s="198"/>
      <c r="AC74" s="199"/>
      <c r="AD74" s="200"/>
      <c r="AE74" s="182"/>
      <c r="AF74" s="201"/>
      <c r="AG74" s="201"/>
    </row>
    <row r="75" spans="1:33" ht="27.75" customHeight="1" thickTop="1" thickBot="1">
      <c r="A75" s="217" t="str">
        <f t="shared" si="3"/>
        <v>#BL25-0002</v>
      </c>
      <c r="B75" s="181"/>
      <c r="C75" s="181"/>
      <c r="D75" s="202"/>
      <c r="E75" s="183"/>
      <c r="F75" s="184" t="str">
        <f t="shared" si="2"/>
        <v>Construction Exemplaire Inc.</v>
      </c>
      <c r="G75" s="184"/>
      <c r="H75" s="183"/>
      <c r="I75" s="182"/>
      <c r="J75" s="185"/>
      <c r="K75" s="186"/>
      <c r="L75" s="185"/>
      <c r="M75" s="187"/>
      <c r="N75" s="185"/>
      <c r="O75" s="188"/>
      <c r="P75" s="188"/>
      <c r="Q75" s="189"/>
      <c r="R75" s="190"/>
      <c r="S75" s="190"/>
      <c r="T75" s="190"/>
      <c r="U75" s="191"/>
      <c r="V75" s="192"/>
      <c r="W75" s="193"/>
      <c r="X75" s="194"/>
      <c r="Y75" s="195"/>
      <c r="Z75" s="196"/>
      <c r="AA75" s="197"/>
      <c r="AB75" s="198"/>
      <c r="AC75" s="199"/>
      <c r="AD75" s="200"/>
      <c r="AE75" s="182"/>
      <c r="AF75" s="201"/>
      <c r="AG75" s="201"/>
    </row>
    <row r="76" spans="1:33" ht="31.5" customHeight="1" thickTop="1" thickBot="1">
      <c r="A76" s="217" t="str">
        <f t="shared" si="3"/>
        <v>#BL25-0002</v>
      </c>
      <c r="B76" s="181"/>
      <c r="C76" s="181"/>
      <c r="D76" s="184"/>
      <c r="E76" s="183"/>
      <c r="F76" s="184" t="str">
        <f t="shared" si="2"/>
        <v>Construction Exemplaire Inc.</v>
      </c>
      <c r="G76" s="184"/>
      <c r="H76" s="183"/>
      <c r="I76" s="182"/>
      <c r="J76" s="185"/>
      <c r="K76" s="186"/>
      <c r="L76" s="185"/>
      <c r="M76" s="187"/>
      <c r="N76" s="185"/>
      <c r="O76" s="188"/>
      <c r="P76" s="188"/>
      <c r="Q76" s="189"/>
      <c r="R76" s="190"/>
      <c r="S76" s="190"/>
      <c r="T76" s="190"/>
      <c r="U76" s="191"/>
      <c r="V76" s="192"/>
      <c r="W76" s="193"/>
      <c r="X76" s="194"/>
      <c r="Y76" s="195"/>
      <c r="Z76" s="196"/>
      <c r="AA76" s="197"/>
      <c r="AB76" s="198"/>
      <c r="AC76" s="199"/>
      <c r="AD76" s="200"/>
      <c r="AE76" s="182"/>
      <c r="AF76" s="201"/>
      <c r="AG76" s="201"/>
    </row>
    <row r="77" spans="1:33" ht="31.5" customHeight="1" thickTop="1" thickBot="1">
      <c r="A77" s="217" t="str">
        <f t="shared" si="3"/>
        <v>#BL25-0002</v>
      </c>
      <c r="B77" s="181"/>
      <c r="C77" s="181"/>
      <c r="D77" s="184"/>
      <c r="E77" s="183"/>
      <c r="F77" s="184" t="str">
        <f t="shared" si="2"/>
        <v>Construction Exemplaire Inc.</v>
      </c>
      <c r="G77" s="184"/>
      <c r="H77" s="183"/>
      <c r="I77" s="182"/>
      <c r="J77" s="185"/>
      <c r="K77" s="186"/>
      <c r="L77" s="185"/>
      <c r="M77" s="187"/>
      <c r="N77" s="185"/>
      <c r="O77" s="188"/>
      <c r="P77" s="188"/>
      <c r="Q77" s="189"/>
      <c r="R77" s="190"/>
      <c r="S77" s="190"/>
      <c r="T77" s="190"/>
      <c r="U77" s="191"/>
      <c r="V77" s="192"/>
      <c r="W77" s="193"/>
      <c r="X77" s="194"/>
      <c r="Y77" s="195"/>
      <c r="Z77" s="196"/>
      <c r="AA77" s="203"/>
      <c r="AB77" s="198"/>
      <c r="AC77" s="199"/>
      <c r="AD77" s="200"/>
      <c r="AE77" s="182"/>
      <c r="AF77" s="201"/>
      <c r="AG77" s="201"/>
    </row>
    <row r="78" spans="1:33" ht="31.5" customHeight="1" thickTop="1" thickBot="1">
      <c r="A78" s="217" t="str">
        <f t="shared" si="3"/>
        <v>#BL25-0002</v>
      </c>
      <c r="B78" s="181"/>
      <c r="C78" s="181"/>
      <c r="D78" s="184"/>
      <c r="E78" s="183"/>
      <c r="F78" s="184" t="str">
        <f t="shared" si="2"/>
        <v>Construction Exemplaire Inc.</v>
      </c>
      <c r="G78" s="184"/>
      <c r="H78" s="183"/>
      <c r="I78" s="182"/>
      <c r="J78" s="185"/>
      <c r="K78" s="186"/>
      <c r="L78" s="185"/>
      <c r="M78" s="187"/>
      <c r="N78" s="185"/>
      <c r="O78" s="188"/>
      <c r="P78" s="188"/>
      <c r="Q78" s="189"/>
      <c r="R78" s="190"/>
      <c r="S78" s="190"/>
      <c r="T78" s="190"/>
      <c r="U78" s="191"/>
      <c r="V78" s="192"/>
      <c r="W78" s="193"/>
      <c r="X78" s="194"/>
      <c r="Y78" s="195"/>
      <c r="Z78" s="196"/>
      <c r="AA78" s="203"/>
      <c r="AB78" s="198"/>
      <c r="AC78" s="199"/>
      <c r="AD78" s="200"/>
      <c r="AE78" s="182"/>
      <c r="AF78" s="201"/>
      <c r="AG78" s="201"/>
    </row>
    <row r="79" spans="1:33" ht="31.5" customHeight="1" thickTop="1" thickBot="1">
      <c r="A79" s="217" t="str">
        <f t="shared" si="3"/>
        <v>#BL25-0002</v>
      </c>
      <c r="B79" s="181"/>
      <c r="C79" s="181"/>
      <c r="D79" s="184"/>
      <c r="E79" s="183"/>
      <c r="F79" s="184" t="str">
        <f t="shared" si="2"/>
        <v>Construction Exemplaire Inc.</v>
      </c>
      <c r="G79" s="184"/>
      <c r="H79" s="183"/>
      <c r="I79" s="182"/>
      <c r="J79" s="185"/>
      <c r="K79" s="186"/>
      <c r="L79" s="185"/>
      <c r="M79" s="187"/>
      <c r="N79" s="185"/>
      <c r="O79" s="188"/>
      <c r="P79" s="188"/>
      <c r="Q79" s="189"/>
      <c r="R79" s="190"/>
      <c r="S79" s="190"/>
      <c r="T79" s="190"/>
      <c r="U79" s="191"/>
      <c r="V79" s="192"/>
      <c r="W79" s="193"/>
      <c r="X79" s="194"/>
      <c r="Y79" s="195"/>
      <c r="Z79" s="196"/>
      <c r="AA79" s="203"/>
      <c r="AB79" s="198"/>
      <c r="AC79" s="199"/>
      <c r="AD79" s="200"/>
      <c r="AE79" s="182"/>
      <c r="AF79" s="201"/>
      <c r="AG79" s="201"/>
    </row>
    <row r="80" spans="1:33" ht="27.75" customHeight="1" thickTop="1" thickBot="1">
      <c r="A80" s="217" t="str">
        <f t="shared" si="3"/>
        <v>#BL25-0002</v>
      </c>
      <c r="B80" s="181"/>
      <c r="C80" s="181"/>
      <c r="D80" s="184"/>
      <c r="E80" s="183"/>
      <c r="F80" s="184" t="str">
        <f t="shared" si="2"/>
        <v>Construction Exemplaire Inc.</v>
      </c>
      <c r="G80" s="184"/>
      <c r="H80" s="183"/>
      <c r="I80" s="182"/>
      <c r="J80" s="185"/>
      <c r="K80" s="185"/>
      <c r="L80" s="185"/>
      <c r="M80" s="187"/>
      <c r="N80" s="185"/>
      <c r="O80" s="188"/>
      <c r="P80" s="188"/>
      <c r="Q80" s="189"/>
      <c r="R80" s="190"/>
      <c r="S80" s="190"/>
      <c r="T80" s="190"/>
      <c r="U80" s="191"/>
      <c r="V80" s="192"/>
      <c r="W80" s="193"/>
      <c r="X80" s="194"/>
      <c r="Y80" s="195"/>
      <c r="Z80" s="196"/>
      <c r="AA80" s="203"/>
      <c r="AB80" s="198"/>
      <c r="AC80" s="199"/>
      <c r="AD80" s="200"/>
      <c r="AE80" s="182"/>
      <c r="AF80" s="201"/>
      <c r="AG80" s="201"/>
    </row>
    <row r="81" spans="1:33" ht="27.75" customHeight="1" thickTop="1" thickBot="1">
      <c r="A81" s="217" t="str">
        <f t="shared" si="3"/>
        <v>#BL25-0002</v>
      </c>
      <c r="B81" s="181"/>
      <c r="C81" s="181"/>
      <c r="D81" s="184"/>
      <c r="E81" s="183"/>
      <c r="F81" s="184" t="str">
        <f t="shared" si="2"/>
        <v>Construction Exemplaire Inc.</v>
      </c>
      <c r="G81" s="184"/>
      <c r="H81" s="183"/>
      <c r="I81" s="182"/>
      <c r="J81" s="185"/>
      <c r="K81" s="185"/>
      <c r="L81" s="185"/>
      <c r="M81" s="187"/>
      <c r="N81" s="185"/>
      <c r="O81" s="188"/>
      <c r="P81" s="188"/>
      <c r="Q81" s="189"/>
      <c r="R81" s="190"/>
      <c r="S81" s="190"/>
      <c r="T81" s="190"/>
      <c r="U81" s="191"/>
      <c r="V81" s="192"/>
      <c r="W81" s="193"/>
      <c r="X81" s="194"/>
      <c r="Y81" s="195"/>
      <c r="Z81" s="196"/>
      <c r="AA81" s="203"/>
      <c r="AB81" s="198"/>
      <c r="AC81" s="199"/>
      <c r="AD81" s="200"/>
      <c r="AE81" s="182"/>
      <c r="AF81" s="201"/>
      <c r="AG81" s="201"/>
    </row>
    <row r="82" spans="1:33" ht="27.75" customHeight="1" thickTop="1" thickBot="1">
      <c r="A82" s="217" t="str">
        <f t="shared" si="3"/>
        <v>#BL25-0002</v>
      </c>
      <c r="B82" s="181"/>
      <c r="C82" s="181"/>
      <c r="D82" s="184"/>
      <c r="E82" s="183"/>
      <c r="F82" s="184" t="str">
        <f t="shared" si="2"/>
        <v>Construction Exemplaire Inc.</v>
      </c>
      <c r="G82" s="184"/>
      <c r="H82" s="183"/>
      <c r="I82" s="182"/>
      <c r="J82" s="185"/>
      <c r="K82" s="185"/>
      <c r="L82" s="185"/>
      <c r="M82" s="187"/>
      <c r="N82" s="185"/>
      <c r="O82" s="188"/>
      <c r="P82" s="188"/>
      <c r="Q82" s="189"/>
      <c r="R82" s="190"/>
      <c r="S82" s="190"/>
      <c r="T82" s="190"/>
      <c r="U82" s="191"/>
      <c r="V82" s="192"/>
      <c r="W82" s="193"/>
      <c r="X82" s="194"/>
      <c r="Y82" s="195"/>
      <c r="Z82" s="196"/>
      <c r="AA82" s="203"/>
      <c r="AB82" s="198"/>
      <c r="AC82" s="199"/>
      <c r="AD82" s="200"/>
      <c r="AE82" s="182"/>
      <c r="AF82" s="201"/>
      <c r="AG82" s="201"/>
    </row>
    <row r="83" spans="1:33" ht="27.75" customHeight="1" thickTop="1" thickBot="1">
      <c r="A83" s="217" t="str">
        <f t="shared" si="3"/>
        <v>#BL25-0002</v>
      </c>
      <c r="B83" s="181"/>
      <c r="C83" s="181"/>
      <c r="D83" s="184"/>
      <c r="E83" s="183"/>
      <c r="F83" s="184" t="str">
        <f t="shared" si="2"/>
        <v>Construction Exemplaire Inc.</v>
      </c>
      <c r="G83" s="184"/>
      <c r="H83" s="183"/>
      <c r="I83" s="182"/>
      <c r="J83" s="185"/>
      <c r="K83" s="185"/>
      <c r="L83" s="185"/>
      <c r="M83" s="187"/>
      <c r="N83" s="185"/>
      <c r="O83" s="188"/>
      <c r="P83" s="188"/>
      <c r="Q83" s="189"/>
      <c r="R83" s="190"/>
      <c r="S83" s="190"/>
      <c r="T83" s="190"/>
      <c r="U83" s="191"/>
      <c r="V83" s="192"/>
      <c r="W83" s="193"/>
      <c r="X83" s="194"/>
      <c r="Y83" s="195"/>
      <c r="Z83" s="196"/>
      <c r="AA83" s="203"/>
      <c r="AB83" s="198"/>
      <c r="AC83" s="199"/>
      <c r="AD83" s="200"/>
      <c r="AE83" s="182"/>
      <c r="AF83" s="201"/>
      <c r="AG83" s="201"/>
    </row>
    <row r="84" spans="1:33" ht="27.75" customHeight="1" thickTop="1" thickBot="1">
      <c r="A84" s="217" t="str">
        <f t="shared" si="3"/>
        <v>#BL25-0002</v>
      </c>
      <c r="B84" s="181"/>
      <c r="C84" s="181"/>
      <c r="D84" s="184"/>
      <c r="E84" s="183"/>
      <c r="F84" s="184" t="str">
        <f t="shared" si="2"/>
        <v>Construction Exemplaire Inc.</v>
      </c>
      <c r="G84" s="184"/>
      <c r="H84" s="183"/>
      <c r="I84" s="182"/>
      <c r="J84" s="185"/>
      <c r="K84" s="185"/>
      <c r="L84" s="185"/>
      <c r="M84" s="187"/>
      <c r="N84" s="185"/>
      <c r="O84" s="188"/>
      <c r="P84" s="188"/>
      <c r="Q84" s="189"/>
      <c r="R84" s="190"/>
      <c r="S84" s="190"/>
      <c r="T84" s="190"/>
      <c r="U84" s="191"/>
      <c r="V84" s="192"/>
      <c r="W84" s="193"/>
      <c r="X84" s="194"/>
      <c r="Y84" s="195"/>
      <c r="Z84" s="196"/>
      <c r="AA84" s="203"/>
      <c r="AB84" s="198"/>
      <c r="AC84" s="199"/>
      <c r="AD84" s="200"/>
      <c r="AE84" s="182"/>
      <c r="AF84" s="201"/>
      <c r="AG84" s="201"/>
    </row>
    <row r="85" spans="1:33" ht="27.75" customHeight="1" thickTop="1" thickBot="1">
      <c r="A85" s="217" t="str">
        <f t="shared" si="3"/>
        <v>#BL25-0002</v>
      </c>
      <c r="B85" s="181"/>
      <c r="C85" s="181"/>
      <c r="D85" s="184"/>
      <c r="E85" s="183"/>
      <c r="F85" s="184" t="str">
        <f t="shared" si="2"/>
        <v>Construction Exemplaire Inc.</v>
      </c>
      <c r="G85" s="184"/>
      <c r="H85" s="183"/>
      <c r="I85" s="182"/>
      <c r="J85" s="185"/>
      <c r="K85" s="185"/>
      <c r="L85" s="185"/>
      <c r="M85" s="187"/>
      <c r="N85" s="185"/>
      <c r="O85" s="188"/>
      <c r="P85" s="188"/>
      <c r="Q85" s="189"/>
      <c r="R85" s="190"/>
      <c r="S85" s="190"/>
      <c r="T85" s="190"/>
      <c r="U85" s="191"/>
      <c r="V85" s="192"/>
      <c r="W85" s="193"/>
      <c r="X85" s="194"/>
      <c r="Y85" s="195"/>
      <c r="Z85" s="196"/>
      <c r="AA85" s="203"/>
      <c r="AB85" s="198"/>
      <c r="AC85" s="199"/>
      <c r="AD85" s="200"/>
      <c r="AE85" s="182"/>
      <c r="AF85" s="201"/>
      <c r="AG85" s="201"/>
    </row>
    <row r="86" spans="1:33" ht="27.75" customHeight="1" thickTop="1" thickBot="1">
      <c r="A86" s="217" t="str">
        <f t="shared" si="3"/>
        <v>#BL25-0002</v>
      </c>
      <c r="B86" s="181"/>
      <c r="C86" s="181"/>
      <c r="D86" s="184"/>
      <c r="E86" s="183"/>
      <c r="F86" s="184" t="str">
        <f t="shared" si="2"/>
        <v>Construction Exemplaire Inc.</v>
      </c>
      <c r="G86" s="184"/>
      <c r="H86" s="183"/>
      <c r="I86" s="182"/>
      <c r="J86" s="185"/>
      <c r="K86" s="185"/>
      <c r="L86" s="185"/>
      <c r="M86" s="187"/>
      <c r="N86" s="185"/>
      <c r="O86" s="188"/>
      <c r="P86" s="188"/>
      <c r="Q86" s="189"/>
      <c r="R86" s="190"/>
      <c r="S86" s="190"/>
      <c r="T86" s="190"/>
      <c r="U86" s="191"/>
      <c r="V86" s="192"/>
      <c r="W86" s="193"/>
      <c r="X86" s="194"/>
      <c r="Y86" s="195"/>
      <c r="Z86" s="196"/>
      <c r="AA86" s="203"/>
      <c r="AB86" s="198"/>
      <c r="AC86" s="199"/>
      <c r="AD86" s="200"/>
      <c r="AE86" s="182"/>
      <c r="AF86" s="201"/>
      <c r="AG86" s="201"/>
    </row>
    <row r="87" spans="1:33" ht="27.75" customHeight="1" thickTop="1" thickBot="1">
      <c r="A87" s="217" t="str">
        <f t="shared" si="3"/>
        <v>#BL25-0002</v>
      </c>
      <c r="B87" s="181"/>
      <c r="C87" s="181"/>
      <c r="D87" s="184"/>
      <c r="E87" s="183"/>
      <c r="F87" s="184" t="str">
        <f t="shared" si="2"/>
        <v>Construction Exemplaire Inc.</v>
      </c>
      <c r="G87" s="184"/>
      <c r="H87" s="183"/>
      <c r="I87" s="182"/>
      <c r="J87" s="185"/>
      <c r="K87" s="185"/>
      <c r="L87" s="185"/>
      <c r="M87" s="187"/>
      <c r="N87" s="185"/>
      <c r="O87" s="188"/>
      <c r="P87" s="188"/>
      <c r="Q87" s="189"/>
      <c r="R87" s="190"/>
      <c r="S87" s="190"/>
      <c r="T87" s="190"/>
      <c r="U87" s="191"/>
      <c r="V87" s="192"/>
      <c r="W87" s="193"/>
      <c r="X87" s="194"/>
      <c r="Y87" s="195"/>
      <c r="Z87" s="196"/>
      <c r="AA87" s="203"/>
      <c r="AB87" s="198"/>
      <c r="AC87" s="199"/>
      <c r="AD87" s="200"/>
      <c r="AE87" s="182"/>
      <c r="AF87" s="201"/>
      <c r="AG87" s="201"/>
    </row>
    <row r="88" spans="1:33" ht="27.75" customHeight="1" thickTop="1" thickBot="1">
      <c r="A88" s="217" t="str">
        <f t="shared" si="3"/>
        <v>#BL25-0002</v>
      </c>
      <c r="B88" s="181"/>
      <c r="C88" s="181"/>
      <c r="D88" s="184"/>
      <c r="E88" s="183"/>
      <c r="F88" s="184" t="str">
        <f t="shared" si="2"/>
        <v>Construction Exemplaire Inc.</v>
      </c>
      <c r="G88" s="184"/>
      <c r="H88" s="183"/>
      <c r="I88" s="182"/>
      <c r="J88" s="185"/>
      <c r="K88" s="185"/>
      <c r="L88" s="185"/>
      <c r="M88" s="187"/>
      <c r="N88" s="185"/>
      <c r="O88" s="188"/>
      <c r="P88" s="188"/>
      <c r="Q88" s="189"/>
      <c r="R88" s="190"/>
      <c r="S88" s="190"/>
      <c r="T88" s="190"/>
      <c r="U88" s="191"/>
      <c r="V88" s="192"/>
      <c r="W88" s="193"/>
      <c r="X88" s="194"/>
      <c r="Y88" s="195"/>
      <c r="Z88" s="196"/>
      <c r="AA88" s="203"/>
      <c r="AB88" s="198"/>
      <c r="AC88" s="199"/>
      <c r="AD88" s="200"/>
      <c r="AE88" s="182"/>
      <c r="AF88" s="201"/>
      <c r="AG88" s="201"/>
    </row>
    <row r="89" spans="1:33" ht="27.75" customHeight="1" thickTop="1" thickBot="1">
      <c r="A89" s="217" t="str">
        <f t="shared" si="3"/>
        <v>#BL25-0002</v>
      </c>
      <c r="B89" s="181"/>
      <c r="C89" s="181"/>
      <c r="D89" s="184"/>
      <c r="E89" s="183"/>
      <c r="F89" s="184" t="str">
        <f t="shared" si="2"/>
        <v>Construction Exemplaire Inc.</v>
      </c>
      <c r="G89" s="184"/>
      <c r="H89" s="183"/>
      <c r="I89" s="182"/>
      <c r="J89" s="185"/>
      <c r="K89" s="185"/>
      <c r="L89" s="185"/>
      <c r="M89" s="187"/>
      <c r="N89" s="185"/>
      <c r="O89" s="188"/>
      <c r="P89" s="188"/>
      <c r="Q89" s="189"/>
      <c r="R89" s="190"/>
      <c r="S89" s="190"/>
      <c r="T89" s="190"/>
      <c r="U89" s="191"/>
      <c r="V89" s="192"/>
      <c r="W89" s="193"/>
      <c r="X89" s="194"/>
      <c r="Y89" s="195"/>
      <c r="Z89" s="196"/>
      <c r="AA89" s="203"/>
      <c r="AB89" s="198"/>
      <c r="AC89" s="199"/>
      <c r="AD89" s="200"/>
      <c r="AE89" s="182"/>
      <c r="AF89" s="201"/>
      <c r="AG89" s="201"/>
    </row>
    <row r="90" spans="1:33" ht="27.75" customHeight="1" thickTop="1" thickBot="1">
      <c r="A90" s="217" t="str">
        <f t="shared" si="3"/>
        <v>#BL25-0002</v>
      </c>
      <c r="B90" s="181"/>
      <c r="C90" s="181"/>
      <c r="D90" s="184"/>
      <c r="E90" s="183"/>
      <c r="F90" s="184" t="str">
        <f t="shared" si="2"/>
        <v>Construction Exemplaire Inc.</v>
      </c>
      <c r="G90" s="184"/>
      <c r="H90" s="183"/>
      <c r="I90" s="182"/>
      <c r="J90" s="185"/>
      <c r="K90" s="185"/>
      <c r="L90" s="185"/>
      <c r="M90" s="187"/>
      <c r="N90" s="185"/>
      <c r="O90" s="188"/>
      <c r="P90" s="188"/>
      <c r="Q90" s="189"/>
      <c r="R90" s="190"/>
      <c r="S90" s="190"/>
      <c r="T90" s="190"/>
      <c r="U90" s="191"/>
      <c r="V90" s="192"/>
      <c r="W90" s="193"/>
      <c r="X90" s="194"/>
      <c r="Y90" s="195"/>
      <c r="Z90" s="196"/>
      <c r="AA90" s="203"/>
      <c r="AB90" s="198"/>
      <c r="AC90" s="199"/>
      <c r="AD90" s="200"/>
      <c r="AE90" s="182"/>
      <c r="AF90" s="201"/>
      <c r="AG90" s="201"/>
    </row>
    <row r="91" spans="1:33" ht="27.75" customHeight="1" thickTop="1" thickBot="1">
      <c r="A91" s="217" t="str">
        <f t="shared" si="3"/>
        <v>#BL25-0002</v>
      </c>
      <c r="B91" s="181"/>
      <c r="C91" s="181"/>
      <c r="D91" s="184"/>
      <c r="E91" s="183"/>
      <c r="F91" s="184" t="str">
        <f t="shared" si="2"/>
        <v>Construction Exemplaire Inc.</v>
      </c>
      <c r="G91" s="184"/>
      <c r="H91" s="183"/>
      <c r="I91" s="182"/>
      <c r="J91" s="185"/>
      <c r="K91" s="185"/>
      <c r="L91" s="185"/>
      <c r="M91" s="187"/>
      <c r="N91" s="185"/>
      <c r="O91" s="188"/>
      <c r="P91" s="188"/>
      <c r="Q91" s="189"/>
      <c r="R91" s="190"/>
      <c r="S91" s="190"/>
      <c r="T91" s="190"/>
      <c r="U91" s="191"/>
      <c r="V91" s="192"/>
      <c r="W91" s="193"/>
      <c r="X91" s="194"/>
      <c r="Y91" s="195"/>
      <c r="Z91" s="196"/>
      <c r="AA91" s="203"/>
      <c r="AB91" s="198"/>
      <c r="AC91" s="199"/>
      <c r="AD91" s="200"/>
      <c r="AE91" s="182"/>
      <c r="AF91" s="201"/>
      <c r="AG91" s="201"/>
    </row>
    <row r="92" spans="1:33" ht="27.75" customHeight="1" thickTop="1" thickBot="1">
      <c r="A92" s="217" t="str">
        <f t="shared" si="3"/>
        <v>#BL25-0002</v>
      </c>
      <c r="B92" s="181"/>
      <c r="C92" s="181"/>
      <c r="D92" s="184"/>
      <c r="E92" s="183"/>
      <c r="F92" s="184" t="str">
        <f t="shared" si="2"/>
        <v>Construction Exemplaire Inc.</v>
      </c>
      <c r="G92" s="184"/>
      <c r="H92" s="183"/>
      <c r="I92" s="182"/>
      <c r="J92" s="185"/>
      <c r="K92" s="185"/>
      <c r="L92" s="185"/>
      <c r="M92" s="187"/>
      <c r="N92" s="185"/>
      <c r="O92" s="188"/>
      <c r="P92" s="188"/>
      <c r="Q92" s="189"/>
      <c r="R92" s="190"/>
      <c r="S92" s="190"/>
      <c r="T92" s="190"/>
      <c r="U92" s="191"/>
      <c r="V92" s="192"/>
      <c r="W92" s="193"/>
      <c r="X92" s="194"/>
      <c r="Y92" s="195"/>
      <c r="Z92" s="196"/>
      <c r="AA92" s="203"/>
      <c r="AB92" s="198"/>
      <c r="AC92" s="199"/>
      <c r="AD92" s="200"/>
      <c r="AE92" s="182"/>
      <c r="AF92" s="201"/>
      <c r="AG92" s="201"/>
    </row>
    <row r="93" spans="1:33" ht="27.75" customHeight="1" thickTop="1" thickBot="1">
      <c r="A93" s="217" t="str">
        <f t="shared" si="3"/>
        <v>#BL25-0002</v>
      </c>
      <c r="B93" s="181"/>
      <c r="C93" s="181"/>
      <c r="D93" s="184"/>
      <c r="E93" s="183"/>
      <c r="F93" s="184" t="str">
        <f t="shared" si="2"/>
        <v>Construction Exemplaire Inc.</v>
      </c>
      <c r="G93" s="184"/>
      <c r="H93" s="183"/>
      <c r="I93" s="182"/>
      <c r="J93" s="185"/>
      <c r="K93" s="185"/>
      <c r="L93" s="185"/>
      <c r="M93" s="187"/>
      <c r="N93" s="185"/>
      <c r="O93" s="188"/>
      <c r="P93" s="188"/>
      <c r="Q93" s="189"/>
      <c r="R93" s="190"/>
      <c r="S93" s="190"/>
      <c r="T93" s="190"/>
      <c r="U93" s="191"/>
      <c r="V93" s="192"/>
      <c r="W93" s="193"/>
      <c r="X93" s="194"/>
      <c r="Y93" s="195"/>
      <c r="Z93" s="196"/>
      <c r="AA93" s="203"/>
      <c r="AB93" s="198"/>
      <c r="AC93" s="199"/>
      <c r="AD93" s="200"/>
      <c r="AE93" s="182"/>
      <c r="AF93" s="201"/>
      <c r="AG93" s="201"/>
    </row>
    <row r="94" spans="1:33" ht="27.75" customHeight="1" thickTop="1" thickBot="1">
      <c r="A94" s="217" t="str">
        <f t="shared" si="3"/>
        <v>#BL25-0002</v>
      </c>
      <c r="B94" s="181"/>
      <c r="C94" s="181"/>
      <c r="D94" s="184"/>
      <c r="E94" s="183"/>
      <c r="F94" s="184" t="str">
        <f t="shared" si="2"/>
        <v>Construction Exemplaire Inc.</v>
      </c>
      <c r="G94" s="184"/>
      <c r="H94" s="183"/>
      <c r="I94" s="182"/>
      <c r="J94" s="185"/>
      <c r="K94" s="185"/>
      <c r="L94" s="185"/>
      <c r="M94" s="187"/>
      <c r="N94" s="185"/>
      <c r="O94" s="188"/>
      <c r="P94" s="188"/>
      <c r="Q94" s="189"/>
      <c r="R94" s="190"/>
      <c r="S94" s="190"/>
      <c r="T94" s="190"/>
      <c r="U94" s="191"/>
      <c r="V94" s="192"/>
      <c r="W94" s="193"/>
      <c r="X94" s="194"/>
      <c r="Y94" s="195"/>
      <c r="Z94" s="196"/>
      <c r="AA94" s="203"/>
      <c r="AB94" s="198"/>
      <c r="AC94" s="199"/>
      <c r="AD94" s="200"/>
      <c r="AE94" s="182"/>
      <c r="AF94" s="201"/>
      <c r="AG94" s="201"/>
    </row>
    <row r="95" spans="1:33" ht="27.75" customHeight="1" thickTop="1" thickBot="1">
      <c r="A95" s="217" t="str">
        <f t="shared" si="3"/>
        <v>#BL25-0002</v>
      </c>
      <c r="B95" s="181"/>
      <c r="C95" s="181"/>
      <c r="D95" s="184"/>
      <c r="E95" s="183"/>
      <c r="F95" s="184" t="str">
        <f t="shared" si="2"/>
        <v>Construction Exemplaire Inc.</v>
      </c>
      <c r="G95" s="184"/>
      <c r="H95" s="183"/>
      <c r="I95" s="182"/>
      <c r="J95" s="185"/>
      <c r="K95" s="185"/>
      <c r="L95" s="185"/>
      <c r="M95" s="187"/>
      <c r="N95" s="185"/>
      <c r="O95" s="188"/>
      <c r="P95" s="188"/>
      <c r="Q95" s="189"/>
      <c r="R95" s="190"/>
      <c r="S95" s="190"/>
      <c r="T95" s="190"/>
      <c r="U95" s="191"/>
      <c r="V95" s="192"/>
      <c r="W95" s="193"/>
      <c r="X95" s="194"/>
      <c r="Y95" s="195"/>
      <c r="Z95" s="196"/>
      <c r="AA95" s="203"/>
      <c r="AB95" s="198"/>
      <c r="AC95" s="199"/>
      <c r="AD95" s="200"/>
      <c r="AE95" s="182"/>
      <c r="AF95" s="201"/>
      <c r="AG95" s="201"/>
    </row>
    <row r="96" spans="1:33" ht="27.75" customHeight="1" thickTop="1" thickBot="1">
      <c r="A96" s="217" t="str">
        <f t="shared" si="3"/>
        <v>#BL25-0002</v>
      </c>
      <c r="B96" s="181"/>
      <c r="C96" s="181"/>
      <c r="D96" s="184"/>
      <c r="E96" s="183"/>
      <c r="F96" s="184" t="str">
        <f t="shared" si="2"/>
        <v>Construction Exemplaire Inc.</v>
      </c>
      <c r="G96" s="184"/>
      <c r="H96" s="183"/>
      <c r="I96" s="182"/>
      <c r="J96" s="185"/>
      <c r="K96" s="185"/>
      <c r="L96" s="185"/>
      <c r="M96" s="187"/>
      <c r="N96" s="185"/>
      <c r="O96" s="188"/>
      <c r="P96" s="188"/>
      <c r="Q96" s="189"/>
      <c r="R96" s="190"/>
      <c r="S96" s="190"/>
      <c r="T96" s="190"/>
      <c r="U96" s="191"/>
      <c r="V96" s="192"/>
      <c r="W96" s="193"/>
      <c r="X96" s="194"/>
      <c r="Y96" s="195"/>
      <c r="Z96" s="196"/>
      <c r="AA96" s="203"/>
      <c r="AB96" s="198"/>
      <c r="AC96" s="199"/>
      <c r="AD96" s="200"/>
      <c r="AE96" s="182"/>
      <c r="AF96" s="201"/>
      <c r="AG96" s="201"/>
    </row>
    <row r="97" spans="1:33" ht="27.75" customHeight="1" thickTop="1" thickBot="1">
      <c r="A97" s="217" t="str">
        <f t="shared" si="3"/>
        <v>#BL25-0002</v>
      </c>
      <c r="B97" s="181"/>
      <c r="C97" s="181"/>
      <c r="D97" s="184"/>
      <c r="E97" s="183"/>
      <c r="F97" s="184" t="str">
        <f t="shared" si="2"/>
        <v>Construction Exemplaire Inc.</v>
      </c>
      <c r="G97" s="184"/>
      <c r="H97" s="183"/>
      <c r="I97" s="182"/>
      <c r="J97" s="185"/>
      <c r="K97" s="185"/>
      <c r="L97" s="185"/>
      <c r="M97" s="187"/>
      <c r="N97" s="185"/>
      <c r="O97" s="188"/>
      <c r="P97" s="188"/>
      <c r="Q97" s="189"/>
      <c r="R97" s="190"/>
      <c r="S97" s="190"/>
      <c r="T97" s="190"/>
      <c r="U97" s="191"/>
      <c r="V97" s="192"/>
      <c r="W97" s="193"/>
      <c r="X97" s="194"/>
      <c r="Y97" s="195"/>
      <c r="Z97" s="196"/>
      <c r="AA97" s="203"/>
      <c r="AB97" s="198"/>
      <c r="AC97" s="199"/>
      <c r="AD97" s="200"/>
      <c r="AE97" s="182"/>
      <c r="AF97" s="201"/>
      <c r="AG97" s="201"/>
    </row>
    <row r="98" spans="1:33" ht="27.75" customHeight="1" thickTop="1" thickBot="1">
      <c r="A98" s="217" t="str">
        <f t="shared" si="3"/>
        <v>#BL25-0002</v>
      </c>
      <c r="B98" s="181"/>
      <c r="C98" s="181"/>
      <c r="D98" s="184"/>
      <c r="E98" s="183"/>
      <c r="F98" s="184" t="str">
        <f t="shared" si="2"/>
        <v>Construction Exemplaire Inc.</v>
      </c>
      <c r="G98" s="184"/>
      <c r="H98" s="183"/>
      <c r="I98" s="182"/>
      <c r="J98" s="185"/>
      <c r="K98" s="185"/>
      <c r="L98" s="185"/>
      <c r="M98" s="187"/>
      <c r="N98" s="185"/>
      <c r="O98" s="188"/>
      <c r="P98" s="188"/>
      <c r="Q98" s="189"/>
      <c r="R98" s="190"/>
      <c r="S98" s="190"/>
      <c r="T98" s="190"/>
      <c r="U98" s="191"/>
      <c r="V98" s="192"/>
      <c r="W98" s="193"/>
      <c r="X98" s="194"/>
      <c r="Y98" s="195"/>
      <c r="Z98" s="196"/>
      <c r="AA98" s="203"/>
      <c r="AB98" s="198"/>
      <c r="AC98" s="199"/>
      <c r="AD98" s="200"/>
      <c r="AE98" s="182"/>
      <c r="AF98" s="201"/>
      <c r="AG98" s="201"/>
    </row>
    <row r="99" spans="1:33" ht="27.75" customHeight="1" thickTop="1" thickBot="1">
      <c r="A99" s="217" t="str">
        <f t="shared" si="3"/>
        <v>#BL25-0002</v>
      </c>
      <c r="B99" s="181"/>
      <c r="C99" s="181"/>
      <c r="D99" s="184"/>
      <c r="E99" s="183"/>
      <c r="F99" s="184" t="str">
        <f t="shared" si="2"/>
        <v>Construction Exemplaire Inc.</v>
      </c>
      <c r="G99" s="184"/>
      <c r="H99" s="183"/>
      <c r="I99" s="182"/>
      <c r="J99" s="185"/>
      <c r="K99" s="185"/>
      <c r="L99" s="185"/>
      <c r="M99" s="187"/>
      <c r="N99" s="185"/>
      <c r="O99" s="206"/>
      <c r="P99" s="188"/>
      <c r="Q99" s="189"/>
      <c r="R99" s="190"/>
      <c r="S99" s="190"/>
      <c r="T99" s="190"/>
      <c r="U99" s="191"/>
      <c r="V99" s="192"/>
      <c r="W99" s="193"/>
      <c r="X99" s="194"/>
      <c r="Y99" s="195"/>
      <c r="Z99" s="196"/>
      <c r="AA99" s="203"/>
      <c r="AB99" s="198"/>
      <c r="AC99" s="199"/>
      <c r="AD99" s="200"/>
      <c r="AE99" s="182"/>
      <c r="AF99" s="201"/>
      <c r="AG99" s="201"/>
    </row>
    <row r="100" spans="1:33" ht="27.75" customHeight="1" thickTop="1" thickBot="1">
      <c r="A100" s="217" t="str">
        <f t="shared" si="3"/>
        <v>#BL25-0002</v>
      </c>
      <c r="B100" s="181"/>
      <c r="C100" s="181"/>
      <c r="D100" s="184"/>
      <c r="E100" s="183"/>
      <c r="F100" s="184" t="str">
        <f t="shared" si="2"/>
        <v>Construction Exemplaire Inc.</v>
      </c>
      <c r="G100" s="184"/>
      <c r="H100" s="183"/>
      <c r="I100" s="182"/>
      <c r="J100" s="185"/>
      <c r="K100" s="185"/>
      <c r="L100" s="185"/>
      <c r="M100" s="187"/>
      <c r="N100" s="185"/>
      <c r="O100" s="206"/>
      <c r="P100" s="188"/>
      <c r="Q100" s="189"/>
      <c r="R100" s="190"/>
      <c r="S100" s="190"/>
      <c r="T100" s="190"/>
      <c r="U100" s="191"/>
      <c r="V100" s="192"/>
      <c r="W100" s="193"/>
      <c r="X100" s="194"/>
      <c r="Y100" s="195"/>
      <c r="Z100" s="196"/>
      <c r="AA100" s="203"/>
      <c r="AB100" s="198"/>
      <c r="AC100" s="199"/>
      <c r="AD100" s="200"/>
      <c r="AE100" s="182"/>
      <c r="AF100" s="201"/>
      <c r="AG100" s="201"/>
    </row>
    <row r="101" spans="1:33" ht="27.75" customHeight="1" thickTop="1" thickBot="1">
      <c r="A101" s="217" t="str">
        <f t="shared" si="3"/>
        <v>#BL25-0002</v>
      </c>
      <c r="B101" s="181"/>
      <c r="C101" s="181"/>
      <c r="D101" s="184"/>
      <c r="E101" s="183"/>
      <c r="F101" s="184" t="str">
        <f t="shared" si="2"/>
        <v>Construction Exemplaire Inc.</v>
      </c>
      <c r="G101" s="184"/>
      <c r="H101" s="183"/>
      <c r="I101" s="182"/>
      <c r="J101" s="185"/>
      <c r="K101" s="185"/>
      <c r="L101" s="185"/>
      <c r="M101" s="187"/>
      <c r="N101" s="185"/>
      <c r="O101" s="206"/>
      <c r="P101" s="188"/>
      <c r="Q101" s="189"/>
      <c r="R101" s="190"/>
      <c r="S101" s="190"/>
      <c r="T101" s="190"/>
      <c r="U101" s="191"/>
      <c r="V101" s="192"/>
      <c r="W101" s="193"/>
      <c r="X101" s="194"/>
      <c r="Y101" s="195"/>
      <c r="Z101" s="196"/>
      <c r="AA101" s="203"/>
      <c r="AB101" s="198"/>
      <c r="AC101" s="199"/>
      <c r="AD101" s="200"/>
      <c r="AE101" s="182"/>
      <c r="AF101" s="201"/>
      <c r="AG101" s="201"/>
    </row>
    <row r="102" spans="1:33" ht="27.75" customHeight="1" thickTop="1" thickBot="1">
      <c r="A102" s="217" t="str">
        <f t="shared" si="3"/>
        <v>#BL25-0002</v>
      </c>
      <c r="B102" s="181"/>
      <c r="C102" s="181"/>
      <c r="D102" s="184"/>
      <c r="E102" s="183"/>
      <c r="F102" s="184" t="str">
        <f t="shared" si="2"/>
        <v>Construction Exemplaire Inc.</v>
      </c>
      <c r="G102" s="184"/>
      <c r="H102" s="183"/>
      <c r="I102" s="182"/>
      <c r="J102" s="185"/>
      <c r="K102" s="185"/>
      <c r="L102" s="185"/>
      <c r="M102" s="187"/>
      <c r="N102" s="185"/>
      <c r="O102" s="188"/>
      <c r="P102" s="188"/>
      <c r="Q102" s="189"/>
      <c r="R102" s="190"/>
      <c r="S102" s="190"/>
      <c r="T102" s="190"/>
      <c r="U102" s="191"/>
      <c r="V102" s="192"/>
      <c r="W102" s="193"/>
      <c r="X102" s="194"/>
      <c r="Y102" s="195"/>
      <c r="Z102" s="196"/>
      <c r="AA102" s="203"/>
      <c r="AB102" s="198"/>
      <c r="AC102" s="199"/>
      <c r="AD102" s="200"/>
      <c r="AE102" s="182"/>
      <c r="AF102" s="201"/>
      <c r="AG102" s="201"/>
    </row>
    <row r="103" spans="1:33" ht="27.75" customHeight="1" thickTop="1" thickBot="1">
      <c r="A103" s="217" t="str">
        <f t="shared" si="3"/>
        <v>#BL25-0002</v>
      </c>
      <c r="B103" s="181"/>
      <c r="C103" s="181"/>
      <c r="D103" s="184"/>
      <c r="E103" s="183"/>
      <c r="F103" s="184" t="str">
        <f t="shared" si="2"/>
        <v>Construction Exemplaire Inc.</v>
      </c>
      <c r="G103" s="184"/>
      <c r="H103" s="183"/>
      <c r="I103" s="182"/>
      <c r="J103" s="185"/>
      <c r="K103" s="185"/>
      <c r="L103" s="185"/>
      <c r="M103" s="187"/>
      <c r="N103" s="185"/>
      <c r="O103" s="188"/>
      <c r="P103" s="188"/>
      <c r="Q103" s="189"/>
      <c r="R103" s="190"/>
      <c r="S103" s="190"/>
      <c r="T103" s="190"/>
      <c r="U103" s="191"/>
      <c r="V103" s="192"/>
      <c r="W103" s="193"/>
      <c r="X103" s="194"/>
      <c r="Y103" s="195"/>
      <c r="Z103" s="196"/>
      <c r="AA103" s="203"/>
      <c r="AB103" s="198"/>
      <c r="AC103" s="199"/>
      <c r="AD103" s="200"/>
      <c r="AE103" s="182"/>
      <c r="AF103" s="201"/>
      <c r="AG103" s="201"/>
    </row>
    <row r="104" spans="1:33" ht="27.75" customHeight="1" thickTop="1" thickBot="1">
      <c r="A104" s="217" t="str">
        <f t="shared" si="3"/>
        <v>#BL25-0002</v>
      </c>
      <c r="B104" s="181"/>
      <c r="C104" s="181"/>
      <c r="D104" s="184"/>
      <c r="E104" s="183"/>
      <c r="F104" s="184" t="str">
        <f t="shared" si="2"/>
        <v>Construction Exemplaire Inc.</v>
      </c>
      <c r="G104" s="184"/>
      <c r="H104" s="183"/>
      <c r="I104" s="182"/>
      <c r="J104" s="185"/>
      <c r="K104" s="185"/>
      <c r="L104" s="185"/>
      <c r="M104" s="187"/>
      <c r="N104" s="185"/>
      <c r="O104" s="188"/>
      <c r="P104" s="188"/>
      <c r="Q104" s="189"/>
      <c r="R104" s="190"/>
      <c r="S104" s="190"/>
      <c r="T104" s="190"/>
      <c r="U104" s="191"/>
      <c r="V104" s="192"/>
      <c r="W104" s="193"/>
      <c r="X104" s="194"/>
      <c r="Y104" s="195"/>
      <c r="Z104" s="196"/>
      <c r="AA104" s="203"/>
      <c r="AB104" s="198"/>
      <c r="AC104" s="199"/>
      <c r="AD104" s="200"/>
      <c r="AE104" s="182"/>
      <c r="AF104" s="201"/>
      <c r="AG104" s="201"/>
    </row>
    <row r="105" spans="1:33" ht="27.75" customHeight="1" thickTop="1" thickBot="1">
      <c r="A105" s="217" t="str">
        <f t="shared" si="3"/>
        <v>#BL25-0002</v>
      </c>
      <c r="B105" s="181"/>
      <c r="C105" s="181"/>
      <c r="D105" s="184"/>
      <c r="E105" s="183"/>
      <c r="F105" s="184" t="str">
        <f t="shared" si="2"/>
        <v>Construction Exemplaire Inc.</v>
      </c>
      <c r="G105" s="184"/>
      <c r="H105" s="183"/>
      <c r="I105" s="182"/>
      <c r="J105" s="185"/>
      <c r="K105" s="185"/>
      <c r="L105" s="185"/>
      <c r="M105" s="187"/>
      <c r="N105" s="185"/>
      <c r="O105" s="188"/>
      <c r="P105" s="188"/>
      <c r="Q105" s="189"/>
      <c r="R105" s="190"/>
      <c r="S105" s="190"/>
      <c r="T105" s="190"/>
      <c r="U105" s="191"/>
      <c r="V105" s="192"/>
      <c r="W105" s="193"/>
      <c r="X105" s="194"/>
      <c r="Y105" s="195"/>
      <c r="Z105" s="196"/>
      <c r="AA105" s="203"/>
      <c r="AB105" s="198"/>
      <c r="AC105" s="199"/>
      <c r="AD105" s="200"/>
      <c r="AE105" s="182"/>
      <c r="AF105" s="201"/>
      <c r="AG105" s="201"/>
    </row>
    <row r="106" spans="1:33" ht="27.75" customHeight="1" thickTop="1" thickBot="1">
      <c r="A106" s="217" t="str">
        <f t="shared" si="3"/>
        <v>#BL25-0002</v>
      </c>
      <c r="B106" s="181"/>
      <c r="C106" s="181"/>
      <c r="D106" s="184"/>
      <c r="E106" s="183"/>
      <c r="F106" s="184" t="str">
        <f t="shared" si="2"/>
        <v>Construction Exemplaire Inc.</v>
      </c>
      <c r="G106" s="184"/>
      <c r="H106" s="183"/>
      <c r="I106" s="182"/>
      <c r="J106" s="185"/>
      <c r="K106" s="185"/>
      <c r="L106" s="185"/>
      <c r="M106" s="187"/>
      <c r="N106" s="185"/>
      <c r="O106" s="188"/>
      <c r="P106" s="188"/>
      <c r="Q106" s="189"/>
      <c r="R106" s="190"/>
      <c r="S106" s="190"/>
      <c r="T106" s="190"/>
      <c r="U106" s="191"/>
      <c r="V106" s="192"/>
      <c r="W106" s="193"/>
      <c r="X106" s="194"/>
      <c r="Y106" s="195"/>
      <c r="Z106" s="196"/>
      <c r="AA106" s="203"/>
      <c r="AB106" s="198"/>
      <c r="AC106" s="199"/>
      <c r="AD106" s="200"/>
      <c r="AE106" s="182"/>
      <c r="AF106" s="201"/>
      <c r="AG106" s="201"/>
    </row>
    <row r="107" spans="1:33" ht="27.75" customHeight="1" thickTop="1" thickBot="1">
      <c r="A107" s="217" t="str">
        <f t="shared" si="3"/>
        <v>#BL25-0002</v>
      </c>
      <c r="B107" s="181"/>
      <c r="C107" s="181"/>
      <c r="D107" s="184"/>
      <c r="E107" s="183"/>
      <c r="F107" s="184" t="str">
        <f t="shared" si="2"/>
        <v>Construction Exemplaire Inc.</v>
      </c>
      <c r="G107" s="184"/>
      <c r="H107" s="183"/>
      <c r="I107" s="182"/>
      <c r="J107" s="185"/>
      <c r="K107" s="185"/>
      <c r="L107" s="185"/>
      <c r="M107" s="187"/>
      <c r="N107" s="185"/>
      <c r="O107" s="188"/>
      <c r="P107" s="188"/>
      <c r="Q107" s="189"/>
      <c r="R107" s="190"/>
      <c r="S107" s="190"/>
      <c r="T107" s="190"/>
      <c r="U107" s="191"/>
      <c r="V107" s="192"/>
      <c r="W107" s="193"/>
      <c r="X107" s="194"/>
      <c r="Y107" s="195"/>
      <c r="Z107" s="196"/>
      <c r="AA107" s="203"/>
      <c r="AB107" s="198"/>
      <c r="AC107" s="199"/>
      <c r="AD107" s="200"/>
      <c r="AE107" s="182"/>
      <c r="AF107" s="201"/>
      <c r="AG107" s="201"/>
    </row>
    <row r="108" spans="1:33" ht="27.75" customHeight="1" thickTop="1" thickBot="1">
      <c r="A108" s="217" t="str">
        <f t="shared" si="3"/>
        <v>#BL25-0002</v>
      </c>
      <c r="B108" s="181"/>
      <c r="C108" s="181"/>
      <c r="D108" s="184"/>
      <c r="E108" s="183"/>
      <c r="F108" s="184" t="str">
        <f t="shared" si="2"/>
        <v>Construction Exemplaire Inc.</v>
      </c>
      <c r="G108" s="184"/>
      <c r="H108" s="183"/>
      <c r="I108" s="182"/>
      <c r="J108" s="185"/>
      <c r="K108" s="185"/>
      <c r="L108" s="185"/>
      <c r="M108" s="187"/>
      <c r="N108" s="185"/>
      <c r="O108" s="188"/>
      <c r="P108" s="188"/>
      <c r="Q108" s="189"/>
      <c r="R108" s="190"/>
      <c r="S108" s="190"/>
      <c r="T108" s="190"/>
      <c r="U108" s="191"/>
      <c r="V108" s="192"/>
      <c r="W108" s="193"/>
      <c r="X108" s="194"/>
      <c r="Y108" s="195"/>
      <c r="Z108" s="196"/>
      <c r="AA108" s="203"/>
      <c r="AB108" s="198"/>
      <c r="AC108" s="199"/>
      <c r="AD108" s="200"/>
      <c r="AE108" s="182"/>
      <c r="AF108" s="201"/>
      <c r="AG108" s="201"/>
    </row>
    <row r="109" spans="1:33" ht="27.75" customHeight="1" thickTop="1" thickBot="1">
      <c r="A109" s="217" t="str">
        <f t="shared" si="3"/>
        <v>#BL25-0002</v>
      </c>
      <c r="B109" s="181"/>
      <c r="C109" s="181"/>
      <c r="D109" s="184"/>
      <c r="E109" s="183"/>
      <c r="F109" s="184" t="str">
        <f t="shared" si="2"/>
        <v>Construction Exemplaire Inc.</v>
      </c>
      <c r="G109" s="184"/>
      <c r="H109" s="183"/>
      <c r="I109" s="182"/>
      <c r="J109" s="185"/>
      <c r="K109" s="185"/>
      <c r="L109" s="185"/>
      <c r="M109" s="187"/>
      <c r="N109" s="185"/>
      <c r="O109" s="188"/>
      <c r="P109" s="188"/>
      <c r="Q109" s="189"/>
      <c r="R109" s="190"/>
      <c r="S109" s="190"/>
      <c r="T109" s="190"/>
      <c r="U109" s="191"/>
      <c r="V109" s="192"/>
      <c r="W109" s="193"/>
      <c r="X109" s="194"/>
      <c r="Y109" s="195"/>
      <c r="Z109" s="196"/>
      <c r="AA109" s="203"/>
      <c r="AB109" s="198"/>
      <c r="AC109" s="199"/>
      <c r="AD109" s="200"/>
      <c r="AE109" s="182"/>
      <c r="AF109" s="201"/>
      <c r="AG109" s="201"/>
    </row>
    <row r="110" spans="1:33" ht="27.75" customHeight="1" thickTop="1" thickBot="1">
      <c r="A110" s="217" t="str">
        <f t="shared" si="3"/>
        <v>#BL25-0002</v>
      </c>
      <c r="B110" s="181"/>
      <c r="C110" s="181"/>
      <c r="D110" s="184"/>
      <c r="E110" s="183"/>
      <c r="F110" s="184" t="str">
        <f t="shared" si="2"/>
        <v>Construction Exemplaire Inc.</v>
      </c>
      <c r="G110" s="184"/>
      <c r="H110" s="183"/>
      <c r="I110" s="182"/>
      <c r="J110" s="185"/>
      <c r="K110" s="185"/>
      <c r="L110" s="185"/>
      <c r="M110" s="187"/>
      <c r="N110" s="185"/>
      <c r="O110" s="188"/>
      <c r="P110" s="188"/>
      <c r="Q110" s="189"/>
      <c r="R110" s="190"/>
      <c r="S110" s="190"/>
      <c r="T110" s="190"/>
      <c r="U110" s="191"/>
      <c r="V110" s="192"/>
      <c r="W110" s="193"/>
      <c r="X110" s="194"/>
      <c r="Y110" s="195"/>
      <c r="Z110" s="196"/>
      <c r="AA110" s="203"/>
      <c r="AB110" s="198"/>
      <c r="AC110" s="199"/>
      <c r="AD110" s="200"/>
      <c r="AE110" s="182"/>
      <c r="AF110" s="201"/>
      <c r="AG110" s="201"/>
    </row>
    <row r="111" spans="1:33" ht="27.75" customHeight="1" thickTop="1" thickBot="1">
      <c r="A111" s="217" t="str">
        <f t="shared" si="3"/>
        <v>#BL25-0002</v>
      </c>
      <c r="B111" s="181"/>
      <c r="C111" s="181"/>
      <c r="D111" s="184"/>
      <c r="E111" s="183"/>
      <c r="F111" s="184" t="str">
        <f t="shared" si="2"/>
        <v>Construction Exemplaire Inc.</v>
      </c>
      <c r="G111" s="184"/>
      <c r="H111" s="183"/>
      <c r="I111" s="182"/>
      <c r="J111" s="185"/>
      <c r="K111" s="185"/>
      <c r="L111" s="185"/>
      <c r="M111" s="187"/>
      <c r="N111" s="185"/>
      <c r="O111" s="188"/>
      <c r="P111" s="188"/>
      <c r="Q111" s="189"/>
      <c r="R111" s="190"/>
      <c r="S111" s="190"/>
      <c r="T111" s="190"/>
      <c r="U111" s="191"/>
      <c r="V111" s="192"/>
      <c r="W111" s="193"/>
      <c r="X111" s="194"/>
      <c r="Y111" s="195"/>
      <c r="Z111" s="196"/>
      <c r="AA111" s="203"/>
      <c r="AB111" s="198"/>
      <c r="AC111" s="199"/>
      <c r="AD111" s="200"/>
      <c r="AE111" s="182"/>
      <c r="AF111" s="201"/>
      <c r="AG111" s="201"/>
    </row>
    <row r="112" spans="1:33" ht="27.75" customHeight="1" thickTop="1" thickBot="1">
      <c r="A112" s="217" t="str">
        <f t="shared" si="3"/>
        <v>#BL25-0002</v>
      </c>
      <c r="B112" s="181"/>
      <c r="C112" s="181"/>
      <c r="D112" s="184"/>
      <c r="E112" s="183"/>
      <c r="F112" s="184" t="str">
        <f t="shared" si="2"/>
        <v>Construction Exemplaire Inc.</v>
      </c>
      <c r="G112" s="184"/>
      <c r="H112" s="183"/>
      <c r="I112" s="182"/>
      <c r="J112" s="185"/>
      <c r="K112" s="185"/>
      <c r="L112" s="185"/>
      <c r="M112" s="187"/>
      <c r="N112" s="185"/>
      <c r="O112" s="188"/>
      <c r="P112" s="188"/>
      <c r="Q112" s="189"/>
      <c r="R112" s="190"/>
      <c r="S112" s="190"/>
      <c r="T112" s="190"/>
      <c r="U112" s="191"/>
      <c r="V112" s="192"/>
      <c r="W112" s="193"/>
      <c r="X112" s="194"/>
      <c r="Y112" s="195"/>
      <c r="Z112" s="196"/>
      <c r="AA112" s="203"/>
      <c r="AB112" s="198"/>
      <c r="AC112" s="199"/>
      <c r="AD112" s="200"/>
      <c r="AE112" s="182"/>
      <c r="AF112" s="201"/>
      <c r="AG112" s="201"/>
    </row>
    <row r="113" spans="1:33" ht="27.75" customHeight="1" thickTop="1" thickBot="1">
      <c r="A113" s="217" t="str">
        <f t="shared" si="3"/>
        <v>#BL25-0002</v>
      </c>
      <c r="B113" s="181"/>
      <c r="C113" s="181"/>
      <c r="D113" s="184"/>
      <c r="E113" s="183"/>
      <c r="F113" s="184" t="str">
        <f t="shared" si="2"/>
        <v>Construction Exemplaire Inc.</v>
      </c>
      <c r="G113" s="184"/>
      <c r="H113" s="183"/>
      <c r="I113" s="182"/>
      <c r="J113" s="185"/>
      <c r="K113" s="185"/>
      <c r="L113" s="185"/>
      <c r="M113" s="187"/>
      <c r="N113" s="185"/>
      <c r="O113" s="188"/>
      <c r="P113" s="188"/>
      <c r="Q113" s="189"/>
      <c r="R113" s="190"/>
      <c r="S113" s="190"/>
      <c r="T113" s="190"/>
      <c r="U113" s="191"/>
      <c r="V113" s="192"/>
      <c r="W113" s="193"/>
      <c r="X113" s="194"/>
      <c r="Y113" s="195"/>
      <c r="Z113" s="196"/>
      <c r="AA113" s="203"/>
      <c r="AB113" s="198"/>
      <c r="AC113" s="199"/>
      <c r="AD113" s="200"/>
      <c r="AE113" s="182"/>
      <c r="AF113" s="201"/>
      <c r="AG113" s="201"/>
    </row>
    <row r="114" spans="1:33" ht="27.75" customHeight="1" thickTop="1" thickBot="1">
      <c r="A114" s="217" t="str">
        <f t="shared" si="3"/>
        <v>#BL25-0002</v>
      </c>
      <c r="B114" s="181"/>
      <c r="C114" s="181"/>
      <c r="D114" s="184"/>
      <c r="E114" s="183"/>
      <c r="F114" s="184" t="str">
        <f t="shared" si="2"/>
        <v>Construction Exemplaire Inc.</v>
      </c>
      <c r="G114" s="184"/>
      <c r="H114" s="183"/>
      <c r="I114" s="182"/>
      <c r="J114" s="185"/>
      <c r="K114" s="185"/>
      <c r="L114" s="185"/>
      <c r="M114" s="187"/>
      <c r="N114" s="185"/>
      <c r="O114" s="188"/>
      <c r="P114" s="188"/>
      <c r="Q114" s="189"/>
      <c r="R114" s="190"/>
      <c r="S114" s="190"/>
      <c r="T114" s="190"/>
      <c r="U114" s="191"/>
      <c r="V114" s="192"/>
      <c r="W114" s="193"/>
      <c r="X114" s="194"/>
      <c r="Y114" s="195"/>
      <c r="Z114" s="196"/>
      <c r="AA114" s="203"/>
      <c r="AB114" s="198"/>
      <c r="AC114" s="199"/>
      <c r="AD114" s="200"/>
      <c r="AE114" s="182"/>
      <c r="AF114" s="201"/>
      <c r="AG114" s="201"/>
    </row>
    <row r="115" spans="1:33" ht="27.75" customHeight="1" thickTop="1" thickBot="1">
      <c r="A115" s="217" t="str">
        <f t="shared" si="3"/>
        <v>#BL25-0002</v>
      </c>
      <c r="B115" s="181"/>
      <c r="C115" s="181"/>
      <c r="D115" s="184"/>
      <c r="E115" s="183"/>
      <c r="F115" s="184" t="str">
        <f t="shared" si="2"/>
        <v>Construction Exemplaire Inc.</v>
      </c>
      <c r="G115" s="184"/>
      <c r="H115" s="183"/>
      <c r="I115" s="182"/>
      <c r="J115" s="185"/>
      <c r="K115" s="185"/>
      <c r="L115" s="185"/>
      <c r="M115" s="187"/>
      <c r="N115" s="185"/>
      <c r="O115" s="188"/>
      <c r="P115" s="188"/>
      <c r="Q115" s="189"/>
      <c r="R115" s="190"/>
      <c r="S115" s="190"/>
      <c r="T115" s="190"/>
      <c r="U115" s="191"/>
      <c r="V115" s="192"/>
      <c r="W115" s="193"/>
      <c r="X115" s="194"/>
      <c r="Y115" s="195"/>
      <c r="Z115" s="196"/>
      <c r="AA115" s="203"/>
      <c r="AB115" s="198"/>
      <c r="AC115" s="199"/>
      <c r="AD115" s="200"/>
      <c r="AE115" s="182"/>
      <c r="AF115" s="201"/>
      <c r="AG115" s="201"/>
    </row>
    <row r="116" spans="1:33" ht="27.75" customHeight="1" thickTop="1" thickBot="1">
      <c r="A116" s="217" t="str">
        <f t="shared" si="3"/>
        <v>#BL25-0002</v>
      </c>
      <c r="B116" s="181"/>
      <c r="C116" s="181"/>
      <c r="D116" s="184"/>
      <c r="E116" s="183"/>
      <c r="F116" s="184" t="str">
        <f t="shared" si="2"/>
        <v>Construction Exemplaire Inc.</v>
      </c>
      <c r="G116" s="184"/>
      <c r="H116" s="183"/>
      <c r="I116" s="182"/>
      <c r="J116" s="185"/>
      <c r="K116" s="185"/>
      <c r="L116" s="185"/>
      <c r="M116" s="187"/>
      <c r="N116" s="185"/>
      <c r="O116" s="188"/>
      <c r="P116" s="188"/>
      <c r="Q116" s="189"/>
      <c r="R116" s="190"/>
      <c r="S116" s="190"/>
      <c r="T116" s="190"/>
      <c r="U116" s="191"/>
      <c r="V116" s="192"/>
      <c r="W116" s="193"/>
      <c r="X116" s="194"/>
      <c r="Y116" s="195"/>
      <c r="Z116" s="196"/>
      <c r="AA116" s="203"/>
      <c r="AB116" s="198"/>
      <c r="AC116" s="199"/>
      <c r="AD116" s="200"/>
      <c r="AE116" s="182"/>
      <c r="AF116" s="201"/>
      <c r="AG116" s="201"/>
    </row>
    <row r="117" spans="1:33" ht="27.75" customHeight="1" thickTop="1" thickBot="1">
      <c r="A117" s="217" t="str">
        <f t="shared" si="3"/>
        <v>#BL25-0002</v>
      </c>
      <c r="B117" s="181"/>
      <c r="C117" s="181"/>
      <c r="D117" s="184"/>
      <c r="E117" s="183"/>
      <c r="F117" s="184" t="str">
        <f t="shared" si="2"/>
        <v>Construction Exemplaire Inc.</v>
      </c>
      <c r="G117" s="184"/>
      <c r="H117" s="183"/>
      <c r="I117" s="182"/>
      <c r="J117" s="185"/>
      <c r="K117" s="185"/>
      <c r="L117" s="185"/>
      <c r="M117" s="187"/>
      <c r="N117" s="185"/>
      <c r="O117" s="188"/>
      <c r="P117" s="188"/>
      <c r="Q117" s="189"/>
      <c r="R117" s="190"/>
      <c r="S117" s="190"/>
      <c r="T117" s="190"/>
      <c r="U117" s="191"/>
      <c r="V117" s="192"/>
      <c r="W117" s="193"/>
      <c r="X117" s="194"/>
      <c r="Y117" s="195"/>
      <c r="Z117" s="196"/>
      <c r="AA117" s="203"/>
      <c r="AB117" s="198"/>
      <c r="AC117" s="199"/>
      <c r="AD117" s="200"/>
      <c r="AE117" s="182"/>
      <c r="AF117" s="201"/>
      <c r="AG117" s="201"/>
    </row>
    <row r="118" spans="1:33" ht="27.75" customHeight="1" thickTop="1" thickBot="1">
      <c r="A118" s="217" t="str">
        <f t="shared" si="3"/>
        <v>#BL25-0002</v>
      </c>
      <c r="B118" s="181"/>
      <c r="C118" s="181"/>
      <c r="D118" s="184"/>
      <c r="E118" s="183"/>
      <c r="F118" s="184" t="str">
        <f t="shared" si="2"/>
        <v>Construction Exemplaire Inc.</v>
      </c>
      <c r="G118" s="184"/>
      <c r="H118" s="183"/>
      <c r="I118" s="182"/>
      <c r="J118" s="185"/>
      <c r="K118" s="185"/>
      <c r="L118" s="185"/>
      <c r="M118" s="187"/>
      <c r="N118" s="185"/>
      <c r="O118" s="188"/>
      <c r="P118" s="188"/>
      <c r="Q118" s="189"/>
      <c r="R118" s="190"/>
      <c r="S118" s="190"/>
      <c r="T118" s="190"/>
      <c r="U118" s="191"/>
      <c r="V118" s="192"/>
      <c r="W118" s="193"/>
      <c r="X118" s="194"/>
      <c r="Y118" s="195"/>
      <c r="Z118" s="196"/>
      <c r="AA118" s="203"/>
      <c r="AB118" s="198"/>
      <c r="AC118" s="199"/>
      <c r="AD118" s="200"/>
      <c r="AE118" s="182"/>
      <c r="AF118" s="201"/>
      <c r="AG118" s="201"/>
    </row>
    <row r="119" spans="1:33" ht="27.75" customHeight="1" thickTop="1" thickBot="1">
      <c r="A119" s="217" t="str">
        <f t="shared" si="3"/>
        <v>#BL25-0002</v>
      </c>
      <c r="B119" s="181"/>
      <c r="C119" s="181"/>
      <c r="D119" s="184"/>
      <c r="E119" s="183"/>
      <c r="F119" s="184" t="str">
        <f t="shared" si="2"/>
        <v>Construction Exemplaire Inc.</v>
      </c>
      <c r="G119" s="184"/>
      <c r="H119" s="183"/>
      <c r="I119" s="182"/>
      <c r="J119" s="185"/>
      <c r="K119" s="185"/>
      <c r="L119" s="185"/>
      <c r="M119" s="187"/>
      <c r="N119" s="185"/>
      <c r="O119" s="188"/>
      <c r="P119" s="188"/>
      <c r="Q119" s="189"/>
      <c r="R119" s="190"/>
      <c r="S119" s="190"/>
      <c r="T119" s="190"/>
      <c r="U119" s="191"/>
      <c r="V119" s="192"/>
      <c r="W119" s="193"/>
      <c r="X119" s="194"/>
      <c r="Y119" s="195"/>
      <c r="Z119" s="196"/>
      <c r="AA119" s="203"/>
      <c r="AB119" s="198"/>
      <c r="AC119" s="199"/>
      <c r="AD119" s="200"/>
      <c r="AE119" s="182"/>
      <c r="AF119" s="201"/>
      <c r="AG119" s="201"/>
    </row>
    <row r="120" spans="1:33" ht="27.75" customHeight="1" thickTop="1" thickBot="1">
      <c r="A120" s="217" t="str">
        <f t="shared" si="3"/>
        <v>#BL25-0002</v>
      </c>
      <c r="B120" s="181"/>
      <c r="C120" s="181"/>
      <c r="D120" s="184"/>
      <c r="E120" s="183"/>
      <c r="F120" s="184" t="str">
        <f t="shared" si="2"/>
        <v>Construction Exemplaire Inc.</v>
      </c>
      <c r="G120" s="184"/>
      <c r="H120" s="183"/>
      <c r="I120" s="182"/>
      <c r="J120" s="185"/>
      <c r="K120" s="185"/>
      <c r="L120" s="185"/>
      <c r="M120" s="187"/>
      <c r="N120" s="185"/>
      <c r="O120" s="188"/>
      <c r="P120" s="188"/>
      <c r="Q120" s="189"/>
      <c r="R120" s="190"/>
      <c r="S120" s="190"/>
      <c r="T120" s="190"/>
      <c r="U120" s="191"/>
      <c r="V120" s="192"/>
      <c r="W120" s="193"/>
      <c r="X120" s="194"/>
      <c r="Y120" s="195"/>
      <c r="Z120" s="196"/>
      <c r="AA120" s="203"/>
      <c r="AB120" s="198"/>
      <c r="AC120" s="199"/>
      <c r="AD120" s="200"/>
      <c r="AE120" s="182"/>
      <c r="AF120" s="201"/>
      <c r="AG120" s="201"/>
    </row>
    <row r="121" spans="1:33" ht="27.75" customHeight="1" thickTop="1" thickBot="1">
      <c r="A121" s="217" t="str">
        <f t="shared" si="3"/>
        <v>#BL25-0002</v>
      </c>
      <c r="B121" s="181"/>
      <c r="C121" s="181"/>
      <c r="D121" s="184"/>
      <c r="E121" s="183"/>
      <c r="F121" s="184" t="str">
        <f t="shared" si="2"/>
        <v>Construction Exemplaire Inc.</v>
      </c>
      <c r="G121" s="184"/>
      <c r="H121" s="183"/>
      <c r="I121" s="182"/>
      <c r="J121" s="185"/>
      <c r="K121" s="185"/>
      <c r="L121" s="185"/>
      <c r="M121" s="187"/>
      <c r="N121" s="185"/>
      <c r="O121" s="188"/>
      <c r="P121" s="188"/>
      <c r="Q121" s="189"/>
      <c r="R121" s="190"/>
      <c r="S121" s="190"/>
      <c r="T121" s="190"/>
      <c r="U121" s="191"/>
      <c r="V121" s="192"/>
      <c r="W121" s="193"/>
      <c r="X121" s="194"/>
      <c r="Y121" s="195"/>
      <c r="Z121" s="196"/>
      <c r="AA121" s="203"/>
      <c r="AB121" s="198"/>
      <c r="AC121" s="199"/>
      <c r="AD121" s="200"/>
      <c r="AE121" s="182"/>
      <c r="AF121" s="201"/>
      <c r="AG121" s="201"/>
    </row>
    <row r="122" spans="1:33" ht="27.75" customHeight="1" thickTop="1" thickBot="1">
      <c r="A122" s="217" t="str">
        <f t="shared" si="3"/>
        <v>#BL25-0002</v>
      </c>
      <c r="B122" s="181"/>
      <c r="C122" s="181"/>
      <c r="D122" s="184"/>
      <c r="E122" s="183"/>
      <c r="F122" s="184" t="str">
        <f t="shared" si="2"/>
        <v>Construction Exemplaire Inc.</v>
      </c>
      <c r="G122" s="184"/>
      <c r="H122" s="183"/>
      <c r="I122" s="182"/>
      <c r="J122" s="185"/>
      <c r="K122" s="185"/>
      <c r="L122" s="185"/>
      <c r="M122" s="187"/>
      <c r="N122" s="185"/>
      <c r="O122" s="188"/>
      <c r="P122" s="188"/>
      <c r="Q122" s="189"/>
      <c r="R122" s="190"/>
      <c r="S122" s="190"/>
      <c r="T122" s="190"/>
      <c r="U122" s="191"/>
      <c r="V122" s="192"/>
      <c r="W122" s="193"/>
      <c r="X122" s="194"/>
      <c r="Y122" s="195"/>
      <c r="Z122" s="196"/>
      <c r="AA122" s="203"/>
      <c r="AB122" s="198"/>
      <c r="AC122" s="199"/>
      <c r="AD122" s="200"/>
      <c r="AE122" s="182"/>
      <c r="AF122" s="201"/>
      <c r="AG122" s="201"/>
    </row>
    <row r="123" spans="1:33" ht="27.75" customHeight="1" thickTop="1" thickBot="1">
      <c r="A123" s="217" t="str">
        <f t="shared" si="3"/>
        <v>#BL25-0002</v>
      </c>
      <c r="B123" s="181"/>
      <c r="C123" s="181"/>
      <c r="D123" s="184"/>
      <c r="E123" s="183"/>
      <c r="F123" s="184" t="str">
        <f t="shared" si="2"/>
        <v>Construction Exemplaire Inc.</v>
      </c>
      <c r="G123" s="184"/>
      <c r="H123" s="183"/>
      <c r="I123" s="182"/>
      <c r="J123" s="185"/>
      <c r="K123" s="185"/>
      <c r="L123" s="185"/>
      <c r="M123" s="187"/>
      <c r="N123" s="185"/>
      <c r="O123" s="188"/>
      <c r="P123" s="188"/>
      <c r="Q123" s="189"/>
      <c r="R123" s="190"/>
      <c r="S123" s="190"/>
      <c r="T123" s="190"/>
      <c r="U123" s="191"/>
      <c r="V123" s="192"/>
      <c r="W123" s="193"/>
      <c r="X123" s="194"/>
      <c r="Y123" s="195"/>
      <c r="Z123" s="196"/>
      <c r="AA123" s="203"/>
      <c r="AB123" s="198"/>
      <c r="AC123" s="199"/>
      <c r="AD123" s="200"/>
      <c r="AE123" s="182"/>
      <c r="AF123" s="201"/>
      <c r="AG123" s="201"/>
    </row>
    <row r="124" spans="1:33" ht="27.75" customHeight="1" thickTop="1" thickBot="1">
      <c r="A124" s="217" t="str">
        <f t="shared" si="3"/>
        <v>#BL25-0002</v>
      </c>
      <c r="B124" s="181"/>
      <c r="C124" s="181"/>
      <c r="D124" s="184"/>
      <c r="E124" s="183"/>
      <c r="F124" s="184" t="str">
        <f t="shared" si="2"/>
        <v>Construction Exemplaire Inc.</v>
      </c>
      <c r="G124" s="184"/>
      <c r="H124" s="183"/>
      <c r="I124" s="182"/>
      <c r="J124" s="185"/>
      <c r="K124" s="185"/>
      <c r="L124" s="185"/>
      <c r="M124" s="187"/>
      <c r="N124" s="185"/>
      <c r="O124" s="188"/>
      <c r="P124" s="188"/>
      <c r="Q124" s="189"/>
      <c r="R124" s="190"/>
      <c r="S124" s="190"/>
      <c r="T124" s="190"/>
      <c r="U124" s="191"/>
      <c r="V124" s="192"/>
      <c r="W124" s="193"/>
      <c r="X124" s="194"/>
      <c r="Y124" s="195"/>
      <c r="Z124" s="196"/>
      <c r="AA124" s="203"/>
      <c r="AB124" s="198"/>
      <c r="AC124" s="199"/>
      <c r="AD124" s="200"/>
      <c r="AE124" s="182"/>
      <c r="AF124" s="201"/>
      <c r="AG124" s="201"/>
    </row>
    <row r="125" spans="1:33" ht="27.75" customHeight="1" thickTop="1" thickBot="1">
      <c r="A125" s="217" t="str">
        <f t="shared" si="3"/>
        <v>#BL25-0002</v>
      </c>
      <c r="B125" s="181"/>
      <c r="C125" s="181"/>
      <c r="D125" s="184"/>
      <c r="E125" s="183"/>
      <c r="F125" s="184" t="str">
        <f t="shared" si="2"/>
        <v>Construction Exemplaire Inc.</v>
      </c>
      <c r="G125" s="184"/>
      <c r="H125" s="183"/>
      <c r="I125" s="182"/>
      <c r="J125" s="185"/>
      <c r="K125" s="185"/>
      <c r="L125" s="185"/>
      <c r="M125" s="187"/>
      <c r="N125" s="185"/>
      <c r="O125" s="188"/>
      <c r="P125" s="188"/>
      <c r="Q125" s="189"/>
      <c r="R125" s="190"/>
      <c r="S125" s="190"/>
      <c r="T125" s="190"/>
      <c r="U125" s="191"/>
      <c r="V125" s="192"/>
      <c r="W125" s="193"/>
      <c r="X125" s="194"/>
      <c r="Y125" s="195"/>
      <c r="Z125" s="196"/>
      <c r="AA125" s="203"/>
      <c r="AB125" s="198"/>
      <c r="AC125" s="199"/>
      <c r="AD125" s="200"/>
      <c r="AE125" s="182"/>
      <c r="AF125" s="201"/>
      <c r="AG125" s="201"/>
    </row>
    <row r="126" spans="1:33" ht="27.75" customHeight="1" thickTop="1" thickBot="1">
      <c r="A126" s="217" t="str">
        <f t="shared" si="3"/>
        <v>#BL25-0002</v>
      </c>
      <c r="B126" s="181"/>
      <c r="C126" s="181"/>
      <c r="D126" s="184"/>
      <c r="E126" s="183"/>
      <c r="F126" s="184" t="str">
        <f t="shared" si="2"/>
        <v>Construction Exemplaire Inc.</v>
      </c>
      <c r="G126" s="184"/>
      <c r="H126" s="183"/>
      <c r="I126" s="182"/>
      <c r="J126" s="185"/>
      <c r="K126" s="185"/>
      <c r="L126" s="185"/>
      <c r="M126" s="187"/>
      <c r="N126" s="185"/>
      <c r="O126" s="188"/>
      <c r="P126" s="188"/>
      <c r="Q126" s="189"/>
      <c r="R126" s="190"/>
      <c r="S126" s="190"/>
      <c r="T126" s="190"/>
      <c r="U126" s="191"/>
      <c r="V126" s="192"/>
      <c r="W126" s="193"/>
      <c r="X126" s="194"/>
      <c r="Y126" s="195"/>
      <c r="Z126" s="196"/>
      <c r="AA126" s="203"/>
      <c r="AB126" s="198"/>
      <c r="AC126" s="199"/>
      <c r="AD126" s="200"/>
      <c r="AE126" s="182"/>
      <c r="AF126" s="201"/>
      <c r="AG126" s="201"/>
    </row>
    <row r="127" spans="1:33" ht="27.75" customHeight="1" thickTop="1" thickBot="1">
      <c r="A127" s="217" t="str">
        <f t="shared" si="3"/>
        <v>#BL25-0002</v>
      </c>
      <c r="B127" s="181"/>
      <c r="C127" s="181"/>
      <c r="D127" s="184"/>
      <c r="E127" s="183"/>
      <c r="F127" s="184" t="str">
        <f t="shared" si="2"/>
        <v>Construction Exemplaire Inc.</v>
      </c>
      <c r="G127" s="184"/>
      <c r="H127" s="183"/>
      <c r="I127" s="182"/>
      <c r="J127" s="185"/>
      <c r="K127" s="185"/>
      <c r="L127" s="185"/>
      <c r="M127" s="187"/>
      <c r="N127" s="185"/>
      <c r="O127" s="188"/>
      <c r="P127" s="188"/>
      <c r="Q127" s="189"/>
      <c r="R127" s="190"/>
      <c r="S127" s="190"/>
      <c r="T127" s="190"/>
      <c r="U127" s="191"/>
      <c r="V127" s="192"/>
      <c r="W127" s="193"/>
      <c r="X127" s="194"/>
      <c r="Y127" s="195"/>
      <c r="Z127" s="196"/>
      <c r="AA127" s="203"/>
      <c r="AB127" s="198"/>
      <c r="AC127" s="199"/>
      <c r="AD127" s="200"/>
      <c r="AE127" s="182"/>
      <c r="AF127" s="201"/>
      <c r="AG127" s="201"/>
    </row>
    <row r="128" spans="1:33" ht="27.75" customHeight="1" thickTop="1" thickBot="1">
      <c r="A128" s="217" t="str">
        <f t="shared" si="3"/>
        <v>#BL25-0002</v>
      </c>
      <c r="B128" s="181"/>
      <c r="C128" s="181"/>
      <c r="D128" s="184"/>
      <c r="E128" s="183"/>
      <c r="F128" s="184" t="str">
        <f t="shared" si="2"/>
        <v>Construction Exemplaire Inc.</v>
      </c>
      <c r="G128" s="184"/>
      <c r="H128" s="183"/>
      <c r="I128" s="182"/>
      <c r="J128" s="185"/>
      <c r="K128" s="185"/>
      <c r="L128" s="185"/>
      <c r="M128" s="187"/>
      <c r="N128" s="185"/>
      <c r="O128" s="188"/>
      <c r="P128" s="188"/>
      <c r="Q128" s="189"/>
      <c r="R128" s="190"/>
      <c r="S128" s="190"/>
      <c r="T128" s="190"/>
      <c r="U128" s="191"/>
      <c r="V128" s="192"/>
      <c r="W128" s="193"/>
      <c r="X128" s="194"/>
      <c r="Y128" s="195"/>
      <c r="Z128" s="196"/>
      <c r="AA128" s="203"/>
      <c r="AB128" s="198"/>
      <c r="AC128" s="199"/>
      <c r="AD128" s="200"/>
      <c r="AE128" s="182"/>
      <c r="AF128" s="201"/>
      <c r="AG128" s="201"/>
    </row>
    <row r="129" spans="1:33" ht="27.75" customHeight="1" thickTop="1" thickBot="1">
      <c r="A129" s="217" t="str">
        <f t="shared" si="3"/>
        <v>#BL25-0002</v>
      </c>
      <c r="B129" s="181"/>
      <c r="C129" s="181"/>
      <c r="D129" s="184"/>
      <c r="E129" s="183"/>
      <c r="F129" s="184" t="str">
        <f t="shared" si="2"/>
        <v>Construction Exemplaire Inc.</v>
      </c>
      <c r="G129" s="184"/>
      <c r="H129" s="183"/>
      <c r="I129" s="182"/>
      <c r="J129" s="185"/>
      <c r="K129" s="185"/>
      <c r="L129" s="185"/>
      <c r="M129" s="187"/>
      <c r="N129" s="185"/>
      <c r="O129" s="188"/>
      <c r="P129" s="188"/>
      <c r="Q129" s="189"/>
      <c r="R129" s="190"/>
      <c r="S129" s="190"/>
      <c r="T129" s="190"/>
      <c r="U129" s="191"/>
      <c r="V129" s="192"/>
      <c r="W129" s="193"/>
      <c r="X129" s="194"/>
      <c r="Y129" s="195"/>
      <c r="Z129" s="196"/>
      <c r="AA129" s="203"/>
      <c r="AB129" s="198"/>
      <c r="AC129" s="199"/>
      <c r="AD129" s="200"/>
      <c r="AE129" s="182"/>
      <c r="AF129" s="201"/>
      <c r="AG129" s="201"/>
    </row>
    <row r="130" spans="1:33" ht="27.75" customHeight="1" thickTop="1" thickBot="1">
      <c r="A130" s="217" t="str">
        <f t="shared" si="3"/>
        <v>#BL25-0002</v>
      </c>
      <c r="B130" s="181"/>
      <c r="C130" s="181"/>
      <c r="D130" s="184"/>
      <c r="E130" s="183"/>
      <c r="F130" s="184" t="str">
        <f t="shared" si="2"/>
        <v>Construction Exemplaire Inc.</v>
      </c>
      <c r="G130" s="184"/>
      <c r="H130" s="183"/>
      <c r="I130" s="182"/>
      <c r="J130" s="185"/>
      <c r="K130" s="185"/>
      <c r="L130" s="185"/>
      <c r="M130" s="187"/>
      <c r="N130" s="185"/>
      <c r="O130" s="188"/>
      <c r="P130" s="188"/>
      <c r="Q130" s="189"/>
      <c r="R130" s="190"/>
      <c r="S130" s="190"/>
      <c r="T130" s="190"/>
      <c r="U130" s="191"/>
      <c r="V130" s="192"/>
      <c r="W130" s="193"/>
      <c r="X130" s="194"/>
      <c r="Y130" s="195"/>
      <c r="Z130" s="196"/>
      <c r="AA130" s="203"/>
      <c r="AB130" s="198"/>
      <c r="AC130" s="199"/>
      <c r="AD130" s="200"/>
      <c r="AE130" s="182"/>
      <c r="AF130" s="201"/>
      <c r="AG130" s="201"/>
    </row>
    <row r="131" spans="1:33" ht="40.5" customHeight="1" thickTop="1" thickBot="1">
      <c r="A131" s="217" t="str">
        <f t="shared" si="3"/>
        <v>#BL25-0002</v>
      </c>
      <c r="B131" s="181"/>
      <c r="C131" s="181"/>
      <c r="D131" s="184"/>
      <c r="E131" s="183"/>
      <c r="F131" s="184" t="str">
        <f t="shared" si="2"/>
        <v>Construction Exemplaire Inc.</v>
      </c>
      <c r="G131" s="184"/>
      <c r="H131" s="183"/>
      <c r="I131" s="182"/>
      <c r="J131" s="185"/>
      <c r="K131" s="185"/>
      <c r="L131" s="185"/>
      <c r="M131" s="187"/>
      <c r="N131" s="185"/>
      <c r="O131" s="188"/>
      <c r="P131" s="188"/>
      <c r="Q131" s="189"/>
      <c r="R131" s="190"/>
      <c r="S131" s="190"/>
      <c r="T131" s="190"/>
      <c r="U131" s="191"/>
      <c r="V131" s="192"/>
      <c r="W131" s="193"/>
      <c r="X131" s="194"/>
      <c r="Y131" s="195"/>
      <c r="Z131" s="196"/>
      <c r="AA131" s="203"/>
      <c r="AB131" s="198"/>
      <c r="AC131" s="199"/>
      <c r="AD131" s="200"/>
      <c r="AE131" s="182"/>
      <c r="AF131" s="201"/>
      <c r="AG131" s="201"/>
    </row>
    <row r="132" spans="1:33" ht="40.5" customHeight="1" thickTop="1" thickBot="1">
      <c r="A132" s="217" t="str">
        <f t="shared" si="3"/>
        <v>#BL25-0002</v>
      </c>
      <c r="B132" s="181"/>
      <c r="C132" s="181"/>
      <c r="D132" s="184"/>
      <c r="E132" s="183"/>
      <c r="F132" s="184" t="str">
        <f t="shared" si="2"/>
        <v>Construction Exemplaire Inc.</v>
      </c>
      <c r="G132" s="184"/>
      <c r="H132" s="183"/>
      <c r="I132" s="182"/>
      <c r="J132" s="185"/>
      <c r="K132" s="185"/>
      <c r="L132" s="185"/>
      <c r="M132" s="187"/>
      <c r="N132" s="185"/>
      <c r="O132" s="188"/>
      <c r="P132" s="188"/>
      <c r="Q132" s="189"/>
      <c r="R132" s="190"/>
      <c r="S132" s="190"/>
      <c r="T132" s="190"/>
      <c r="U132" s="191"/>
      <c r="V132" s="192"/>
      <c r="W132" s="193"/>
      <c r="X132" s="194"/>
      <c r="Y132" s="195"/>
      <c r="Z132" s="196"/>
      <c r="AA132" s="203"/>
      <c r="AB132" s="198"/>
      <c r="AC132" s="199"/>
      <c r="AD132" s="200"/>
      <c r="AE132" s="182"/>
      <c r="AF132" s="201"/>
      <c r="AG132" s="201"/>
    </row>
    <row r="133" spans="1:33" ht="28.5" customHeight="1" thickTop="1" thickBot="1">
      <c r="A133" s="217" t="str">
        <f t="shared" si="3"/>
        <v>#BL25-0002</v>
      </c>
      <c r="B133" s="181"/>
      <c r="C133" s="181"/>
      <c r="D133" s="184"/>
      <c r="E133" s="183"/>
      <c r="F133" s="184" t="str">
        <f t="shared" si="2"/>
        <v>Construction Exemplaire Inc.</v>
      </c>
      <c r="G133" s="184"/>
      <c r="H133" s="183"/>
      <c r="I133" s="182"/>
      <c r="J133" s="185"/>
      <c r="K133" s="185"/>
      <c r="L133" s="185"/>
      <c r="M133" s="187"/>
      <c r="N133" s="185"/>
      <c r="O133" s="188"/>
      <c r="P133" s="188"/>
      <c r="Q133" s="189"/>
      <c r="R133" s="190"/>
      <c r="S133" s="190"/>
      <c r="T133" s="190"/>
      <c r="U133" s="191"/>
      <c r="V133" s="192"/>
      <c r="W133" s="193"/>
      <c r="X133" s="194"/>
      <c r="Y133" s="195"/>
      <c r="Z133" s="196"/>
      <c r="AA133" s="203"/>
      <c r="AB133" s="198"/>
      <c r="AC133" s="199"/>
      <c r="AD133" s="200"/>
      <c r="AE133" s="182"/>
      <c r="AF133" s="201"/>
      <c r="AG133" s="201"/>
    </row>
    <row r="134" spans="1:33" ht="28.5" customHeight="1" thickTop="1" thickBot="1">
      <c r="A134" s="217" t="str">
        <f t="shared" si="3"/>
        <v>#BL25-0002</v>
      </c>
      <c r="B134" s="181"/>
      <c r="C134" s="181"/>
      <c r="D134" s="184"/>
      <c r="E134" s="183"/>
      <c r="F134" s="184" t="str">
        <f t="shared" si="2"/>
        <v>Construction Exemplaire Inc.</v>
      </c>
      <c r="G134" s="184"/>
      <c r="H134" s="183"/>
      <c r="I134" s="182"/>
      <c r="J134" s="185"/>
      <c r="K134" s="185"/>
      <c r="L134" s="185"/>
      <c r="M134" s="187"/>
      <c r="N134" s="185"/>
      <c r="O134" s="188"/>
      <c r="P134" s="188"/>
      <c r="Q134" s="189"/>
      <c r="R134" s="190"/>
      <c r="S134" s="190"/>
      <c r="T134" s="190"/>
      <c r="U134" s="191"/>
      <c r="V134" s="192"/>
      <c r="W134" s="193"/>
      <c r="X134" s="194"/>
      <c r="Y134" s="195"/>
      <c r="Z134" s="196"/>
      <c r="AA134" s="203"/>
      <c r="AB134" s="198"/>
      <c r="AC134" s="199"/>
      <c r="AD134" s="200"/>
      <c r="AE134" s="182"/>
      <c r="AF134" s="201"/>
      <c r="AG134" s="201"/>
    </row>
    <row r="135" spans="1:33" ht="28.5" customHeight="1" thickTop="1" thickBot="1">
      <c r="A135" s="217" t="str">
        <f t="shared" si="3"/>
        <v>#BL25-0002</v>
      </c>
      <c r="B135" s="181"/>
      <c r="C135" s="181"/>
      <c r="D135" s="184"/>
      <c r="E135" s="183"/>
      <c r="F135" s="184" t="str">
        <f t="shared" si="2"/>
        <v>Construction Exemplaire Inc.</v>
      </c>
      <c r="G135" s="184"/>
      <c r="H135" s="183"/>
      <c r="I135" s="182"/>
      <c r="J135" s="185"/>
      <c r="K135" s="185"/>
      <c r="L135" s="185"/>
      <c r="M135" s="187"/>
      <c r="N135" s="185"/>
      <c r="O135" s="188"/>
      <c r="P135" s="188"/>
      <c r="Q135" s="189"/>
      <c r="R135" s="190"/>
      <c r="S135" s="190"/>
      <c r="T135" s="190"/>
      <c r="U135" s="191"/>
      <c r="V135" s="192"/>
      <c r="W135" s="193"/>
      <c r="X135" s="194"/>
      <c r="Y135" s="195"/>
      <c r="Z135" s="196"/>
      <c r="AA135" s="203"/>
      <c r="AB135" s="198"/>
      <c r="AC135" s="199"/>
      <c r="AD135" s="200"/>
      <c r="AE135" s="182"/>
      <c r="AF135" s="201"/>
      <c r="AG135" s="201"/>
    </row>
    <row r="136" spans="1:33" ht="28.5" customHeight="1" thickTop="1" thickBot="1">
      <c r="A136" s="217" t="str">
        <f t="shared" si="3"/>
        <v>#BL25-0002</v>
      </c>
      <c r="B136" s="181"/>
      <c r="C136" s="181"/>
      <c r="D136" s="184"/>
      <c r="E136" s="183"/>
      <c r="F136" s="184" t="str">
        <f t="shared" ref="F136:F199" si="4">nomClient</f>
        <v>Construction Exemplaire Inc.</v>
      </c>
      <c r="G136" s="184"/>
      <c r="H136" s="183"/>
      <c r="I136" s="182"/>
      <c r="J136" s="185"/>
      <c r="K136" s="185"/>
      <c r="L136" s="185"/>
      <c r="M136" s="187"/>
      <c r="N136" s="185"/>
      <c r="O136" s="188"/>
      <c r="P136" s="188"/>
      <c r="Q136" s="189"/>
      <c r="R136" s="190"/>
      <c r="S136" s="190"/>
      <c r="T136" s="190"/>
      <c r="U136" s="191"/>
      <c r="V136" s="192"/>
      <c r="W136" s="193"/>
      <c r="X136" s="194"/>
      <c r="Y136" s="195"/>
      <c r="Z136" s="196"/>
      <c r="AA136" s="203"/>
      <c r="AB136" s="198"/>
      <c r="AC136" s="199"/>
      <c r="AD136" s="200"/>
      <c r="AE136" s="182"/>
      <c r="AF136" s="201"/>
      <c r="AG136" s="201"/>
    </row>
    <row r="137" spans="1:33" ht="28.5" customHeight="1" thickTop="1" thickBot="1">
      <c r="A137" s="217" t="str">
        <f t="shared" ref="A137:A200" si="5">Ligne1</f>
        <v>#BL25-0002</v>
      </c>
      <c r="B137" s="181"/>
      <c r="C137" s="181"/>
      <c r="D137" s="184"/>
      <c r="E137" s="183"/>
      <c r="F137" s="184" t="str">
        <f t="shared" si="4"/>
        <v>Construction Exemplaire Inc.</v>
      </c>
      <c r="G137" s="184"/>
      <c r="H137" s="183"/>
      <c r="I137" s="182"/>
      <c r="J137" s="185"/>
      <c r="K137" s="185"/>
      <c r="L137" s="185"/>
      <c r="M137" s="187"/>
      <c r="N137" s="185"/>
      <c r="O137" s="188"/>
      <c r="P137" s="188"/>
      <c r="Q137" s="189"/>
      <c r="R137" s="190"/>
      <c r="S137" s="190"/>
      <c r="T137" s="190"/>
      <c r="U137" s="191"/>
      <c r="V137" s="192"/>
      <c r="W137" s="193"/>
      <c r="X137" s="194"/>
      <c r="Y137" s="195"/>
      <c r="Z137" s="196"/>
      <c r="AA137" s="203"/>
      <c r="AB137" s="198"/>
      <c r="AC137" s="199"/>
      <c r="AD137" s="200"/>
      <c r="AE137" s="182"/>
      <c r="AF137" s="201"/>
      <c r="AG137" s="201"/>
    </row>
    <row r="138" spans="1:33" ht="28.5" customHeight="1" thickTop="1" thickBot="1">
      <c r="A138" s="217" t="str">
        <f t="shared" si="5"/>
        <v>#BL25-0002</v>
      </c>
      <c r="B138" s="181"/>
      <c r="C138" s="181"/>
      <c r="D138" s="184"/>
      <c r="E138" s="183"/>
      <c r="F138" s="184" t="str">
        <f t="shared" si="4"/>
        <v>Construction Exemplaire Inc.</v>
      </c>
      <c r="G138" s="184"/>
      <c r="H138" s="183"/>
      <c r="I138" s="182"/>
      <c r="J138" s="185"/>
      <c r="K138" s="185"/>
      <c r="L138" s="185"/>
      <c r="M138" s="187"/>
      <c r="N138" s="185"/>
      <c r="O138" s="188"/>
      <c r="P138" s="188"/>
      <c r="Q138" s="189"/>
      <c r="R138" s="190"/>
      <c r="S138" s="190"/>
      <c r="T138" s="190"/>
      <c r="U138" s="191"/>
      <c r="V138" s="192"/>
      <c r="W138" s="193"/>
      <c r="X138" s="194"/>
      <c r="Y138" s="195"/>
      <c r="Z138" s="196"/>
      <c r="AA138" s="203"/>
      <c r="AB138" s="198"/>
      <c r="AC138" s="199"/>
      <c r="AD138" s="200"/>
      <c r="AE138" s="182"/>
      <c r="AF138" s="201"/>
      <c r="AG138" s="201"/>
    </row>
    <row r="139" spans="1:33" ht="28.5" customHeight="1" thickTop="1" thickBot="1">
      <c r="A139" s="217" t="str">
        <f t="shared" si="5"/>
        <v>#BL25-0002</v>
      </c>
      <c r="B139" s="181"/>
      <c r="C139" s="181"/>
      <c r="D139" s="184"/>
      <c r="E139" s="183"/>
      <c r="F139" s="184" t="str">
        <f t="shared" si="4"/>
        <v>Construction Exemplaire Inc.</v>
      </c>
      <c r="G139" s="184"/>
      <c r="H139" s="183"/>
      <c r="I139" s="182"/>
      <c r="J139" s="185"/>
      <c r="K139" s="185"/>
      <c r="L139" s="185"/>
      <c r="M139" s="187"/>
      <c r="N139" s="185"/>
      <c r="O139" s="188"/>
      <c r="P139" s="188"/>
      <c r="Q139" s="189"/>
      <c r="R139" s="190"/>
      <c r="S139" s="190"/>
      <c r="T139" s="190"/>
      <c r="U139" s="191"/>
      <c r="V139" s="192"/>
      <c r="W139" s="193"/>
      <c r="X139" s="194"/>
      <c r="Y139" s="195"/>
      <c r="Z139" s="196"/>
      <c r="AA139" s="203"/>
      <c r="AB139" s="198"/>
      <c r="AC139" s="199"/>
      <c r="AD139" s="200"/>
      <c r="AE139" s="182"/>
      <c r="AF139" s="201"/>
      <c r="AG139" s="201"/>
    </row>
    <row r="140" spans="1:33" ht="28.5" customHeight="1" thickTop="1" thickBot="1">
      <c r="A140" s="217" t="str">
        <f t="shared" si="5"/>
        <v>#BL25-0002</v>
      </c>
      <c r="B140" s="181"/>
      <c r="C140" s="181"/>
      <c r="D140" s="184"/>
      <c r="E140" s="183"/>
      <c r="F140" s="184" t="str">
        <f t="shared" si="4"/>
        <v>Construction Exemplaire Inc.</v>
      </c>
      <c r="G140" s="184"/>
      <c r="H140" s="183"/>
      <c r="I140" s="182"/>
      <c r="J140" s="185"/>
      <c r="K140" s="185"/>
      <c r="L140" s="185"/>
      <c r="M140" s="187"/>
      <c r="N140" s="185"/>
      <c r="O140" s="188"/>
      <c r="P140" s="188"/>
      <c r="Q140" s="189"/>
      <c r="R140" s="190"/>
      <c r="S140" s="190"/>
      <c r="T140" s="190"/>
      <c r="U140" s="191"/>
      <c r="V140" s="192"/>
      <c r="W140" s="193"/>
      <c r="X140" s="194"/>
      <c r="Y140" s="195"/>
      <c r="Z140" s="196"/>
      <c r="AA140" s="203"/>
      <c r="AB140" s="198"/>
      <c r="AC140" s="199"/>
      <c r="AD140" s="200"/>
      <c r="AE140" s="182"/>
      <c r="AF140" s="201"/>
      <c r="AG140" s="201"/>
    </row>
    <row r="141" spans="1:33" ht="28.5" customHeight="1" thickTop="1" thickBot="1">
      <c r="A141" s="217" t="str">
        <f t="shared" si="5"/>
        <v>#BL25-0002</v>
      </c>
      <c r="B141" s="181"/>
      <c r="C141" s="181"/>
      <c r="D141" s="184"/>
      <c r="E141" s="183"/>
      <c r="F141" s="184" t="str">
        <f t="shared" si="4"/>
        <v>Construction Exemplaire Inc.</v>
      </c>
      <c r="G141" s="184"/>
      <c r="H141" s="183"/>
      <c r="I141" s="182"/>
      <c r="J141" s="185"/>
      <c r="K141" s="185"/>
      <c r="L141" s="185"/>
      <c r="M141" s="187"/>
      <c r="N141" s="185"/>
      <c r="O141" s="188"/>
      <c r="P141" s="188"/>
      <c r="Q141" s="189"/>
      <c r="R141" s="190"/>
      <c r="S141" s="190"/>
      <c r="T141" s="190"/>
      <c r="U141" s="191"/>
      <c r="V141" s="192"/>
      <c r="W141" s="193"/>
      <c r="X141" s="194"/>
      <c r="Y141" s="195"/>
      <c r="Z141" s="196"/>
      <c r="AA141" s="203"/>
      <c r="AB141" s="198"/>
      <c r="AC141" s="199"/>
      <c r="AD141" s="200"/>
      <c r="AE141" s="182"/>
      <c r="AF141" s="201"/>
      <c r="AG141" s="201"/>
    </row>
    <row r="142" spans="1:33" ht="28.5" customHeight="1" thickTop="1" thickBot="1">
      <c r="A142" s="217" t="str">
        <f t="shared" si="5"/>
        <v>#BL25-0002</v>
      </c>
      <c r="B142" s="181"/>
      <c r="C142" s="181"/>
      <c r="D142" s="184"/>
      <c r="E142" s="183"/>
      <c r="F142" s="184" t="str">
        <f t="shared" si="4"/>
        <v>Construction Exemplaire Inc.</v>
      </c>
      <c r="G142" s="184"/>
      <c r="H142" s="183"/>
      <c r="I142" s="182"/>
      <c r="J142" s="185"/>
      <c r="K142" s="185"/>
      <c r="L142" s="185"/>
      <c r="M142" s="187"/>
      <c r="N142" s="185"/>
      <c r="O142" s="188"/>
      <c r="P142" s="188"/>
      <c r="Q142" s="189"/>
      <c r="R142" s="190"/>
      <c r="S142" s="190"/>
      <c r="T142" s="190"/>
      <c r="U142" s="191"/>
      <c r="V142" s="192"/>
      <c r="W142" s="193"/>
      <c r="X142" s="194"/>
      <c r="Y142" s="195"/>
      <c r="Z142" s="196"/>
      <c r="AA142" s="203"/>
      <c r="AB142" s="198"/>
      <c r="AC142" s="199"/>
      <c r="AD142" s="200"/>
      <c r="AE142" s="182"/>
      <c r="AF142" s="201"/>
      <c r="AG142" s="201"/>
    </row>
    <row r="143" spans="1:33" ht="28.5" customHeight="1" thickTop="1" thickBot="1">
      <c r="A143" s="217" t="str">
        <f t="shared" si="5"/>
        <v>#BL25-0002</v>
      </c>
      <c r="B143" s="181"/>
      <c r="C143" s="181"/>
      <c r="D143" s="184"/>
      <c r="E143" s="183"/>
      <c r="F143" s="184" t="str">
        <f t="shared" si="4"/>
        <v>Construction Exemplaire Inc.</v>
      </c>
      <c r="G143" s="184"/>
      <c r="H143" s="183"/>
      <c r="I143" s="182"/>
      <c r="J143" s="185"/>
      <c r="K143" s="185"/>
      <c r="L143" s="185"/>
      <c r="M143" s="187"/>
      <c r="N143" s="185"/>
      <c r="O143" s="188"/>
      <c r="P143" s="188"/>
      <c r="Q143" s="189"/>
      <c r="R143" s="190"/>
      <c r="S143" s="190"/>
      <c r="T143" s="190"/>
      <c r="U143" s="191"/>
      <c r="V143" s="192"/>
      <c r="W143" s="193"/>
      <c r="X143" s="194"/>
      <c r="Y143" s="195"/>
      <c r="Z143" s="196"/>
      <c r="AA143" s="203"/>
      <c r="AB143" s="198"/>
      <c r="AC143" s="199"/>
      <c r="AD143" s="200"/>
      <c r="AE143" s="182"/>
      <c r="AF143" s="201"/>
      <c r="AG143" s="201"/>
    </row>
    <row r="144" spans="1:33" ht="28.5" customHeight="1" thickTop="1" thickBot="1">
      <c r="A144" s="217" t="str">
        <f t="shared" si="5"/>
        <v>#BL25-0002</v>
      </c>
      <c r="B144" s="181"/>
      <c r="C144" s="181"/>
      <c r="D144" s="184"/>
      <c r="E144" s="183"/>
      <c r="F144" s="184" t="str">
        <f t="shared" si="4"/>
        <v>Construction Exemplaire Inc.</v>
      </c>
      <c r="G144" s="184"/>
      <c r="H144" s="183"/>
      <c r="I144" s="182"/>
      <c r="J144" s="185"/>
      <c r="K144" s="185"/>
      <c r="L144" s="185"/>
      <c r="M144" s="187"/>
      <c r="N144" s="185"/>
      <c r="O144" s="188"/>
      <c r="P144" s="188"/>
      <c r="Q144" s="189"/>
      <c r="R144" s="190"/>
      <c r="S144" s="190"/>
      <c r="T144" s="190"/>
      <c r="U144" s="191"/>
      <c r="V144" s="192"/>
      <c r="W144" s="193"/>
      <c r="X144" s="194"/>
      <c r="Y144" s="195"/>
      <c r="Z144" s="196"/>
      <c r="AA144" s="203"/>
      <c r="AB144" s="198"/>
      <c r="AC144" s="199"/>
      <c r="AD144" s="200"/>
      <c r="AE144" s="182"/>
      <c r="AF144" s="201"/>
      <c r="AG144" s="201"/>
    </row>
    <row r="145" spans="1:33" ht="28.5" customHeight="1" thickTop="1" thickBot="1">
      <c r="A145" s="217" t="str">
        <f t="shared" si="5"/>
        <v>#BL25-0002</v>
      </c>
      <c r="B145" s="181"/>
      <c r="C145" s="181"/>
      <c r="D145" s="184"/>
      <c r="E145" s="183"/>
      <c r="F145" s="184" t="str">
        <f t="shared" si="4"/>
        <v>Construction Exemplaire Inc.</v>
      </c>
      <c r="G145" s="184"/>
      <c r="H145" s="183"/>
      <c r="I145" s="182"/>
      <c r="J145" s="185"/>
      <c r="K145" s="185"/>
      <c r="L145" s="185"/>
      <c r="M145" s="187"/>
      <c r="N145" s="185"/>
      <c r="O145" s="188"/>
      <c r="P145" s="188"/>
      <c r="Q145" s="189"/>
      <c r="R145" s="190"/>
      <c r="S145" s="190"/>
      <c r="T145" s="190"/>
      <c r="U145" s="191"/>
      <c r="V145" s="192"/>
      <c r="W145" s="193"/>
      <c r="X145" s="194"/>
      <c r="Y145" s="195"/>
      <c r="Z145" s="196"/>
      <c r="AA145" s="203"/>
      <c r="AB145" s="198"/>
      <c r="AC145" s="199"/>
      <c r="AD145" s="200"/>
      <c r="AE145" s="182"/>
      <c r="AF145" s="201"/>
      <c r="AG145" s="201"/>
    </row>
    <row r="146" spans="1:33" ht="28.5" customHeight="1" thickTop="1" thickBot="1">
      <c r="A146" s="217" t="str">
        <f t="shared" si="5"/>
        <v>#BL25-0002</v>
      </c>
      <c r="B146" s="181"/>
      <c r="C146" s="181"/>
      <c r="D146" s="184"/>
      <c r="E146" s="183"/>
      <c r="F146" s="184" t="str">
        <f t="shared" si="4"/>
        <v>Construction Exemplaire Inc.</v>
      </c>
      <c r="G146" s="184"/>
      <c r="H146" s="183"/>
      <c r="I146" s="182"/>
      <c r="J146" s="185"/>
      <c r="K146" s="185"/>
      <c r="L146" s="185"/>
      <c r="M146" s="187"/>
      <c r="N146" s="185"/>
      <c r="O146" s="188"/>
      <c r="P146" s="188"/>
      <c r="Q146" s="189"/>
      <c r="R146" s="190"/>
      <c r="S146" s="190"/>
      <c r="T146" s="190"/>
      <c r="U146" s="191"/>
      <c r="V146" s="192"/>
      <c r="W146" s="193"/>
      <c r="X146" s="194"/>
      <c r="Y146" s="195"/>
      <c r="Z146" s="196"/>
      <c r="AA146" s="203"/>
      <c r="AB146" s="198"/>
      <c r="AC146" s="199"/>
      <c r="AD146" s="200"/>
      <c r="AE146" s="182"/>
      <c r="AF146" s="201"/>
      <c r="AG146" s="201"/>
    </row>
    <row r="147" spans="1:33" ht="28.5" customHeight="1" thickTop="1" thickBot="1">
      <c r="A147" s="217" t="str">
        <f t="shared" si="5"/>
        <v>#BL25-0002</v>
      </c>
      <c r="B147" s="181"/>
      <c r="C147" s="181"/>
      <c r="D147" s="184"/>
      <c r="E147" s="183"/>
      <c r="F147" s="184" t="str">
        <f t="shared" si="4"/>
        <v>Construction Exemplaire Inc.</v>
      </c>
      <c r="G147" s="184"/>
      <c r="H147" s="183"/>
      <c r="I147" s="182"/>
      <c r="J147" s="185"/>
      <c r="K147" s="185"/>
      <c r="L147" s="185"/>
      <c r="M147" s="187"/>
      <c r="N147" s="185"/>
      <c r="O147" s="188"/>
      <c r="P147" s="188"/>
      <c r="Q147" s="189"/>
      <c r="R147" s="190"/>
      <c r="S147" s="190"/>
      <c r="T147" s="190"/>
      <c r="U147" s="191"/>
      <c r="V147" s="192"/>
      <c r="W147" s="193"/>
      <c r="X147" s="194"/>
      <c r="Y147" s="195"/>
      <c r="Z147" s="196"/>
      <c r="AA147" s="203"/>
      <c r="AB147" s="198"/>
      <c r="AC147" s="199"/>
      <c r="AD147" s="200"/>
      <c r="AE147" s="182"/>
      <c r="AF147" s="201"/>
      <c r="AG147" s="201"/>
    </row>
    <row r="148" spans="1:33" ht="28.5" customHeight="1" thickTop="1" thickBot="1">
      <c r="A148" s="217" t="str">
        <f t="shared" si="5"/>
        <v>#BL25-0002</v>
      </c>
      <c r="B148" s="181"/>
      <c r="C148" s="181"/>
      <c r="D148" s="184"/>
      <c r="E148" s="183"/>
      <c r="F148" s="184" t="str">
        <f t="shared" si="4"/>
        <v>Construction Exemplaire Inc.</v>
      </c>
      <c r="G148" s="184"/>
      <c r="H148" s="183"/>
      <c r="I148" s="182"/>
      <c r="J148" s="185"/>
      <c r="K148" s="185"/>
      <c r="L148" s="185"/>
      <c r="M148" s="187"/>
      <c r="N148" s="185"/>
      <c r="O148" s="188"/>
      <c r="P148" s="188"/>
      <c r="Q148" s="189"/>
      <c r="R148" s="190"/>
      <c r="S148" s="190"/>
      <c r="T148" s="190"/>
      <c r="U148" s="191"/>
      <c r="V148" s="192"/>
      <c r="W148" s="193"/>
      <c r="X148" s="194"/>
      <c r="Y148" s="195"/>
      <c r="Z148" s="196"/>
      <c r="AA148" s="203"/>
      <c r="AB148" s="198"/>
      <c r="AC148" s="199"/>
      <c r="AD148" s="200"/>
      <c r="AE148" s="182"/>
      <c r="AF148" s="201"/>
      <c r="AG148" s="201"/>
    </row>
    <row r="149" spans="1:33" ht="28.5" customHeight="1" thickTop="1" thickBot="1">
      <c r="A149" s="217" t="str">
        <f t="shared" si="5"/>
        <v>#BL25-0002</v>
      </c>
      <c r="B149" s="181"/>
      <c r="C149" s="181"/>
      <c r="D149" s="184"/>
      <c r="E149" s="183"/>
      <c r="F149" s="184" t="str">
        <f t="shared" si="4"/>
        <v>Construction Exemplaire Inc.</v>
      </c>
      <c r="G149" s="184"/>
      <c r="H149" s="183"/>
      <c r="I149" s="182"/>
      <c r="J149" s="185"/>
      <c r="K149" s="185"/>
      <c r="L149" s="185"/>
      <c r="M149" s="187"/>
      <c r="N149" s="185"/>
      <c r="O149" s="188"/>
      <c r="P149" s="188"/>
      <c r="Q149" s="189"/>
      <c r="R149" s="190"/>
      <c r="S149" s="190"/>
      <c r="T149" s="190"/>
      <c r="U149" s="191"/>
      <c r="V149" s="192"/>
      <c r="W149" s="193"/>
      <c r="X149" s="194"/>
      <c r="Y149" s="195"/>
      <c r="Z149" s="196"/>
      <c r="AA149" s="203"/>
      <c r="AB149" s="198"/>
      <c r="AC149" s="199"/>
      <c r="AD149" s="200"/>
      <c r="AE149" s="182"/>
      <c r="AF149" s="201"/>
      <c r="AG149" s="201"/>
    </row>
    <row r="150" spans="1:33" ht="28.5" customHeight="1" thickTop="1" thickBot="1">
      <c r="A150" s="217" t="str">
        <f t="shared" si="5"/>
        <v>#BL25-0002</v>
      </c>
      <c r="B150" s="181"/>
      <c r="C150" s="181"/>
      <c r="D150" s="184"/>
      <c r="E150" s="183"/>
      <c r="F150" s="184" t="str">
        <f t="shared" si="4"/>
        <v>Construction Exemplaire Inc.</v>
      </c>
      <c r="G150" s="184"/>
      <c r="H150" s="183"/>
      <c r="I150" s="182"/>
      <c r="J150" s="185"/>
      <c r="K150" s="185"/>
      <c r="L150" s="185"/>
      <c r="M150" s="187"/>
      <c r="N150" s="185"/>
      <c r="O150" s="188"/>
      <c r="P150" s="188"/>
      <c r="Q150" s="189"/>
      <c r="R150" s="190"/>
      <c r="S150" s="190"/>
      <c r="T150" s="190"/>
      <c r="U150" s="191"/>
      <c r="V150" s="192"/>
      <c r="W150" s="193"/>
      <c r="X150" s="194"/>
      <c r="Y150" s="195"/>
      <c r="Z150" s="196"/>
      <c r="AA150" s="203"/>
      <c r="AB150" s="198"/>
      <c r="AC150" s="199"/>
      <c r="AD150" s="200"/>
      <c r="AE150" s="182"/>
      <c r="AF150" s="201"/>
      <c r="AG150" s="201"/>
    </row>
    <row r="151" spans="1:33" ht="28.5" customHeight="1" thickTop="1" thickBot="1">
      <c r="A151" s="217" t="str">
        <f t="shared" si="5"/>
        <v>#BL25-0002</v>
      </c>
      <c r="B151" s="181"/>
      <c r="C151" s="181"/>
      <c r="D151" s="184"/>
      <c r="E151" s="183"/>
      <c r="F151" s="184" t="str">
        <f t="shared" si="4"/>
        <v>Construction Exemplaire Inc.</v>
      </c>
      <c r="G151" s="184"/>
      <c r="H151" s="183"/>
      <c r="I151" s="182"/>
      <c r="J151" s="185"/>
      <c r="K151" s="185"/>
      <c r="L151" s="185"/>
      <c r="M151" s="187"/>
      <c r="N151" s="185"/>
      <c r="O151" s="188"/>
      <c r="P151" s="188"/>
      <c r="Q151" s="189"/>
      <c r="R151" s="190"/>
      <c r="S151" s="190"/>
      <c r="T151" s="190"/>
      <c r="U151" s="191"/>
      <c r="V151" s="192"/>
      <c r="W151" s="193"/>
      <c r="X151" s="194"/>
      <c r="Y151" s="195"/>
      <c r="Z151" s="196"/>
      <c r="AA151" s="203"/>
      <c r="AB151" s="198"/>
      <c r="AC151" s="199"/>
      <c r="AD151" s="200"/>
      <c r="AE151" s="182"/>
      <c r="AF151" s="201"/>
      <c r="AG151" s="201"/>
    </row>
    <row r="152" spans="1:33" ht="28.5" customHeight="1" thickTop="1" thickBot="1">
      <c r="A152" s="217" t="str">
        <f t="shared" si="5"/>
        <v>#BL25-0002</v>
      </c>
      <c r="B152" s="181"/>
      <c r="C152" s="181"/>
      <c r="D152" s="184"/>
      <c r="E152" s="183"/>
      <c r="F152" s="184" t="str">
        <f t="shared" si="4"/>
        <v>Construction Exemplaire Inc.</v>
      </c>
      <c r="G152" s="184"/>
      <c r="H152" s="183"/>
      <c r="I152" s="182"/>
      <c r="J152" s="185"/>
      <c r="K152" s="185"/>
      <c r="L152" s="185"/>
      <c r="M152" s="187"/>
      <c r="N152" s="185"/>
      <c r="O152" s="188"/>
      <c r="P152" s="188"/>
      <c r="Q152" s="189"/>
      <c r="R152" s="190"/>
      <c r="S152" s="190"/>
      <c r="T152" s="190"/>
      <c r="U152" s="191"/>
      <c r="V152" s="192"/>
      <c r="W152" s="193"/>
      <c r="X152" s="194"/>
      <c r="Y152" s="195"/>
      <c r="Z152" s="196"/>
      <c r="AA152" s="203"/>
      <c r="AB152" s="198"/>
      <c r="AC152" s="199"/>
      <c r="AD152" s="200"/>
      <c r="AE152" s="182"/>
      <c r="AF152" s="201"/>
      <c r="AG152" s="201"/>
    </row>
    <row r="153" spans="1:33" ht="28.5" customHeight="1" thickTop="1" thickBot="1">
      <c r="A153" s="217" t="str">
        <f t="shared" si="5"/>
        <v>#BL25-0002</v>
      </c>
      <c r="B153" s="181"/>
      <c r="C153" s="181"/>
      <c r="D153" s="184"/>
      <c r="E153" s="183"/>
      <c r="F153" s="184" t="str">
        <f t="shared" si="4"/>
        <v>Construction Exemplaire Inc.</v>
      </c>
      <c r="G153" s="184"/>
      <c r="H153" s="183"/>
      <c r="I153" s="182"/>
      <c r="J153" s="185"/>
      <c r="K153" s="185"/>
      <c r="L153" s="185"/>
      <c r="M153" s="187"/>
      <c r="N153" s="185"/>
      <c r="O153" s="188"/>
      <c r="P153" s="188"/>
      <c r="Q153" s="189"/>
      <c r="R153" s="190"/>
      <c r="S153" s="190"/>
      <c r="T153" s="190"/>
      <c r="U153" s="191"/>
      <c r="V153" s="192"/>
      <c r="W153" s="193"/>
      <c r="X153" s="194"/>
      <c r="Y153" s="195"/>
      <c r="Z153" s="196"/>
      <c r="AA153" s="203"/>
      <c r="AB153" s="198"/>
      <c r="AC153" s="199"/>
      <c r="AD153" s="200"/>
      <c r="AE153" s="182"/>
      <c r="AF153" s="201"/>
      <c r="AG153" s="201"/>
    </row>
    <row r="154" spans="1:33" ht="28.5" customHeight="1" thickTop="1" thickBot="1">
      <c r="A154" s="217" t="str">
        <f t="shared" si="5"/>
        <v>#BL25-0002</v>
      </c>
      <c r="B154" s="181"/>
      <c r="C154" s="181"/>
      <c r="D154" s="184"/>
      <c r="E154" s="183"/>
      <c r="F154" s="184" t="str">
        <f t="shared" si="4"/>
        <v>Construction Exemplaire Inc.</v>
      </c>
      <c r="G154" s="184"/>
      <c r="H154" s="183"/>
      <c r="I154" s="182"/>
      <c r="J154" s="185"/>
      <c r="K154" s="185"/>
      <c r="L154" s="185"/>
      <c r="M154" s="187"/>
      <c r="N154" s="185"/>
      <c r="O154" s="188"/>
      <c r="P154" s="188"/>
      <c r="Q154" s="189"/>
      <c r="R154" s="190"/>
      <c r="S154" s="190"/>
      <c r="T154" s="190"/>
      <c r="U154" s="191"/>
      <c r="V154" s="192"/>
      <c r="W154" s="193"/>
      <c r="X154" s="194"/>
      <c r="Y154" s="195"/>
      <c r="Z154" s="196"/>
      <c r="AA154" s="203"/>
      <c r="AB154" s="198"/>
      <c r="AC154" s="199"/>
      <c r="AD154" s="200"/>
      <c r="AE154" s="182"/>
      <c r="AF154" s="201"/>
      <c r="AG154" s="201"/>
    </row>
    <row r="155" spans="1:33" ht="28.5" customHeight="1" thickTop="1" thickBot="1">
      <c r="A155" s="217" t="str">
        <f t="shared" si="5"/>
        <v>#BL25-0002</v>
      </c>
      <c r="B155" s="181"/>
      <c r="C155" s="181"/>
      <c r="D155" s="184"/>
      <c r="E155" s="183"/>
      <c r="F155" s="184" t="str">
        <f t="shared" si="4"/>
        <v>Construction Exemplaire Inc.</v>
      </c>
      <c r="G155" s="184"/>
      <c r="H155" s="183"/>
      <c r="I155" s="182"/>
      <c r="J155" s="185"/>
      <c r="K155" s="185"/>
      <c r="L155" s="185"/>
      <c r="M155" s="187"/>
      <c r="N155" s="185"/>
      <c r="O155" s="188"/>
      <c r="P155" s="188"/>
      <c r="Q155" s="189"/>
      <c r="R155" s="190"/>
      <c r="S155" s="190"/>
      <c r="T155" s="190"/>
      <c r="U155" s="191"/>
      <c r="V155" s="192"/>
      <c r="W155" s="193"/>
      <c r="X155" s="194"/>
      <c r="Y155" s="195"/>
      <c r="Z155" s="196"/>
      <c r="AA155" s="203"/>
      <c r="AB155" s="198"/>
      <c r="AC155" s="199"/>
      <c r="AD155" s="200"/>
      <c r="AE155" s="182"/>
      <c r="AF155" s="201"/>
      <c r="AG155" s="201"/>
    </row>
    <row r="156" spans="1:33" ht="28.5" customHeight="1" thickTop="1" thickBot="1">
      <c r="A156" s="217" t="str">
        <f t="shared" si="5"/>
        <v>#BL25-0002</v>
      </c>
      <c r="B156" s="181"/>
      <c r="C156" s="181"/>
      <c r="D156" s="184"/>
      <c r="E156" s="183"/>
      <c r="F156" s="184" t="str">
        <f t="shared" si="4"/>
        <v>Construction Exemplaire Inc.</v>
      </c>
      <c r="G156" s="184"/>
      <c r="H156" s="183"/>
      <c r="I156" s="182"/>
      <c r="J156" s="185"/>
      <c r="K156" s="185"/>
      <c r="L156" s="185"/>
      <c r="M156" s="187"/>
      <c r="N156" s="185"/>
      <c r="O156" s="188"/>
      <c r="P156" s="188"/>
      <c r="Q156" s="189"/>
      <c r="R156" s="190"/>
      <c r="S156" s="190"/>
      <c r="T156" s="190"/>
      <c r="U156" s="191"/>
      <c r="V156" s="192"/>
      <c r="W156" s="193"/>
      <c r="X156" s="194"/>
      <c r="Y156" s="195"/>
      <c r="Z156" s="196"/>
      <c r="AA156" s="203"/>
      <c r="AB156" s="198"/>
      <c r="AC156" s="199"/>
      <c r="AD156" s="200"/>
      <c r="AE156" s="182"/>
      <c r="AF156" s="201"/>
      <c r="AG156" s="201"/>
    </row>
    <row r="157" spans="1:33" ht="28.5" customHeight="1" thickTop="1" thickBot="1">
      <c r="A157" s="217" t="str">
        <f t="shared" si="5"/>
        <v>#BL25-0002</v>
      </c>
      <c r="B157" s="181"/>
      <c r="C157" s="181"/>
      <c r="D157" s="184"/>
      <c r="E157" s="183"/>
      <c r="F157" s="184" t="str">
        <f t="shared" si="4"/>
        <v>Construction Exemplaire Inc.</v>
      </c>
      <c r="G157" s="184"/>
      <c r="H157" s="183"/>
      <c r="I157" s="182"/>
      <c r="J157" s="185"/>
      <c r="K157" s="185"/>
      <c r="L157" s="185"/>
      <c r="M157" s="187"/>
      <c r="N157" s="185"/>
      <c r="O157" s="188"/>
      <c r="P157" s="188"/>
      <c r="Q157" s="189"/>
      <c r="R157" s="190"/>
      <c r="S157" s="190"/>
      <c r="T157" s="190"/>
      <c r="U157" s="191"/>
      <c r="V157" s="192"/>
      <c r="W157" s="193"/>
      <c r="X157" s="194"/>
      <c r="Y157" s="195"/>
      <c r="Z157" s="196"/>
      <c r="AA157" s="203"/>
      <c r="AB157" s="198"/>
      <c r="AC157" s="199"/>
      <c r="AD157" s="200"/>
      <c r="AE157" s="182"/>
      <c r="AF157" s="201"/>
      <c r="AG157" s="201"/>
    </row>
    <row r="158" spans="1:33" ht="28.5" customHeight="1" thickTop="1" thickBot="1">
      <c r="A158" s="217" t="str">
        <f t="shared" si="5"/>
        <v>#BL25-0002</v>
      </c>
      <c r="B158" s="181"/>
      <c r="C158" s="181"/>
      <c r="D158" s="184"/>
      <c r="E158" s="183"/>
      <c r="F158" s="184" t="str">
        <f t="shared" si="4"/>
        <v>Construction Exemplaire Inc.</v>
      </c>
      <c r="G158" s="184"/>
      <c r="H158" s="183"/>
      <c r="I158" s="182"/>
      <c r="J158" s="185"/>
      <c r="K158" s="185"/>
      <c r="L158" s="185"/>
      <c r="M158" s="187"/>
      <c r="N158" s="185"/>
      <c r="O158" s="188"/>
      <c r="P158" s="188"/>
      <c r="Q158" s="189"/>
      <c r="R158" s="190"/>
      <c r="S158" s="190"/>
      <c r="T158" s="190"/>
      <c r="U158" s="191"/>
      <c r="V158" s="192"/>
      <c r="W158" s="193"/>
      <c r="X158" s="194"/>
      <c r="Y158" s="195"/>
      <c r="Z158" s="196"/>
      <c r="AA158" s="203"/>
      <c r="AB158" s="198"/>
      <c r="AC158" s="199"/>
      <c r="AD158" s="200"/>
      <c r="AE158" s="182"/>
      <c r="AF158" s="201"/>
      <c r="AG158" s="201"/>
    </row>
    <row r="159" spans="1:33" ht="28.5" customHeight="1" thickTop="1" thickBot="1">
      <c r="A159" s="217" t="str">
        <f t="shared" si="5"/>
        <v>#BL25-0002</v>
      </c>
      <c r="B159" s="181"/>
      <c r="C159" s="181"/>
      <c r="D159" s="184"/>
      <c r="E159" s="183"/>
      <c r="F159" s="184" t="str">
        <f t="shared" si="4"/>
        <v>Construction Exemplaire Inc.</v>
      </c>
      <c r="G159" s="184"/>
      <c r="H159" s="183"/>
      <c r="I159" s="182"/>
      <c r="J159" s="185"/>
      <c r="K159" s="185"/>
      <c r="L159" s="185"/>
      <c r="M159" s="187"/>
      <c r="N159" s="185"/>
      <c r="O159" s="188"/>
      <c r="P159" s="188"/>
      <c r="Q159" s="189"/>
      <c r="R159" s="190"/>
      <c r="S159" s="190"/>
      <c r="T159" s="190"/>
      <c r="U159" s="191"/>
      <c r="V159" s="192"/>
      <c r="W159" s="193"/>
      <c r="X159" s="194"/>
      <c r="Y159" s="195"/>
      <c r="Z159" s="196"/>
      <c r="AA159" s="203"/>
      <c r="AB159" s="198"/>
      <c r="AC159" s="199"/>
      <c r="AD159" s="200"/>
      <c r="AE159" s="182"/>
      <c r="AF159" s="201"/>
      <c r="AG159" s="201"/>
    </row>
    <row r="160" spans="1:33" ht="28.5" customHeight="1" thickTop="1" thickBot="1">
      <c r="A160" s="217" t="str">
        <f t="shared" si="5"/>
        <v>#BL25-0002</v>
      </c>
      <c r="B160" s="181"/>
      <c r="C160" s="181"/>
      <c r="D160" s="184"/>
      <c r="E160" s="183"/>
      <c r="F160" s="184" t="str">
        <f t="shared" si="4"/>
        <v>Construction Exemplaire Inc.</v>
      </c>
      <c r="G160" s="184"/>
      <c r="H160" s="183"/>
      <c r="I160" s="182"/>
      <c r="J160" s="185"/>
      <c r="K160" s="185"/>
      <c r="L160" s="185"/>
      <c r="M160" s="187"/>
      <c r="N160" s="185"/>
      <c r="O160" s="188"/>
      <c r="P160" s="188"/>
      <c r="Q160" s="189"/>
      <c r="R160" s="190"/>
      <c r="S160" s="190"/>
      <c r="T160" s="190"/>
      <c r="U160" s="191"/>
      <c r="V160" s="192"/>
      <c r="W160" s="193"/>
      <c r="X160" s="194"/>
      <c r="Y160" s="195"/>
      <c r="Z160" s="196"/>
      <c r="AA160" s="203"/>
      <c r="AB160" s="198"/>
      <c r="AC160" s="199"/>
      <c r="AD160" s="200"/>
      <c r="AE160" s="182"/>
      <c r="AF160" s="201"/>
      <c r="AG160" s="201"/>
    </row>
    <row r="161" spans="1:33" ht="28.5" customHeight="1" thickTop="1" thickBot="1">
      <c r="A161" s="217" t="str">
        <f t="shared" si="5"/>
        <v>#BL25-0002</v>
      </c>
      <c r="B161" s="181"/>
      <c r="C161" s="181"/>
      <c r="D161" s="184"/>
      <c r="E161" s="183"/>
      <c r="F161" s="184" t="str">
        <f t="shared" si="4"/>
        <v>Construction Exemplaire Inc.</v>
      </c>
      <c r="G161" s="184"/>
      <c r="H161" s="183"/>
      <c r="I161" s="182"/>
      <c r="J161" s="185"/>
      <c r="K161" s="185"/>
      <c r="L161" s="185"/>
      <c r="M161" s="187"/>
      <c r="N161" s="185"/>
      <c r="O161" s="188"/>
      <c r="P161" s="188"/>
      <c r="Q161" s="189"/>
      <c r="R161" s="190"/>
      <c r="S161" s="190"/>
      <c r="T161" s="190"/>
      <c r="U161" s="191"/>
      <c r="V161" s="192"/>
      <c r="W161" s="193"/>
      <c r="X161" s="194"/>
      <c r="Y161" s="195"/>
      <c r="Z161" s="196"/>
      <c r="AA161" s="203"/>
      <c r="AB161" s="198"/>
      <c r="AC161" s="199"/>
      <c r="AD161" s="200"/>
      <c r="AE161" s="182"/>
      <c r="AF161" s="201"/>
      <c r="AG161" s="201"/>
    </row>
    <row r="162" spans="1:33" ht="28.5" customHeight="1" thickTop="1" thickBot="1">
      <c r="A162" s="217" t="str">
        <f t="shared" si="5"/>
        <v>#BL25-0002</v>
      </c>
      <c r="B162" s="181"/>
      <c r="C162" s="181"/>
      <c r="D162" s="184"/>
      <c r="E162" s="183"/>
      <c r="F162" s="184" t="str">
        <f t="shared" si="4"/>
        <v>Construction Exemplaire Inc.</v>
      </c>
      <c r="G162" s="184"/>
      <c r="H162" s="183"/>
      <c r="I162" s="182"/>
      <c r="J162" s="185"/>
      <c r="K162" s="185"/>
      <c r="L162" s="185"/>
      <c r="M162" s="187"/>
      <c r="N162" s="185"/>
      <c r="O162" s="188"/>
      <c r="P162" s="188"/>
      <c r="Q162" s="189"/>
      <c r="R162" s="190"/>
      <c r="S162" s="190"/>
      <c r="T162" s="190"/>
      <c r="U162" s="191"/>
      <c r="V162" s="192"/>
      <c r="W162" s="193"/>
      <c r="X162" s="194"/>
      <c r="Y162" s="195"/>
      <c r="Z162" s="196"/>
      <c r="AA162" s="203"/>
      <c r="AB162" s="198"/>
      <c r="AC162" s="199"/>
      <c r="AD162" s="200"/>
      <c r="AE162" s="182"/>
      <c r="AF162" s="201"/>
      <c r="AG162" s="201"/>
    </row>
    <row r="163" spans="1:33" ht="28.5" customHeight="1" thickTop="1" thickBot="1">
      <c r="A163" s="217" t="str">
        <f t="shared" si="5"/>
        <v>#BL25-0002</v>
      </c>
      <c r="B163" s="181"/>
      <c r="C163" s="181"/>
      <c r="D163" s="184"/>
      <c r="E163" s="183"/>
      <c r="F163" s="184" t="str">
        <f t="shared" si="4"/>
        <v>Construction Exemplaire Inc.</v>
      </c>
      <c r="G163" s="184"/>
      <c r="H163" s="183"/>
      <c r="I163" s="182"/>
      <c r="J163" s="185"/>
      <c r="K163" s="185"/>
      <c r="L163" s="185"/>
      <c r="M163" s="187"/>
      <c r="N163" s="185"/>
      <c r="O163" s="188"/>
      <c r="P163" s="188"/>
      <c r="Q163" s="189"/>
      <c r="R163" s="190"/>
      <c r="S163" s="190"/>
      <c r="T163" s="190"/>
      <c r="U163" s="191"/>
      <c r="V163" s="192"/>
      <c r="W163" s="193"/>
      <c r="X163" s="194"/>
      <c r="Y163" s="195"/>
      <c r="Z163" s="196"/>
      <c r="AA163" s="203"/>
      <c r="AB163" s="198"/>
      <c r="AC163" s="199"/>
      <c r="AD163" s="200"/>
      <c r="AE163" s="182"/>
      <c r="AF163" s="201"/>
      <c r="AG163" s="201"/>
    </row>
    <row r="164" spans="1:33" ht="28.5" customHeight="1" thickTop="1" thickBot="1">
      <c r="A164" s="217" t="str">
        <f t="shared" si="5"/>
        <v>#BL25-0002</v>
      </c>
      <c r="B164" s="181"/>
      <c r="C164" s="181"/>
      <c r="D164" s="184"/>
      <c r="E164" s="183"/>
      <c r="F164" s="184" t="str">
        <f t="shared" si="4"/>
        <v>Construction Exemplaire Inc.</v>
      </c>
      <c r="G164" s="184"/>
      <c r="H164" s="183"/>
      <c r="I164" s="182"/>
      <c r="J164" s="185"/>
      <c r="K164" s="185"/>
      <c r="L164" s="185"/>
      <c r="M164" s="187"/>
      <c r="N164" s="185"/>
      <c r="O164" s="188"/>
      <c r="P164" s="188"/>
      <c r="Q164" s="189"/>
      <c r="R164" s="190"/>
      <c r="S164" s="190"/>
      <c r="T164" s="190"/>
      <c r="U164" s="191"/>
      <c r="V164" s="192"/>
      <c r="W164" s="193"/>
      <c r="X164" s="194"/>
      <c r="Y164" s="195"/>
      <c r="Z164" s="196"/>
      <c r="AA164" s="203"/>
      <c r="AB164" s="198"/>
      <c r="AC164" s="199"/>
      <c r="AD164" s="200"/>
      <c r="AE164" s="182"/>
      <c r="AF164" s="201"/>
      <c r="AG164" s="201"/>
    </row>
    <row r="165" spans="1:33" ht="28.5" customHeight="1" thickTop="1" thickBot="1">
      <c r="A165" s="217" t="str">
        <f t="shared" si="5"/>
        <v>#BL25-0002</v>
      </c>
      <c r="B165" s="181"/>
      <c r="C165" s="181"/>
      <c r="D165" s="184"/>
      <c r="E165" s="183"/>
      <c r="F165" s="184" t="str">
        <f t="shared" si="4"/>
        <v>Construction Exemplaire Inc.</v>
      </c>
      <c r="G165" s="184"/>
      <c r="H165" s="183"/>
      <c r="I165" s="182"/>
      <c r="J165" s="185"/>
      <c r="K165" s="185"/>
      <c r="L165" s="185"/>
      <c r="M165" s="187"/>
      <c r="N165" s="185"/>
      <c r="O165" s="188"/>
      <c r="P165" s="188"/>
      <c r="Q165" s="189"/>
      <c r="R165" s="190"/>
      <c r="S165" s="190"/>
      <c r="T165" s="190"/>
      <c r="U165" s="191"/>
      <c r="V165" s="192"/>
      <c r="W165" s="193"/>
      <c r="X165" s="194"/>
      <c r="Y165" s="195"/>
      <c r="Z165" s="196"/>
      <c r="AA165" s="203"/>
      <c r="AB165" s="198"/>
      <c r="AC165" s="199"/>
      <c r="AD165" s="200"/>
      <c r="AE165" s="182"/>
      <c r="AF165" s="201"/>
      <c r="AG165" s="201"/>
    </row>
    <row r="166" spans="1:33" ht="28.5" customHeight="1" thickTop="1" thickBot="1">
      <c r="A166" s="217" t="str">
        <f t="shared" si="5"/>
        <v>#BL25-0002</v>
      </c>
      <c r="B166" s="181"/>
      <c r="C166" s="181"/>
      <c r="D166" s="184"/>
      <c r="E166" s="183"/>
      <c r="F166" s="184" t="str">
        <f t="shared" si="4"/>
        <v>Construction Exemplaire Inc.</v>
      </c>
      <c r="G166" s="184"/>
      <c r="H166" s="183"/>
      <c r="I166" s="182"/>
      <c r="J166" s="185"/>
      <c r="K166" s="185"/>
      <c r="L166" s="185"/>
      <c r="M166" s="187"/>
      <c r="N166" s="185"/>
      <c r="O166" s="188"/>
      <c r="P166" s="188"/>
      <c r="Q166" s="189"/>
      <c r="R166" s="190"/>
      <c r="S166" s="190"/>
      <c r="T166" s="190"/>
      <c r="U166" s="191"/>
      <c r="V166" s="192"/>
      <c r="W166" s="193"/>
      <c r="X166" s="194"/>
      <c r="Y166" s="195"/>
      <c r="Z166" s="196"/>
      <c r="AA166" s="203"/>
      <c r="AB166" s="198"/>
      <c r="AC166" s="199"/>
      <c r="AD166" s="200"/>
      <c r="AE166" s="182"/>
      <c r="AF166" s="201"/>
      <c r="AG166" s="201"/>
    </row>
    <row r="167" spans="1:33" ht="28.5" customHeight="1" thickTop="1" thickBot="1">
      <c r="A167" s="217" t="str">
        <f t="shared" si="5"/>
        <v>#BL25-0002</v>
      </c>
      <c r="B167" s="181"/>
      <c r="C167" s="181"/>
      <c r="D167" s="184"/>
      <c r="E167" s="183"/>
      <c r="F167" s="184" t="str">
        <f t="shared" si="4"/>
        <v>Construction Exemplaire Inc.</v>
      </c>
      <c r="G167" s="184"/>
      <c r="H167" s="183"/>
      <c r="I167" s="182"/>
      <c r="J167" s="185"/>
      <c r="K167" s="185"/>
      <c r="L167" s="185"/>
      <c r="M167" s="187"/>
      <c r="N167" s="185"/>
      <c r="O167" s="188"/>
      <c r="P167" s="188"/>
      <c r="Q167" s="189"/>
      <c r="R167" s="190"/>
      <c r="S167" s="190"/>
      <c r="T167" s="190"/>
      <c r="U167" s="191"/>
      <c r="V167" s="192"/>
      <c r="W167" s="193"/>
      <c r="X167" s="194"/>
      <c r="Y167" s="195"/>
      <c r="Z167" s="196"/>
      <c r="AA167" s="203"/>
      <c r="AB167" s="198"/>
      <c r="AC167" s="199"/>
      <c r="AD167" s="200"/>
      <c r="AE167" s="182"/>
      <c r="AF167" s="201"/>
      <c r="AG167" s="201"/>
    </row>
    <row r="168" spans="1:33" ht="28.5" customHeight="1" thickTop="1" thickBot="1">
      <c r="A168" s="217" t="str">
        <f t="shared" si="5"/>
        <v>#BL25-0002</v>
      </c>
      <c r="B168" s="181"/>
      <c r="C168" s="181"/>
      <c r="D168" s="184"/>
      <c r="E168" s="183"/>
      <c r="F168" s="184" t="str">
        <f t="shared" si="4"/>
        <v>Construction Exemplaire Inc.</v>
      </c>
      <c r="G168" s="184"/>
      <c r="H168" s="183"/>
      <c r="I168" s="182"/>
      <c r="J168" s="185"/>
      <c r="K168" s="185"/>
      <c r="L168" s="185"/>
      <c r="M168" s="187"/>
      <c r="N168" s="185"/>
      <c r="O168" s="188"/>
      <c r="P168" s="188"/>
      <c r="Q168" s="189"/>
      <c r="R168" s="190"/>
      <c r="S168" s="190"/>
      <c r="T168" s="190"/>
      <c r="U168" s="191"/>
      <c r="V168" s="192"/>
      <c r="W168" s="193"/>
      <c r="X168" s="194"/>
      <c r="Y168" s="195"/>
      <c r="Z168" s="196"/>
      <c r="AA168" s="203"/>
      <c r="AB168" s="198"/>
      <c r="AC168" s="199"/>
      <c r="AD168" s="200"/>
      <c r="AE168" s="182"/>
      <c r="AF168" s="201"/>
      <c r="AG168" s="201"/>
    </row>
    <row r="169" spans="1:33" ht="28.5" customHeight="1" thickTop="1" thickBot="1">
      <c r="A169" s="217" t="str">
        <f t="shared" si="5"/>
        <v>#BL25-0002</v>
      </c>
      <c r="B169" s="181"/>
      <c r="C169" s="181"/>
      <c r="D169" s="184"/>
      <c r="E169" s="183"/>
      <c r="F169" s="184" t="str">
        <f t="shared" si="4"/>
        <v>Construction Exemplaire Inc.</v>
      </c>
      <c r="G169" s="184"/>
      <c r="H169" s="183"/>
      <c r="I169" s="182"/>
      <c r="J169" s="185"/>
      <c r="K169" s="185"/>
      <c r="L169" s="185"/>
      <c r="M169" s="187"/>
      <c r="N169" s="185"/>
      <c r="O169" s="188"/>
      <c r="P169" s="188"/>
      <c r="Q169" s="189"/>
      <c r="R169" s="190"/>
      <c r="S169" s="190"/>
      <c r="T169" s="190"/>
      <c r="U169" s="191"/>
      <c r="V169" s="192"/>
      <c r="W169" s="193"/>
      <c r="X169" s="194"/>
      <c r="Y169" s="195"/>
      <c r="Z169" s="196"/>
      <c r="AA169" s="203"/>
      <c r="AB169" s="198"/>
      <c r="AC169" s="199"/>
      <c r="AD169" s="200"/>
      <c r="AE169" s="182"/>
      <c r="AF169" s="201"/>
      <c r="AG169" s="201"/>
    </row>
    <row r="170" spans="1:33" ht="28.5" customHeight="1" thickTop="1" thickBot="1">
      <c r="A170" s="217" t="str">
        <f t="shared" si="5"/>
        <v>#BL25-0002</v>
      </c>
      <c r="B170" s="181"/>
      <c r="C170" s="181"/>
      <c r="D170" s="184"/>
      <c r="E170" s="183"/>
      <c r="F170" s="184" t="str">
        <f t="shared" si="4"/>
        <v>Construction Exemplaire Inc.</v>
      </c>
      <c r="G170" s="184"/>
      <c r="H170" s="183"/>
      <c r="I170" s="182"/>
      <c r="J170" s="185"/>
      <c r="K170" s="185"/>
      <c r="L170" s="185"/>
      <c r="M170" s="187"/>
      <c r="N170" s="185"/>
      <c r="O170" s="188"/>
      <c r="P170" s="188"/>
      <c r="Q170" s="189"/>
      <c r="R170" s="190"/>
      <c r="S170" s="190"/>
      <c r="T170" s="190"/>
      <c r="U170" s="191"/>
      <c r="V170" s="192"/>
      <c r="W170" s="193"/>
      <c r="X170" s="194"/>
      <c r="Y170" s="195"/>
      <c r="Z170" s="196"/>
      <c r="AA170" s="203"/>
      <c r="AB170" s="198"/>
      <c r="AC170" s="199"/>
      <c r="AD170" s="200"/>
      <c r="AE170" s="182"/>
      <c r="AF170" s="201"/>
      <c r="AG170" s="201"/>
    </row>
    <row r="171" spans="1:33" ht="28.5" customHeight="1" thickTop="1" thickBot="1">
      <c r="A171" s="217" t="str">
        <f t="shared" si="5"/>
        <v>#BL25-0002</v>
      </c>
      <c r="B171" s="181"/>
      <c r="C171" s="181"/>
      <c r="D171" s="184"/>
      <c r="E171" s="183"/>
      <c r="F171" s="184" t="str">
        <f t="shared" si="4"/>
        <v>Construction Exemplaire Inc.</v>
      </c>
      <c r="G171" s="184"/>
      <c r="H171" s="183"/>
      <c r="I171" s="182"/>
      <c r="J171" s="185"/>
      <c r="K171" s="185"/>
      <c r="L171" s="185"/>
      <c r="M171" s="187"/>
      <c r="N171" s="185"/>
      <c r="O171" s="188"/>
      <c r="P171" s="188"/>
      <c r="Q171" s="189"/>
      <c r="R171" s="190"/>
      <c r="S171" s="190"/>
      <c r="T171" s="190"/>
      <c r="U171" s="191"/>
      <c r="V171" s="192"/>
      <c r="W171" s="193"/>
      <c r="X171" s="194"/>
      <c r="Y171" s="195"/>
      <c r="Z171" s="196"/>
      <c r="AA171" s="203"/>
      <c r="AB171" s="198"/>
      <c r="AC171" s="199"/>
      <c r="AD171" s="200"/>
      <c r="AE171" s="182"/>
      <c r="AF171" s="201"/>
      <c r="AG171" s="201"/>
    </row>
    <row r="172" spans="1:33" ht="28.5" customHeight="1" thickTop="1" thickBot="1">
      <c r="A172" s="217" t="str">
        <f t="shared" si="5"/>
        <v>#BL25-0002</v>
      </c>
      <c r="B172" s="181"/>
      <c r="C172" s="181"/>
      <c r="D172" s="184"/>
      <c r="E172" s="183"/>
      <c r="F172" s="184" t="str">
        <f t="shared" si="4"/>
        <v>Construction Exemplaire Inc.</v>
      </c>
      <c r="G172" s="184"/>
      <c r="H172" s="183"/>
      <c r="I172" s="182"/>
      <c r="J172" s="185"/>
      <c r="K172" s="185"/>
      <c r="L172" s="185"/>
      <c r="M172" s="187"/>
      <c r="N172" s="185"/>
      <c r="O172" s="188"/>
      <c r="P172" s="188"/>
      <c r="Q172" s="189"/>
      <c r="R172" s="190"/>
      <c r="S172" s="190"/>
      <c r="T172" s="190"/>
      <c r="U172" s="191"/>
      <c r="V172" s="192"/>
      <c r="W172" s="193"/>
      <c r="X172" s="194"/>
      <c r="Y172" s="195"/>
      <c r="Z172" s="196"/>
      <c r="AA172" s="203"/>
      <c r="AB172" s="198"/>
      <c r="AC172" s="199"/>
      <c r="AD172" s="200"/>
      <c r="AE172" s="182"/>
      <c r="AF172" s="201"/>
      <c r="AG172" s="201"/>
    </row>
    <row r="173" spans="1:33" ht="28.5" customHeight="1" thickTop="1" thickBot="1">
      <c r="A173" s="217" t="str">
        <f t="shared" si="5"/>
        <v>#BL25-0002</v>
      </c>
      <c r="B173" s="181"/>
      <c r="C173" s="181"/>
      <c r="D173" s="184"/>
      <c r="E173" s="183"/>
      <c r="F173" s="184" t="str">
        <f t="shared" si="4"/>
        <v>Construction Exemplaire Inc.</v>
      </c>
      <c r="G173" s="184"/>
      <c r="H173" s="183"/>
      <c r="I173" s="182"/>
      <c r="J173" s="185"/>
      <c r="K173" s="185"/>
      <c r="L173" s="185"/>
      <c r="M173" s="187"/>
      <c r="N173" s="185"/>
      <c r="O173" s="188"/>
      <c r="P173" s="188"/>
      <c r="Q173" s="189"/>
      <c r="R173" s="190"/>
      <c r="S173" s="190"/>
      <c r="T173" s="190"/>
      <c r="U173" s="191"/>
      <c r="V173" s="192"/>
      <c r="W173" s="193"/>
      <c r="X173" s="194"/>
      <c r="Y173" s="195"/>
      <c r="Z173" s="196"/>
      <c r="AA173" s="203"/>
      <c r="AB173" s="198"/>
      <c r="AC173" s="199"/>
      <c r="AD173" s="200"/>
      <c r="AE173" s="182"/>
      <c r="AF173" s="201"/>
      <c r="AG173" s="201"/>
    </row>
    <row r="174" spans="1:33" ht="28.5" customHeight="1" thickTop="1" thickBot="1">
      <c r="A174" s="217" t="str">
        <f t="shared" si="5"/>
        <v>#BL25-0002</v>
      </c>
      <c r="B174" s="181"/>
      <c r="C174" s="181"/>
      <c r="D174" s="184"/>
      <c r="E174" s="183"/>
      <c r="F174" s="184" t="str">
        <f t="shared" si="4"/>
        <v>Construction Exemplaire Inc.</v>
      </c>
      <c r="G174" s="184"/>
      <c r="H174" s="183"/>
      <c r="I174" s="182"/>
      <c r="J174" s="185"/>
      <c r="K174" s="185"/>
      <c r="L174" s="185"/>
      <c r="M174" s="187"/>
      <c r="N174" s="185"/>
      <c r="O174" s="188"/>
      <c r="P174" s="188"/>
      <c r="Q174" s="189"/>
      <c r="R174" s="190"/>
      <c r="S174" s="190"/>
      <c r="T174" s="190"/>
      <c r="U174" s="191"/>
      <c r="V174" s="192"/>
      <c r="W174" s="193"/>
      <c r="X174" s="194"/>
      <c r="Y174" s="195"/>
      <c r="Z174" s="196"/>
      <c r="AA174" s="203"/>
      <c r="AB174" s="198"/>
      <c r="AC174" s="199"/>
      <c r="AD174" s="200"/>
      <c r="AE174" s="182"/>
      <c r="AF174" s="201"/>
      <c r="AG174" s="201"/>
    </row>
    <row r="175" spans="1:33" ht="28.5" customHeight="1" thickTop="1" thickBot="1">
      <c r="A175" s="217" t="str">
        <f t="shared" si="5"/>
        <v>#BL25-0002</v>
      </c>
      <c r="B175" s="181"/>
      <c r="C175" s="181"/>
      <c r="D175" s="184"/>
      <c r="E175" s="183"/>
      <c r="F175" s="184" t="str">
        <f t="shared" si="4"/>
        <v>Construction Exemplaire Inc.</v>
      </c>
      <c r="G175" s="184"/>
      <c r="H175" s="183"/>
      <c r="I175" s="182"/>
      <c r="J175" s="185"/>
      <c r="K175" s="185"/>
      <c r="L175" s="185"/>
      <c r="M175" s="187"/>
      <c r="N175" s="185"/>
      <c r="O175" s="188"/>
      <c r="P175" s="188"/>
      <c r="Q175" s="189"/>
      <c r="R175" s="190"/>
      <c r="S175" s="190"/>
      <c r="T175" s="190"/>
      <c r="U175" s="191"/>
      <c r="V175" s="192"/>
      <c r="W175" s="193"/>
      <c r="X175" s="194"/>
      <c r="Y175" s="195"/>
      <c r="Z175" s="196"/>
      <c r="AA175" s="203"/>
      <c r="AB175" s="198"/>
      <c r="AC175" s="199"/>
      <c r="AD175" s="200"/>
      <c r="AE175" s="182"/>
      <c r="AF175" s="201"/>
      <c r="AG175" s="201"/>
    </row>
    <row r="176" spans="1:33" ht="28.5" customHeight="1" thickTop="1" thickBot="1">
      <c r="A176" s="217" t="str">
        <f t="shared" si="5"/>
        <v>#BL25-0002</v>
      </c>
      <c r="B176" s="181"/>
      <c r="C176" s="181"/>
      <c r="D176" s="184"/>
      <c r="E176" s="183"/>
      <c r="F176" s="184" t="str">
        <f t="shared" si="4"/>
        <v>Construction Exemplaire Inc.</v>
      </c>
      <c r="G176" s="184"/>
      <c r="H176" s="183"/>
      <c r="I176" s="182"/>
      <c r="J176" s="185"/>
      <c r="K176" s="185"/>
      <c r="L176" s="185"/>
      <c r="M176" s="187"/>
      <c r="N176" s="185"/>
      <c r="O176" s="188"/>
      <c r="P176" s="188"/>
      <c r="Q176" s="189"/>
      <c r="R176" s="190"/>
      <c r="S176" s="190"/>
      <c r="T176" s="190"/>
      <c r="U176" s="191"/>
      <c r="V176" s="192"/>
      <c r="W176" s="193"/>
      <c r="X176" s="194"/>
      <c r="Y176" s="195"/>
      <c r="Z176" s="196"/>
      <c r="AA176" s="203"/>
      <c r="AB176" s="198"/>
      <c r="AC176" s="199"/>
      <c r="AD176" s="200"/>
      <c r="AE176" s="182"/>
      <c r="AF176" s="201"/>
      <c r="AG176" s="201"/>
    </row>
    <row r="177" spans="1:33" ht="28.5" customHeight="1" thickTop="1" thickBot="1">
      <c r="A177" s="217" t="str">
        <f t="shared" si="5"/>
        <v>#BL25-0002</v>
      </c>
      <c r="B177" s="181"/>
      <c r="C177" s="181"/>
      <c r="D177" s="184"/>
      <c r="E177" s="183"/>
      <c r="F177" s="184" t="str">
        <f t="shared" si="4"/>
        <v>Construction Exemplaire Inc.</v>
      </c>
      <c r="G177" s="184"/>
      <c r="H177" s="183"/>
      <c r="I177" s="182"/>
      <c r="J177" s="185"/>
      <c r="K177" s="185"/>
      <c r="L177" s="185"/>
      <c r="M177" s="187"/>
      <c r="N177" s="185"/>
      <c r="O177" s="188"/>
      <c r="P177" s="188"/>
      <c r="Q177" s="189"/>
      <c r="R177" s="190"/>
      <c r="S177" s="190"/>
      <c r="T177" s="190"/>
      <c r="U177" s="191"/>
      <c r="V177" s="192"/>
      <c r="W177" s="193"/>
      <c r="X177" s="194"/>
      <c r="Y177" s="195"/>
      <c r="Z177" s="196"/>
      <c r="AA177" s="203"/>
      <c r="AB177" s="198"/>
      <c r="AC177" s="199"/>
      <c r="AD177" s="200"/>
      <c r="AE177" s="182"/>
      <c r="AF177" s="201"/>
      <c r="AG177" s="201"/>
    </row>
    <row r="178" spans="1:33" ht="28.5" customHeight="1" thickTop="1" thickBot="1">
      <c r="A178" s="217" t="str">
        <f t="shared" si="5"/>
        <v>#BL25-0002</v>
      </c>
      <c r="B178" s="181"/>
      <c r="C178" s="181"/>
      <c r="D178" s="184"/>
      <c r="E178" s="183"/>
      <c r="F178" s="184" t="str">
        <f t="shared" si="4"/>
        <v>Construction Exemplaire Inc.</v>
      </c>
      <c r="G178" s="184"/>
      <c r="H178" s="183"/>
      <c r="I178" s="182"/>
      <c r="J178" s="185"/>
      <c r="K178" s="185"/>
      <c r="L178" s="185"/>
      <c r="M178" s="187"/>
      <c r="N178" s="185"/>
      <c r="O178" s="188"/>
      <c r="P178" s="188"/>
      <c r="Q178" s="189"/>
      <c r="R178" s="190"/>
      <c r="S178" s="190"/>
      <c r="T178" s="190"/>
      <c r="U178" s="191"/>
      <c r="V178" s="192"/>
      <c r="W178" s="193"/>
      <c r="X178" s="194"/>
      <c r="Y178" s="195"/>
      <c r="Z178" s="196"/>
      <c r="AA178" s="203"/>
      <c r="AB178" s="198"/>
      <c r="AC178" s="199"/>
      <c r="AD178" s="200"/>
      <c r="AE178" s="182"/>
      <c r="AF178" s="201"/>
      <c r="AG178" s="201"/>
    </row>
    <row r="179" spans="1:33" ht="28.5" customHeight="1" thickTop="1" thickBot="1">
      <c r="A179" s="217" t="str">
        <f t="shared" si="5"/>
        <v>#BL25-0002</v>
      </c>
      <c r="B179" s="181"/>
      <c r="C179" s="181"/>
      <c r="D179" s="184"/>
      <c r="E179" s="183"/>
      <c r="F179" s="184" t="str">
        <f t="shared" si="4"/>
        <v>Construction Exemplaire Inc.</v>
      </c>
      <c r="G179" s="184"/>
      <c r="H179" s="183"/>
      <c r="I179" s="182"/>
      <c r="J179" s="185"/>
      <c r="K179" s="185"/>
      <c r="L179" s="185"/>
      <c r="M179" s="187"/>
      <c r="N179" s="185"/>
      <c r="O179" s="188"/>
      <c r="P179" s="188"/>
      <c r="Q179" s="189"/>
      <c r="R179" s="190"/>
      <c r="S179" s="190"/>
      <c r="T179" s="190"/>
      <c r="U179" s="191"/>
      <c r="V179" s="192"/>
      <c r="W179" s="193"/>
      <c r="X179" s="194"/>
      <c r="Y179" s="195"/>
      <c r="Z179" s="196"/>
      <c r="AA179" s="203"/>
      <c r="AB179" s="198"/>
      <c r="AC179" s="199"/>
      <c r="AD179" s="200"/>
      <c r="AE179" s="182"/>
      <c r="AF179" s="201"/>
      <c r="AG179" s="201"/>
    </row>
    <row r="180" spans="1:33" ht="28.5" customHeight="1" thickTop="1" thickBot="1">
      <c r="A180" s="217" t="str">
        <f t="shared" si="5"/>
        <v>#BL25-0002</v>
      </c>
      <c r="B180" s="181"/>
      <c r="C180" s="181"/>
      <c r="D180" s="184"/>
      <c r="E180" s="183"/>
      <c r="F180" s="184" t="str">
        <f t="shared" si="4"/>
        <v>Construction Exemplaire Inc.</v>
      </c>
      <c r="G180" s="184"/>
      <c r="H180" s="183"/>
      <c r="I180" s="182"/>
      <c r="J180" s="185"/>
      <c r="K180" s="185"/>
      <c r="L180" s="185"/>
      <c r="M180" s="187"/>
      <c r="N180" s="185"/>
      <c r="O180" s="188"/>
      <c r="P180" s="188"/>
      <c r="Q180" s="189"/>
      <c r="R180" s="190"/>
      <c r="S180" s="190"/>
      <c r="T180" s="190"/>
      <c r="U180" s="191"/>
      <c r="V180" s="192"/>
      <c r="W180" s="193"/>
      <c r="X180" s="194"/>
      <c r="Y180" s="195"/>
      <c r="Z180" s="196"/>
      <c r="AA180" s="203"/>
      <c r="AB180" s="198"/>
      <c r="AC180" s="199"/>
      <c r="AD180" s="200"/>
      <c r="AE180" s="182"/>
      <c r="AF180" s="201"/>
      <c r="AG180" s="201"/>
    </row>
    <row r="181" spans="1:33" ht="28.5" customHeight="1" thickTop="1" thickBot="1">
      <c r="A181" s="217" t="str">
        <f t="shared" si="5"/>
        <v>#BL25-0002</v>
      </c>
      <c r="B181" s="181"/>
      <c r="C181" s="181"/>
      <c r="D181" s="184"/>
      <c r="E181" s="183"/>
      <c r="F181" s="184" t="str">
        <f t="shared" si="4"/>
        <v>Construction Exemplaire Inc.</v>
      </c>
      <c r="G181" s="184"/>
      <c r="H181" s="183"/>
      <c r="I181" s="182"/>
      <c r="J181" s="185"/>
      <c r="K181" s="185"/>
      <c r="L181" s="185"/>
      <c r="M181" s="187"/>
      <c r="N181" s="185"/>
      <c r="O181" s="188"/>
      <c r="P181" s="188"/>
      <c r="Q181" s="189"/>
      <c r="R181" s="190"/>
      <c r="S181" s="190"/>
      <c r="T181" s="190"/>
      <c r="U181" s="191"/>
      <c r="V181" s="192"/>
      <c r="W181" s="193"/>
      <c r="X181" s="194"/>
      <c r="Y181" s="195"/>
      <c r="Z181" s="196"/>
      <c r="AA181" s="203"/>
      <c r="AB181" s="198"/>
      <c r="AC181" s="199"/>
      <c r="AD181" s="200"/>
      <c r="AE181" s="182"/>
      <c r="AF181" s="201"/>
      <c r="AG181" s="201"/>
    </row>
    <row r="182" spans="1:33" ht="28.5" customHeight="1" thickTop="1" thickBot="1">
      <c r="A182" s="217" t="str">
        <f t="shared" si="5"/>
        <v>#BL25-0002</v>
      </c>
      <c r="B182" s="181"/>
      <c r="C182" s="181"/>
      <c r="D182" s="184"/>
      <c r="E182" s="183"/>
      <c r="F182" s="184" t="str">
        <f t="shared" si="4"/>
        <v>Construction Exemplaire Inc.</v>
      </c>
      <c r="G182" s="184"/>
      <c r="H182" s="183"/>
      <c r="I182" s="182"/>
      <c r="J182" s="185"/>
      <c r="K182" s="185"/>
      <c r="L182" s="185"/>
      <c r="M182" s="187"/>
      <c r="N182" s="185"/>
      <c r="O182" s="188"/>
      <c r="P182" s="188"/>
      <c r="Q182" s="189"/>
      <c r="R182" s="190"/>
      <c r="S182" s="190"/>
      <c r="T182" s="190"/>
      <c r="U182" s="191"/>
      <c r="V182" s="192"/>
      <c r="W182" s="193"/>
      <c r="X182" s="194"/>
      <c r="Y182" s="195"/>
      <c r="Z182" s="196"/>
      <c r="AA182" s="203"/>
      <c r="AB182" s="198"/>
      <c r="AC182" s="199"/>
      <c r="AD182" s="200"/>
      <c r="AE182" s="182"/>
      <c r="AF182" s="201"/>
      <c r="AG182" s="201"/>
    </row>
    <row r="183" spans="1:33" ht="28.5" customHeight="1" thickTop="1" thickBot="1">
      <c r="A183" s="217" t="str">
        <f t="shared" si="5"/>
        <v>#BL25-0002</v>
      </c>
      <c r="B183" s="181"/>
      <c r="C183" s="181"/>
      <c r="D183" s="184"/>
      <c r="E183" s="183"/>
      <c r="F183" s="184" t="str">
        <f t="shared" si="4"/>
        <v>Construction Exemplaire Inc.</v>
      </c>
      <c r="G183" s="184"/>
      <c r="H183" s="183"/>
      <c r="I183" s="182"/>
      <c r="J183" s="185"/>
      <c r="K183" s="185"/>
      <c r="L183" s="185"/>
      <c r="M183" s="187"/>
      <c r="N183" s="185"/>
      <c r="O183" s="188"/>
      <c r="P183" s="188"/>
      <c r="Q183" s="189"/>
      <c r="R183" s="190"/>
      <c r="S183" s="190"/>
      <c r="T183" s="190"/>
      <c r="U183" s="191"/>
      <c r="V183" s="192"/>
      <c r="W183" s="193"/>
      <c r="X183" s="194"/>
      <c r="Y183" s="195"/>
      <c r="Z183" s="196"/>
      <c r="AA183" s="203"/>
      <c r="AB183" s="198"/>
      <c r="AC183" s="199"/>
      <c r="AD183" s="200"/>
      <c r="AE183" s="182"/>
      <c r="AF183" s="201"/>
      <c r="AG183" s="201"/>
    </row>
    <row r="184" spans="1:33" ht="28.5" customHeight="1" thickTop="1" thickBot="1">
      <c r="A184" s="217" t="str">
        <f t="shared" si="5"/>
        <v>#BL25-0002</v>
      </c>
      <c r="B184" s="181"/>
      <c r="C184" s="181"/>
      <c r="D184" s="184"/>
      <c r="E184" s="183"/>
      <c r="F184" s="184" t="str">
        <f t="shared" si="4"/>
        <v>Construction Exemplaire Inc.</v>
      </c>
      <c r="G184" s="184"/>
      <c r="H184" s="183"/>
      <c r="I184" s="182"/>
      <c r="J184" s="185"/>
      <c r="K184" s="185"/>
      <c r="L184" s="185"/>
      <c r="M184" s="187"/>
      <c r="N184" s="185"/>
      <c r="O184" s="188"/>
      <c r="P184" s="188"/>
      <c r="Q184" s="189"/>
      <c r="R184" s="190"/>
      <c r="S184" s="190"/>
      <c r="T184" s="190"/>
      <c r="U184" s="191"/>
      <c r="V184" s="192"/>
      <c r="W184" s="193"/>
      <c r="X184" s="194"/>
      <c r="Y184" s="195"/>
      <c r="Z184" s="196"/>
      <c r="AA184" s="203"/>
      <c r="AB184" s="198"/>
      <c r="AC184" s="199"/>
      <c r="AD184" s="200"/>
      <c r="AE184" s="182"/>
      <c r="AF184" s="201"/>
      <c r="AG184" s="201"/>
    </row>
    <row r="185" spans="1:33" ht="28.5" customHeight="1" thickTop="1" thickBot="1">
      <c r="A185" s="217" t="str">
        <f t="shared" si="5"/>
        <v>#BL25-0002</v>
      </c>
      <c r="B185" s="181"/>
      <c r="C185" s="181"/>
      <c r="D185" s="184"/>
      <c r="E185" s="183"/>
      <c r="F185" s="184" t="str">
        <f t="shared" si="4"/>
        <v>Construction Exemplaire Inc.</v>
      </c>
      <c r="G185" s="184"/>
      <c r="H185" s="183"/>
      <c r="I185" s="182"/>
      <c r="J185" s="185"/>
      <c r="K185" s="185"/>
      <c r="L185" s="185"/>
      <c r="M185" s="187"/>
      <c r="N185" s="185"/>
      <c r="O185" s="188"/>
      <c r="P185" s="188"/>
      <c r="Q185" s="189"/>
      <c r="R185" s="190"/>
      <c r="S185" s="190"/>
      <c r="T185" s="190"/>
      <c r="U185" s="191"/>
      <c r="V185" s="192"/>
      <c r="W185" s="193"/>
      <c r="X185" s="194"/>
      <c r="Y185" s="195"/>
      <c r="Z185" s="196"/>
      <c r="AA185" s="203"/>
      <c r="AB185" s="198"/>
      <c r="AC185" s="199"/>
      <c r="AD185" s="200"/>
      <c r="AE185" s="182"/>
      <c r="AF185" s="201"/>
      <c r="AG185" s="201"/>
    </row>
    <row r="186" spans="1:33" ht="28.5" customHeight="1" thickTop="1" thickBot="1">
      <c r="A186" s="217" t="str">
        <f t="shared" si="5"/>
        <v>#BL25-0002</v>
      </c>
      <c r="B186" s="181"/>
      <c r="C186" s="181"/>
      <c r="D186" s="184"/>
      <c r="E186" s="183"/>
      <c r="F186" s="184" t="str">
        <f t="shared" si="4"/>
        <v>Construction Exemplaire Inc.</v>
      </c>
      <c r="G186" s="184"/>
      <c r="H186" s="183"/>
      <c r="I186" s="182"/>
      <c r="J186" s="185"/>
      <c r="K186" s="185"/>
      <c r="L186" s="185"/>
      <c r="M186" s="187"/>
      <c r="N186" s="185"/>
      <c r="O186" s="188"/>
      <c r="P186" s="188"/>
      <c r="Q186" s="189"/>
      <c r="R186" s="190"/>
      <c r="S186" s="190"/>
      <c r="T186" s="190"/>
      <c r="U186" s="191"/>
      <c r="V186" s="192"/>
      <c r="W186" s="193"/>
      <c r="X186" s="194"/>
      <c r="Y186" s="195"/>
      <c r="Z186" s="196"/>
      <c r="AA186" s="203"/>
      <c r="AB186" s="198"/>
      <c r="AC186" s="199"/>
      <c r="AD186" s="200"/>
      <c r="AE186" s="182"/>
      <c r="AF186" s="201"/>
      <c r="AG186" s="201"/>
    </row>
    <row r="187" spans="1:33" ht="28.5" customHeight="1" thickTop="1" thickBot="1">
      <c r="A187" s="217" t="str">
        <f t="shared" si="5"/>
        <v>#BL25-0002</v>
      </c>
      <c r="B187" s="181"/>
      <c r="C187" s="181"/>
      <c r="D187" s="184"/>
      <c r="E187" s="183"/>
      <c r="F187" s="184" t="str">
        <f t="shared" si="4"/>
        <v>Construction Exemplaire Inc.</v>
      </c>
      <c r="G187" s="184"/>
      <c r="H187" s="183"/>
      <c r="I187" s="182"/>
      <c r="J187" s="185"/>
      <c r="K187" s="185"/>
      <c r="L187" s="185"/>
      <c r="M187" s="187"/>
      <c r="N187" s="185"/>
      <c r="O187" s="188"/>
      <c r="P187" s="188"/>
      <c r="Q187" s="189"/>
      <c r="R187" s="190"/>
      <c r="S187" s="190"/>
      <c r="T187" s="190"/>
      <c r="U187" s="191"/>
      <c r="V187" s="192"/>
      <c r="W187" s="193"/>
      <c r="X187" s="194"/>
      <c r="Y187" s="195"/>
      <c r="Z187" s="196"/>
      <c r="AA187" s="203"/>
      <c r="AB187" s="198"/>
      <c r="AC187" s="199"/>
      <c r="AD187" s="200"/>
      <c r="AE187" s="182"/>
      <c r="AF187" s="201"/>
      <c r="AG187" s="201"/>
    </row>
    <row r="188" spans="1:33" ht="28.5" customHeight="1" thickTop="1" thickBot="1">
      <c r="A188" s="217" t="str">
        <f t="shared" si="5"/>
        <v>#BL25-0002</v>
      </c>
      <c r="B188" s="181"/>
      <c r="C188" s="181"/>
      <c r="D188" s="184"/>
      <c r="E188" s="183"/>
      <c r="F188" s="184" t="str">
        <f t="shared" si="4"/>
        <v>Construction Exemplaire Inc.</v>
      </c>
      <c r="G188" s="184"/>
      <c r="H188" s="183"/>
      <c r="I188" s="182"/>
      <c r="J188" s="185"/>
      <c r="K188" s="185"/>
      <c r="L188" s="185"/>
      <c r="M188" s="187"/>
      <c r="N188" s="185"/>
      <c r="O188" s="188"/>
      <c r="P188" s="188"/>
      <c r="Q188" s="189"/>
      <c r="R188" s="190"/>
      <c r="S188" s="190"/>
      <c r="T188" s="190"/>
      <c r="U188" s="191"/>
      <c r="V188" s="192"/>
      <c r="W188" s="193"/>
      <c r="X188" s="194"/>
      <c r="Y188" s="195"/>
      <c r="Z188" s="196"/>
      <c r="AA188" s="203"/>
      <c r="AB188" s="198"/>
      <c r="AC188" s="199"/>
      <c r="AD188" s="200"/>
      <c r="AE188" s="182"/>
      <c r="AF188" s="201"/>
      <c r="AG188" s="201"/>
    </row>
    <row r="189" spans="1:33" ht="28.5" customHeight="1" thickTop="1" thickBot="1">
      <c r="A189" s="217" t="str">
        <f t="shared" si="5"/>
        <v>#BL25-0002</v>
      </c>
      <c r="B189" s="181"/>
      <c r="C189" s="181"/>
      <c r="D189" s="184"/>
      <c r="E189" s="183"/>
      <c r="F189" s="184" t="str">
        <f t="shared" si="4"/>
        <v>Construction Exemplaire Inc.</v>
      </c>
      <c r="G189" s="184"/>
      <c r="H189" s="183"/>
      <c r="I189" s="182"/>
      <c r="J189" s="185"/>
      <c r="K189" s="185"/>
      <c r="L189" s="185"/>
      <c r="M189" s="187"/>
      <c r="N189" s="185"/>
      <c r="O189" s="188"/>
      <c r="P189" s="188"/>
      <c r="Q189" s="189"/>
      <c r="R189" s="190"/>
      <c r="S189" s="190"/>
      <c r="T189" s="190"/>
      <c r="U189" s="191"/>
      <c r="V189" s="192"/>
      <c r="W189" s="193"/>
      <c r="X189" s="194"/>
      <c r="Y189" s="195"/>
      <c r="Z189" s="196"/>
      <c r="AA189" s="203"/>
      <c r="AB189" s="198"/>
      <c r="AC189" s="199"/>
      <c r="AD189" s="200"/>
      <c r="AE189" s="182"/>
      <c r="AF189" s="201"/>
      <c r="AG189" s="201"/>
    </row>
    <row r="190" spans="1:33" ht="28.5" customHeight="1" thickTop="1" thickBot="1">
      <c r="A190" s="217" t="str">
        <f t="shared" si="5"/>
        <v>#BL25-0002</v>
      </c>
      <c r="B190" s="181"/>
      <c r="C190" s="181"/>
      <c r="D190" s="184"/>
      <c r="E190" s="183"/>
      <c r="F190" s="184" t="str">
        <f t="shared" si="4"/>
        <v>Construction Exemplaire Inc.</v>
      </c>
      <c r="G190" s="184"/>
      <c r="H190" s="183"/>
      <c r="I190" s="182"/>
      <c r="J190" s="185"/>
      <c r="K190" s="185"/>
      <c r="L190" s="185"/>
      <c r="M190" s="187"/>
      <c r="N190" s="185"/>
      <c r="O190" s="188"/>
      <c r="P190" s="188"/>
      <c r="Q190" s="189"/>
      <c r="R190" s="190"/>
      <c r="S190" s="190"/>
      <c r="T190" s="190"/>
      <c r="U190" s="191"/>
      <c r="V190" s="192"/>
      <c r="W190" s="193"/>
      <c r="X190" s="194"/>
      <c r="Y190" s="195"/>
      <c r="Z190" s="196"/>
      <c r="AA190" s="203"/>
      <c r="AB190" s="198"/>
      <c r="AC190" s="199"/>
      <c r="AD190" s="200"/>
      <c r="AE190" s="182"/>
      <c r="AF190" s="201"/>
      <c r="AG190" s="201"/>
    </row>
    <row r="191" spans="1:33" ht="28.5" customHeight="1" thickTop="1" thickBot="1">
      <c r="A191" s="217" t="str">
        <f t="shared" si="5"/>
        <v>#BL25-0002</v>
      </c>
      <c r="B191" s="181"/>
      <c r="C191" s="181"/>
      <c r="D191" s="184"/>
      <c r="E191" s="183"/>
      <c r="F191" s="184" t="str">
        <f t="shared" si="4"/>
        <v>Construction Exemplaire Inc.</v>
      </c>
      <c r="G191" s="184"/>
      <c r="H191" s="183"/>
      <c r="I191" s="182"/>
      <c r="J191" s="185"/>
      <c r="K191" s="185"/>
      <c r="L191" s="185"/>
      <c r="M191" s="187"/>
      <c r="N191" s="185"/>
      <c r="O191" s="188"/>
      <c r="P191" s="188"/>
      <c r="Q191" s="189"/>
      <c r="R191" s="190"/>
      <c r="S191" s="190"/>
      <c r="T191" s="190"/>
      <c r="U191" s="191"/>
      <c r="V191" s="192"/>
      <c r="W191" s="193"/>
      <c r="X191" s="194"/>
      <c r="Y191" s="195"/>
      <c r="Z191" s="196"/>
      <c r="AA191" s="203"/>
      <c r="AB191" s="198"/>
      <c r="AC191" s="199"/>
      <c r="AD191" s="200"/>
      <c r="AE191" s="182"/>
      <c r="AF191" s="201"/>
      <c r="AG191" s="201"/>
    </row>
    <row r="192" spans="1:33" ht="28.5" customHeight="1" thickTop="1" thickBot="1">
      <c r="A192" s="217" t="str">
        <f t="shared" si="5"/>
        <v>#BL25-0002</v>
      </c>
      <c r="B192" s="181"/>
      <c r="C192" s="181"/>
      <c r="D192" s="184"/>
      <c r="E192" s="183"/>
      <c r="F192" s="184" t="str">
        <f t="shared" si="4"/>
        <v>Construction Exemplaire Inc.</v>
      </c>
      <c r="G192" s="184"/>
      <c r="H192" s="183"/>
      <c r="I192" s="182"/>
      <c r="J192" s="185"/>
      <c r="K192" s="185"/>
      <c r="L192" s="185"/>
      <c r="M192" s="187"/>
      <c r="N192" s="185"/>
      <c r="O192" s="188"/>
      <c r="P192" s="188"/>
      <c r="Q192" s="189"/>
      <c r="R192" s="190"/>
      <c r="S192" s="190"/>
      <c r="T192" s="190"/>
      <c r="U192" s="191"/>
      <c r="V192" s="192"/>
      <c r="W192" s="193"/>
      <c r="X192" s="194"/>
      <c r="Y192" s="195"/>
      <c r="Z192" s="196"/>
      <c r="AA192" s="203"/>
      <c r="AB192" s="198"/>
      <c r="AC192" s="199"/>
      <c r="AD192" s="200"/>
      <c r="AE192" s="182"/>
      <c r="AF192" s="201"/>
      <c r="AG192" s="201"/>
    </row>
    <row r="193" spans="1:33" ht="28.5" customHeight="1" thickTop="1" thickBot="1">
      <c r="A193" s="217" t="str">
        <f t="shared" si="5"/>
        <v>#BL25-0002</v>
      </c>
      <c r="B193" s="181"/>
      <c r="C193" s="181"/>
      <c r="D193" s="184"/>
      <c r="E193" s="183"/>
      <c r="F193" s="184" t="str">
        <f t="shared" si="4"/>
        <v>Construction Exemplaire Inc.</v>
      </c>
      <c r="G193" s="184"/>
      <c r="H193" s="183"/>
      <c r="I193" s="182"/>
      <c r="J193" s="185"/>
      <c r="K193" s="185"/>
      <c r="L193" s="185"/>
      <c r="M193" s="187"/>
      <c r="N193" s="185"/>
      <c r="O193" s="188"/>
      <c r="P193" s="188"/>
      <c r="Q193" s="189"/>
      <c r="R193" s="190"/>
      <c r="S193" s="190"/>
      <c r="T193" s="190"/>
      <c r="U193" s="191"/>
      <c r="V193" s="192"/>
      <c r="W193" s="193"/>
      <c r="X193" s="194"/>
      <c r="Y193" s="195"/>
      <c r="Z193" s="196"/>
      <c r="AA193" s="203"/>
      <c r="AB193" s="198"/>
      <c r="AC193" s="199"/>
      <c r="AD193" s="200"/>
      <c r="AE193" s="182"/>
      <c r="AF193" s="201"/>
      <c r="AG193" s="201"/>
    </row>
    <row r="194" spans="1:33" ht="28.5" customHeight="1" thickTop="1" thickBot="1">
      <c r="A194" s="217" t="str">
        <f t="shared" si="5"/>
        <v>#BL25-0002</v>
      </c>
      <c r="B194" s="181"/>
      <c r="C194" s="181"/>
      <c r="D194" s="184"/>
      <c r="E194" s="183"/>
      <c r="F194" s="184" t="str">
        <f t="shared" si="4"/>
        <v>Construction Exemplaire Inc.</v>
      </c>
      <c r="G194" s="184"/>
      <c r="H194" s="183"/>
      <c r="I194" s="182"/>
      <c r="J194" s="185"/>
      <c r="K194" s="185"/>
      <c r="L194" s="185"/>
      <c r="M194" s="187"/>
      <c r="N194" s="185"/>
      <c r="O194" s="188"/>
      <c r="P194" s="188"/>
      <c r="Q194" s="189"/>
      <c r="R194" s="190"/>
      <c r="S194" s="190"/>
      <c r="T194" s="190"/>
      <c r="U194" s="191"/>
      <c r="V194" s="192"/>
      <c r="W194" s="193"/>
      <c r="X194" s="194"/>
      <c r="Y194" s="195"/>
      <c r="Z194" s="196"/>
      <c r="AA194" s="203"/>
      <c r="AB194" s="198"/>
      <c r="AC194" s="199"/>
      <c r="AD194" s="200"/>
      <c r="AE194" s="182"/>
      <c r="AF194" s="201"/>
      <c r="AG194" s="201"/>
    </row>
    <row r="195" spans="1:33" ht="28.5" customHeight="1" thickTop="1" thickBot="1">
      <c r="A195" s="217" t="str">
        <f t="shared" si="5"/>
        <v>#BL25-0002</v>
      </c>
      <c r="B195" s="181"/>
      <c r="C195" s="181"/>
      <c r="D195" s="184"/>
      <c r="E195" s="183"/>
      <c r="F195" s="184" t="str">
        <f t="shared" si="4"/>
        <v>Construction Exemplaire Inc.</v>
      </c>
      <c r="G195" s="184"/>
      <c r="H195" s="183"/>
      <c r="I195" s="182"/>
      <c r="J195" s="185"/>
      <c r="K195" s="185"/>
      <c r="L195" s="185"/>
      <c r="M195" s="187"/>
      <c r="N195" s="185"/>
      <c r="O195" s="188"/>
      <c r="P195" s="188"/>
      <c r="Q195" s="189"/>
      <c r="R195" s="190"/>
      <c r="S195" s="190"/>
      <c r="T195" s="190"/>
      <c r="U195" s="191"/>
      <c r="V195" s="192"/>
      <c r="W195" s="193"/>
      <c r="X195" s="194"/>
      <c r="Y195" s="195"/>
      <c r="Z195" s="196"/>
      <c r="AA195" s="203"/>
      <c r="AB195" s="198"/>
      <c r="AC195" s="199"/>
      <c r="AD195" s="200"/>
      <c r="AE195" s="182"/>
      <c r="AF195" s="201"/>
      <c r="AG195" s="201"/>
    </row>
    <row r="196" spans="1:33" ht="28.5" customHeight="1" thickTop="1" thickBot="1">
      <c r="A196" s="217" t="str">
        <f t="shared" si="5"/>
        <v>#BL25-0002</v>
      </c>
      <c r="B196" s="181"/>
      <c r="C196" s="181"/>
      <c r="D196" s="184"/>
      <c r="E196" s="183"/>
      <c r="F196" s="184" t="str">
        <f t="shared" si="4"/>
        <v>Construction Exemplaire Inc.</v>
      </c>
      <c r="G196" s="184"/>
      <c r="H196" s="183"/>
      <c r="I196" s="182"/>
      <c r="J196" s="185"/>
      <c r="K196" s="185"/>
      <c r="L196" s="185"/>
      <c r="M196" s="187"/>
      <c r="N196" s="185"/>
      <c r="O196" s="188"/>
      <c r="P196" s="188"/>
      <c r="Q196" s="189"/>
      <c r="R196" s="190"/>
      <c r="S196" s="190"/>
      <c r="T196" s="190"/>
      <c r="U196" s="191"/>
      <c r="V196" s="192"/>
      <c r="W196" s="193"/>
      <c r="X196" s="194"/>
      <c r="Y196" s="195"/>
      <c r="Z196" s="196"/>
      <c r="AA196" s="203"/>
      <c r="AB196" s="198"/>
      <c r="AC196" s="199"/>
      <c r="AD196" s="200"/>
      <c r="AE196" s="182"/>
      <c r="AF196" s="201"/>
      <c r="AG196" s="201"/>
    </row>
    <row r="197" spans="1:33" ht="28.5" customHeight="1" thickTop="1" thickBot="1">
      <c r="A197" s="217" t="str">
        <f t="shared" si="5"/>
        <v>#BL25-0002</v>
      </c>
      <c r="B197" s="181"/>
      <c r="C197" s="181"/>
      <c r="D197" s="184"/>
      <c r="E197" s="183"/>
      <c r="F197" s="184" t="str">
        <f t="shared" si="4"/>
        <v>Construction Exemplaire Inc.</v>
      </c>
      <c r="G197" s="184"/>
      <c r="H197" s="183"/>
      <c r="I197" s="182"/>
      <c r="J197" s="185"/>
      <c r="K197" s="185"/>
      <c r="L197" s="185"/>
      <c r="M197" s="187"/>
      <c r="N197" s="185"/>
      <c r="O197" s="188"/>
      <c r="P197" s="188"/>
      <c r="Q197" s="189"/>
      <c r="R197" s="190"/>
      <c r="S197" s="190"/>
      <c r="T197" s="190"/>
      <c r="U197" s="191"/>
      <c r="V197" s="192"/>
      <c r="W197" s="193"/>
      <c r="X197" s="194"/>
      <c r="Y197" s="195"/>
      <c r="Z197" s="196"/>
      <c r="AA197" s="203"/>
      <c r="AB197" s="198"/>
      <c r="AC197" s="199"/>
      <c r="AD197" s="200"/>
      <c r="AE197" s="182"/>
      <c r="AF197" s="201"/>
      <c r="AG197" s="201"/>
    </row>
    <row r="198" spans="1:33" ht="28.5" customHeight="1" thickTop="1" thickBot="1">
      <c r="A198" s="217" t="str">
        <f t="shared" si="5"/>
        <v>#BL25-0002</v>
      </c>
      <c r="B198" s="181"/>
      <c r="C198" s="181"/>
      <c r="D198" s="184"/>
      <c r="E198" s="183"/>
      <c r="F198" s="184" t="str">
        <f t="shared" si="4"/>
        <v>Construction Exemplaire Inc.</v>
      </c>
      <c r="G198" s="184"/>
      <c r="H198" s="183"/>
      <c r="I198" s="182"/>
      <c r="J198" s="185"/>
      <c r="K198" s="185"/>
      <c r="L198" s="185"/>
      <c r="M198" s="187"/>
      <c r="N198" s="185"/>
      <c r="O198" s="188"/>
      <c r="P198" s="188"/>
      <c r="Q198" s="189"/>
      <c r="R198" s="190"/>
      <c r="S198" s="190"/>
      <c r="T198" s="190"/>
      <c r="U198" s="191"/>
      <c r="V198" s="192"/>
      <c r="W198" s="193"/>
      <c r="X198" s="194"/>
      <c r="Y198" s="195"/>
      <c r="Z198" s="196"/>
      <c r="AA198" s="203"/>
      <c r="AB198" s="198"/>
      <c r="AC198" s="199"/>
      <c r="AD198" s="200"/>
      <c r="AE198" s="182"/>
      <c r="AF198" s="201"/>
      <c r="AG198" s="201"/>
    </row>
    <row r="199" spans="1:33" ht="28.5" customHeight="1" thickTop="1" thickBot="1">
      <c r="A199" s="217" t="str">
        <f t="shared" si="5"/>
        <v>#BL25-0002</v>
      </c>
      <c r="B199" s="181"/>
      <c r="C199" s="181"/>
      <c r="D199" s="184"/>
      <c r="E199" s="183"/>
      <c r="F199" s="184" t="str">
        <f t="shared" si="4"/>
        <v>Construction Exemplaire Inc.</v>
      </c>
      <c r="G199" s="184"/>
      <c r="H199" s="183"/>
      <c r="I199" s="182"/>
      <c r="J199" s="185"/>
      <c r="K199" s="185"/>
      <c r="L199" s="185"/>
      <c r="M199" s="187"/>
      <c r="N199" s="185"/>
      <c r="O199" s="188"/>
      <c r="P199" s="188"/>
      <c r="Q199" s="189"/>
      <c r="R199" s="190"/>
      <c r="S199" s="190"/>
      <c r="T199" s="190"/>
      <c r="U199" s="191"/>
      <c r="V199" s="192"/>
      <c r="W199" s="193"/>
      <c r="X199" s="194"/>
      <c r="Y199" s="195"/>
      <c r="Z199" s="196"/>
      <c r="AA199" s="203"/>
      <c r="AB199" s="198"/>
      <c r="AC199" s="199"/>
      <c r="AD199" s="200"/>
      <c r="AE199" s="182"/>
      <c r="AF199" s="201"/>
      <c r="AG199" s="201"/>
    </row>
    <row r="200" spans="1:33" ht="28.5" customHeight="1" thickTop="1" thickBot="1">
      <c r="A200" s="217" t="str">
        <f t="shared" si="5"/>
        <v>#BL25-0002</v>
      </c>
      <c r="B200" s="181"/>
      <c r="C200" s="181"/>
      <c r="D200" s="184"/>
      <c r="E200" s="183"/>
      <c r="F200" s="184" t="str">
        <f t="shared" ref="F200:F263" si="6">nomClient</f>
        <v>Construction Exemplaire Inc.</v>
      </c>
      <c r="G200" s="184"/>
      <c r="H200" s="183"/>
      <c r="I200" s="182"/>
      <c r="J200" s="185"/>
      <c r="K200" s="185"/>
      <c r="L200" s="185"/>
      <c r="M200" s="187"/>
      <c r="N200" s="185"/>
      <c r="O200" s="188"/>
      <c r="P200" s="188"/>
      <c r="Q200" s="189"/>
      <c r="R200" s="190"/>
      <c r="S200" s="190"/>
      <c r="T200" s="190"/>
      <c r="U200" s="191"/>
      <c r="V200" s="192"/>
      <c r="W200" s="193"/>
      <c r="X200" s="194"/>
      <c r="Y200" s="195"/>
      <c r="Z200" s="196"/>
      <c r="AA200" s="203"/>
      <c r="AB200" s="198"/>
      <c r="AC200" s="199"/>
      <c r="AD200" s="200"/>
      <c r="AE200" s="182"/>
      <c r="AF200" s="201"/>
      <c r="AG200" s="201"/>
    </row>
    <row r="201" spans="1:33" ht="28.5" customHeight="1" thickTop="1" thickBot="1">
      <c r="A201" s="217" t="str">
        <f t="shared" ref="A201:A264" si="7">Ligne1</f>
        <v>#BL25-0002</v>
      </c>
      <c r="B201" s="181"/>
      <c r="C201" s="181"/>
      <c r="D201" s="184"/>
      <c r="E201" s="183"/>
      <c r="F201" s="184" t="str">
        <f t="shared" si="6"/>
        <v>Construction Exemplaire Inc.</v>
      </c>
      <c r="G201" s="184"/>
      <c r="H201" s="183"/>
      <c r="I201" s="182"/>
      <c r="J201" s="185"/>
      <c r="K201" s="185"/>
      <c r="L201" s="185"/>
      <c r="M201" s="187"/>
      <c r="N201" s="185"/>
      <c r="O201" s="188"/>
      <c r="P201" s="188"/>
      <c r="Q201" s="189"/>
      <c r="R201" s="190"/>
      <c r="S201" s="190"/>
      <c r="T201" s="190"/>
      <c r="U201" s="191"/>
      <c r="V201" s="192"/>
      <c r="W201" s="193"/>
      <c r="X201" s="194"/>
      <c r="Y201" s="195"/>
      <c r="Z201" s="196"/>
      <c r="AA201" s="203"/>
      <c r="AB201" s="198"/>
      <c r="AC201" s="199"/>
      <c r="AD201" s="200"/>
      <c r="AE201" s="182"/>
      <c r="AF201" s="201"/>
      <c r="AG201" s="201"/>
    </row>
    <row r="202" spans="1:33" ht="28.5" customHeight="1" thickTop="1" thickBot="1">
      <c r="A202" s="217" t="str">
        <f t="shared" si="7"/>
        <v>#BL25-0002</v>
      </c>
      <c r="B202" s="181"/>
      <c r="C202" s="181"/>
      <c r="D202" s="184"/>
      <c r="E202" s="183"/>
      <c r="F202" s="184" t="str">
        <f t="shared" si="6"/>
        <v>Construction Exemplaire Inc.</v>
      </c>
      <c r="G202" s="184"/>
      <c r="H202" s="183"/>
      <c r="I202" s="182"/>
      <c r="J202" s="185"/>
      <c r="K202" s="185"/>
      <c r="L202" s="185"/>
      <c r="M202" s="187"/>
      <c r="N202" s="185"/>
      <c r="O202" s="188"/>
      <c r="P202" s="188"/>
      <c r="Q202" s="189"/>
      <c r="R202" s="190"/>
      <c r="S202" s="190"/>
      <c r="T202" s="190"/>
      <c r="U202" s="191"/>
      <c r="V202" s="192"/>
      <c r="W202" s="193"/>
      <c r="X202" s="194"/>
      <c r="Y202" s="195"/>
      <c r="Z202" s="196"/>
      <c r="AA202" s="203"/>
      <c r="AB202" s="198"/>
      <c r="AC202" s="199"/>
      <c r="AD202" s="200"/>
      <c r="AE202" s="182"/>
      <c r="AF202" s="201"/>
      <c r="AG202" s="201"/>
    </row>
    <row r="203" spans="1:33" ht="28.5" customHeight="1" thickTop="1" thickBot="1">
      <c r="A203" s="217" t="str">
        <f t="shared" si="7"/>
        <v>#BL25-0002</v>
      </c>
      <c r="B203" s="181"/>
      <c r="C203" s="181"/>
      <c r="D203" s="184"/>
      <c r="E203" s="183"/>
      <c r="F203" s="184" t="str">
        <f t="shared" si="6"/>
        <v>Construction Exemplaire Inc.</v>
      </c>
      <c r="G203" s="184"/>
      <c r="H203" s="183"/>
      <c r="I203" s="182"/>
      <c r="J203" s="185"/>
      <c r="K203" s="185"/>
      <c r="L203" s="185"/>
      <c r="M203" s="187"/>
      <c r="N203" s="185"/>
      <c r="O203" s="188"/>
      <c r="P203" s="188"/>
      <c r="Q203" s="189"/>
      <c r="R203" s="190"/>
      <c r="S203" s="190"/>
      <c r="T203" s="190"/>
      <c r="U203" s="191"/>
      <c r="V203" s="192"/>
      <c r="W203" s="193"/>
      <c r="X203" s="194"/>
      <c r="Y203" s="195"/>
      <c r="Z203" s="196"/>
      <c r="AA203" s="203"/>
      <c r="AB203" s="198"/>
      <c r="AC203" s="199"/>
      <c r="AD203" s="200"/>
      <c r="AE203" s="182"/>
      <c r="AF203" s="201"/>
      <c r="AG203" s="201"/>
    </row>
    <row r="204" spans="1:33" ht="28.5" customHeight="1" thickTop="1" thickBot="1">
      <c r="A204" s="217" t="str">
        <f t="shared" si="7"/>
        <v>#BL25-0002</v>
      </c>
      <c r="B204" s="181"/>
      <c r="C204" s="181"/>
      <c r="D204" s="184"/>
      <c r="E204" s="183"/>
      <c r="F204" s="184" t="str">
        <f t="shared" si="6"/>
        <v>Construction Exemplaire Inc.</v>
      </c>
      <c r="G204" s="184"/>
      <c r="H204" s="183"/>
      <c r="I204" s="182"/>
      <c r="J204" s="185"/>
      <c r="K204" s="185"/>
      <c r="L204" s="185"/>
      <c r="M204" s="187"/>
      <c r="N204" s="185"/>
      <c r="O204" s="188"/>
      <c r="P204" s="188"/>
      <c r="Q204" s="189"/>
      <c r="R204" s="190"/>
      <c r="S204" s="190"/>
      <c r="T204" s="190"/>
      <c r="U204" s="191"/>
      <c r="V204" s="192"/>
      <c r="W204" s="193"/>
      <c r="X204" s="194"/>
      <c r="Y204" s="195"/>
      <c r="Z204" s="196"/>
      <c r="AA204" s="203"/>
      <c r="AB204" s="198"/>
      <c r="AC204" s="199"/>
      <c r="AD204" s="200"/>
      <c r="AE204" s="182"/>
      <c r="AF204" s="201"/>
      <c r="AG204" s="201"/>
    </row>
    <row r="205" spans="1:33" ht="28.5" customHeight="1" thickTop="1" thickBot="1">
      <c r="A205" s="217" t="str">
        <f t="shared" si="7"/>
        <v>#BL25-0002</v>
      </c>
      <c r="B205" s="181"/>
      <c r="C205" s="181"/>
      <c r="D205" s="184"/>
      <c r="E205" s="183"/>
      <c r="F205" s="184" t="str">
        <f t="shared" si="6"/>
        <v>Construction Exemplaire Inc.</v>
      </c>
      <c r="G205" s="184"/>
      <c r="H205" s="183"/>
      <c r="I205" s="182"/>
      <c r="J205" s="185"/>
      <c r="K205" s="185"/>
      <c r="L205" s="185"/>
      <c r="M205" s="187"/>
      <c r="N205" s="185"/>
      <c r="O205" s="188"/>
      <c r="P205" s="188"/>
      <c r="Q205" s="189"/>
      <c r="R205" s="190"/>
      <c r="S205" s="190"/>
      <c r="T205" s="190"/>
      <c r="U205" s="191"/>
      <c r="V205" s="192"/>
      <c r="W205" s="193"/>
      <c r="X205" s="194"/>
      <c r="Y205" s="195"/>
      <c r="Z205" s="196"/>
      <c r="AA205" s="203"/>
      <c r="AB205" s="198"/>
      <c r="AC205" s="199"/>
      <c r="AD205" s="200"/>
      <c r="AE205" s="182"/>
      <c r="AF205" s="201"/>
      <c r="AG205" s="201"/>
    </row>
    <row r="206" spans="1:33" ht="28.5" customHeight="1" thickTop="1" thickBot="1">
      <c r="A206" s="217" t="str">
        <f t="shared" si="7"/>
        <v>#BL25-0002</v>
      </c>
      <c r="B206" s="181"/>
      <c r="C206" s="181"/>
      <c r="D206" s="184"/>
      <c r="E206" s="183"/>
      <c r="F206" s="184" t="str">
        <f t="shared" si="6"/>
        <v>Construction Exemplaire Inc.</v>
      </c>
      <c r="G206" s="184"/>
      <c r="H206" s="183"/>
      <c r="I206" s="182"/>
      <c r="J206" s="185"/>
      <c r="K206" s="185"/>
      <c r="L206" s="185"/>
      <c r="M206" s="187"/>
      <c r="N206" s="185"/>
      <c r="O206" s="188"/>
      <c r="P206" s="188"/>
      <c r="Q206" s="189"/>
      <c r="R206" s="190"/>
      <c r="S206" s="190"/>
      <c r="T206" s="190"/>
      <c r="U206" s="191"/>
      <c r="V206" s="192"/>
      <c r="W206" s="193"/>
      <c r="X206" s="194"/>
      <c r="Y206" s="195"/>
      <c r="Z206" s="196"/>
      <c r="AA206" s="203"/>
      <c r="AB206" s="198"/>
      <c r="AC206" s="199"/>
      <c r="AD206" s="200"/>
      <c r="AE206" s="182"/>
      <c r="AF206" s="201"/>
      <c r="AG206" s="201"/>
    </row>
    <row r="207" spans="1:33" ht="28.5" customHeight="1" thickTop="1" thickBot="1">
      <c r="A207" s="217" t="str">
        <f t="shared" si="7"/>
        <v>#BL25-0002</v>
      </c>
      <c r="B207" s="181"/>
      <c r="C207" s="181"/>
      <c r="D207" s="184"/>
      <c r="E207" s="183"/>
      <c r="F207" s="184" t="str">
        <f t="shared" si="6"/>
        <v>Construction Exemplaire Inc.</v>
      </c>
      <c r="G207" s="184"/>
      <c r="H207" s="183"/>
      <c r="I207" s="182"/>
      <c r="J207" s="185"/>
      <c r="K207" s="185"/>
      <c r="L207" s="185"/>
      <c r="M207" s="187"/>
      <c r="N207" s="185"/>
      <c r="O207" s="188"/>
      <c r="P207" s="188"/>
      <c r="Q207" s="189"/>
      <c r="R207" s="190"/>
      <c r="S207" s="190"/>
      <c r="T207" s="190"/>
      <c r="U207" s="191"/>
      <c r="V207" s="192"/>
      <c r="W207" s="193"/>
      <c r="X207" s="194"/>
      <c r="Y207" s="195"/>
      <c r="Z207" s="196"/>
      <c r="AA207" s="203"/>
      <c r="AB207" s="198"/>
      <c r="AC207" s="199"/>
      <c r="AD207" s="200"/>
      <c r="AE207" s="182"/>
      <c r="AF207" s="201"/>
      <c r="AG207" s="201"/>
    </row>
    <row r="208" spans="1:33" ht="28.5" customHeight="1" thickTop="1" thickBot="1">
      <c r="A208" s="217" t="str">
        <f t="shared" si="7"/>
        <v>#BL25-0002</v>
      </c>
      <c r="B208" s="181"/>
      <c r="C208" s="181"/>
      <c r="D208" s="184"/>
      <c r="E208" s="183"/>
      <c r="F208" s="184" t="str">
        <f t="shared" si="6"/>
        <v>Construction Exemplaire Inc.</v>
      </c>
      <c r="G208" s="184"/>
      <c r="H208" s="183"/>
      <c r="I208" s="182"/>
      <c r="J208" s="185"/>
      <c r="K208" s="185"/>
      <c r="L208" s="185"/>
      <c r="M208" s="187"/>
      <c r="N208" s="185"/>
      <c r="O208" s="188"/>
      <c r="P208" s="188"/>
      <c r="Q208" s="189"/>
      <c r="R208" s="190"/>
      <c r="S208" s="190"/>
      <c r="T208" s="190"/>
      <c r="U208" s="191"/>
      <c r="V208" s="192"/>
      <c r="W208" s="193"/>
      <c r="X208" s="194"/>
      <c r="Y208" s="195"/>
      <c r="Z208" s="196"/>
      <c r="AA208" s="203"/>
      <c r="AB208" s="198"/>
      <c r="AC208" s="199"/>
      <c r="AD208" s="200"/>
      <c r="AE208" s="182"/>
      <c r="AF208" s="201"/>
      <c r="AG208" s="201"/>
    </row>
    <row r="209" spans="1:33" ht="28.5" customHeight="1" thickTop="1" thickBot="1">
      <c r="A209" s="217" t="str">
        <f t="shared" si="7"/>
        <v>#BL25-0002</v>
      </c>
      <c r="B209" s="181"/>
      <c r="C209" s="181"/>
      <c r="D209" s="184"/>
      <c r="E209" s="183"/>
      <c r="F209" s="184" t="str">
        <f t="shared" si="6"/>
        <v>Construction Exemplaire Inc.</v>
      </c>
      <c r="G209" s="184"/>
      <c r="H209" s="183"/>
      <c r="I209" s="182"/>
      <c r="J209" s="185"/>
      <c r="K209" s="185"/>
      <c r="L209" s="185"/>
      <c r="M209" s="187"/>
      <c r="N209" s="185"/>
      <c r="O209" s="188"/>
      <c r="P209" s="188"/>
      <c r="Q209" s="189"/>
      <c r="R209" s="190"/>
      <c r="S209" s="190"/>
      <c r="T209" s="190"/>
      <c r="U209" s="191"/>
      <c r="V209" s="192"/>
      <c r="W209" s="193"/>
      <c r="X209" s="194"/>
      <c r="Y209" s="195"/>
      <c r="Z209" s="196"/>
      <c r="AA209" s="203"/>
      <c r="AB209" s="198"/>
      <c r="AC209" s="199"/>
      <c r="AD209" s="200"/>
      <c r="AE209" s="182"/>
      <c r="AF209" s="201"/>
      <c r="AG209" s="201"/>
    </row>
    <row r="210" spans="1:33" ht="28.5" customHeight="1" thickTop="1" thickBot="1">
      <c r="A210" s="217" t="str">
        <f t="shared" si="7"/>
        <v>#BL25-0002</v>
      </c>
      <c r="B210" s="181"/>
      <c r="C210" s="181"/>
      <c r="D210" s="184"/>
      <c r="E210" s="183"/>
      <c r="F210" s="184" t="str">
        <f t="shared" si="6"/>
        <v>Construction Exemplaire Inc.</v>
      </c>
      <c r="G210" s="184"/>
      <c r="H210" s="183"/>
      <c r="I210" s="182"/>
      <c r="J210" s="185"/>
      <c r="K210" s="185"/>
      <c r="L210" s="185"/>
      <c r="M210" s="187"/>
      <c r="N210" s="185"/>
      <c r="O210" s="188"/>
      <c r="P210" s="188"/>
      <c r="Q210" s="189"/>
      <c r="R210" s="190"/>
      <c r="S210" s="190"/>
      <c r="T210" s="190"/>
      <c r="U210" s="191"/>
      <c r="V210" s="192"/>
      <c r="W210" s="193"/>
      <c r="X210" s="194"/>
      <c r="Y210" s="195"/>
      <c r="Z210" s="196"/>
      <c r="AA210" s="203"/>
      <c r="AB210" s="198"/>
      <c r="AC210" s="199"/>
      <c r="AD210" s="200"/>
      <c r="AE210" s="182"/>
      <c r="AF210" s="201"/>
      <c r="AG210" s="201"/>
    </row>
    <row r="211" spans="1:33" ht="28.5" customHeight="1" thickTop="1" thickBot="1">
      <c r="A211" s="217" t="str">
        <f t="shared" si="7"/>
        <v>#BL25-0002</v>
      </c>
      <c r="B211" s="181"/>
      <c r="C211" s="181"/>
      <c r="D211" s="184"/>
      <c r="E211" s="183"/>
      <c r="F211" s="184" t="str">
        <f t="shared" si="6"/>
        <v>Construction Exemplaire Inc.</v>
      </c>
      <c r="G211" s="184"/>
      <c r="H211" s="183"/>
      <c r="I211" s="182"/>
      <c r="J211" s="185"/>
      <c r="K211" s="185"/>
      <c r="L211" s="185"/>
      <c r="M211" s="187"/>
      <c r="N211" s="185"/>
      <c r="O211" s="188"/>
      <c r="P211" s="188"/>
      <c r="Q211" s="189"/>
      <c r="R211" s="190"/>
      <c r="S211" s="190"/>
      <c r="T211" s="190"/>
      <c r="U211" s="191"/>
      <c r="V211" s="192"/>
      <c r="W211" s="193"/>
      <c r="X211" s="194"/>
      <c r="Y211" s="195"/>
      <c r="Z211" s="196"/>
      <c r="AA211" s="203"/>
      <c r="AB211" s="198"/>
      <c r="AC211" s="199"/>
      <c r="AD211" s="200"/>
      <c r="AE211" s="182"/>
      <c r="AF211" s="201"/>
      <c r="AG211" s="201"/>
    </row>
    <row r="212" spans="1:33" ht="28.5" customHeight="1" thickTop="1" thickBot="1">
      <c r="A212" s="217" t="str">
        <f t="shared" si="7"/>
        <v>#BL25-0002</v>
      </c>
      <c r="B212" s="181"/>
      <c r="C212" s="181"/>
      <c r="D212" s="184"/>
      <c r="E212" s="183"/>
      <c r="F212" s="184" t="str">
        <f t="shared" si="6"/>
        <v>Construction Exemplaire Inc.</v>
      </c>
      <c r="G212" s="184"/>
      <c r="H212" s="183"/>
      <c r="I212" s="182"/>
      <c r="J212" s="185"/>
      <c r="K212" s="185"/>
      <c r="L212" s="185"/>
      <c r="M212" s="187"/>
      <c r="N212" s="185"/>
      <c r="O212" s="188"/>
      <c r="P212" s="188"/>
      <c r="Q212" s="189"/>
      <c r="R212" s="190"/>
      <c r="S212" s="190"/>
      <c r="T212" s="190"/>
      <c r="U212" s="191"/>
      <c r="V212" s="192"/>
      <c r="W212" s="193"/>
      <c r="X212" s="194"/>
      <c r="Y212" s="195"/>
      <c r="Z212" s="196"/>
      <c r="AA212" s="203"/>
      <c r="AB212" s="198"/>
      <c r="AC212" s="199"/>
      <c r="AD212" s="200"/>
      <c r="AE212" s="182"/>
      <c r="AF212" s="201"/>
      <c r="AG212" s="201"/>
    </row>
    <row r="213" spans="1:33" ht="28.5" customHeight="1" thickTop="1" thickBot="1">
      <c r="A213" s="217" t="str">
        <f t="shared" si="7"/>
        <v>#BL25-0002</v>
      </c>
      <c r="B213" s="181"/>
      <c r="C213" s="181"/>
      <c r="D213" s="184"/>
      <c r="E213" s="183"/>
      <c r="F213" s="184" t="str">
        <f t="shared" si="6"/>
        <v>Construction Exemplaire Inc.</v>
      </c>
      <c r="G213" s="184"/>
      <c r="H213" s="183"/>
      <c r="I213" s="182"/>
      <c r="J213" s="185"/>
      <c r="K213" s="185"/>
      <c r="L213" s="185"/>
      <c r="M213" s="187"/>
      <c r="N213" s="185"/>
      <c r="O213" s="188"/>
      <c r="P213" s="188"/>
      <c r="Q213" s="189"/>
      <c r="R213" s="190"/>
      <c r="S213" s="190"/>
      <c r="T213" s="190"/>
      <c r="U213" s="191"/>
      <c r="V213" s="192"/>
      <c r="W213" s="193"/>
      <c r="X213" s="194"/>
      <c r="Y213" s="195"/>
      <c r="Z213" s="196"/>
      <c r="AA213" s="203"/>
      <c r="AB213" s="198"/>
      <c r="AC213" s="199"/>
      <c r="AD213" s="200"/>
      <c r="AE213" s="182"/>
      <c r="AF213" s="201"/>
      <c r="AG213" s="201"/>
    </row>
    <row r="214" spans="1:33" ht="24.75" customHeight="1" thickTop="1" thickBot="1">
      <c r="A214" s="217" t="str">
        <f t="shared" si="7"/>
        <v>#BL25-0002</v>
      </c>
      <c r="B214" s="181"/>
      <c r="C214" s="181"/>
      <c r="D214" s="184"/>
      <c r="E214" s="183"/>
      <c r="F214" s="184" t="str">
        <f t="shared" si="6"/>
        <v>Construction Exemplaire Inc.</v>
      </c>
      <c r="G214" s="184"/>
      <c r="H214" s="183"/>
      <c r="I214" s="182"/>
      <c r="J214" s="185"/>
      <c r="K214" s="185"/>
      <c r="L214" s="185"/>
      <c r="M214" s="187"/>
      <c r="N214" s="185"/>
      <c r="O214" s="188"/>
      <c r="P214" s="188"/>
      <c r="Q214" s="189"/>
      <c r="R214" s="190"/>
      <c r="S214" s="190"/>
      <c r="T214" s="190"/>
      <c r="U214" s="191"/>
      <c r="V214" s="192"/>
      <c r="W214" s="193"/>
      <c r="X214" s="194"/>
      <c r="Y214" s="195"/>
      <c r="Z214" s="196"/>
      <c r="AA214" s="203"/>
      <c r="AB214" s="198"/>
      <c r="AC214" s="199"/>
      <c r="AD214" s="200"/>
      <c r="AE214" s="182"/>
      <c r="AF214" s="201"/>
      <c r="AG214" s="201"/>
    </row>
    <row r="215" spans="1:33" ht="24.75" customHeight="1" thickTop="1" thickBot="1">
      <c r="A215" s="217" t="str">
        <f t="shared" si="7"/>
        <v>#BL25-0002</v>
      </c>
      <c r="B215" s="181"/>
      <c r="C215" s="181"/>
      <c r="D215" s="184"/>
      <c r="E215" s="183"/>
      <c r="F215" s="184" t="str">
        <f t="shared" si="6"/>
        <v>Construction Exemplaire Inc.</v>
      </c>
      <c r="G215" s="184"/>
      <c r="H215" s="183"/>
      <c r="I215" s="182"/>
      <c r="J215" s="185"/>
      <c r="K215" s="185"/>
      <c r="L215" s="185"/>
      <c r="M215" s="187"/>
      <c r="N215" s="185"/>
      <c r="O215" s="188"/>
      <c r="P215" s="188"/>
      <c r="Q215" s="189"/>
      <c r="R215" s="190"/>
      <c r="S215" s="190"/>
      <c r="T215" s="190"/>
      <c r="U215" s="191"/>
      <c r="V215" s="192"/>
      <c r="W215" s="193"/>
      <c r="X215" s="194"/>
      <c r="Y215" s="195"/>
      <c r="Z215" s="196"/>
      <c r="AA215" s="203"/>
      <c r="AB215" s="198"/>
      <c r="AC215" s="199"/>
      <c r="AD215" s="200"/>
      <c r="AE215" s="182"/>
      <c r="AF215" s="201"/>
      <c r="AG215" s="201"/>
    </row>
    <row r="216" spans="1:33" ht="24.75" customHeight="1" thickTop="1" thickBot="1">
      <c r="A216" s="217" t="str">
        <f t="shared" si="7"/>
        <v>#BL25-0002</v>
      </c>
      <c r="B216" s="181"/>
      <c r="C216" s="181"/>
      <c r="D216" s="184"/>
      <c r="E216" s="183"/>
      <c r="F216" s="184" t="str">
        <f t="shared" si="6"/>
        <v>Construction Exemplaire Inc.</v>
      </c>
      <c r="G216" s="184"/>
      <c r="H216" s="183"/>
      <c r="I216" s="182"/>
      <c r="J216" s="185"/>
      <c r="K216" s="185"/>
      <c r="L216" s="185"/>
      <c r="M216" s="187"/>
      <c r="N216" s="185"/>
      <c r="O216" s="188"/>
      <c r="P216" s="188"/>
      <c r="Q216" s="189"/>
      <c r="R216" s="190"/>
      <c r="S216" s="190"/>
      <c r="T216" s="190"/>
      <c r="U216" s="191"/>
      <c r="V216" s="192"/>
      <c r="W216" s="193"/>
      <c r="X216" s="194"/>
      <c r="Y216" s="195"/>
      <c r="Z216" s="196"/>
      <c r="AA216" s="203"/>
      <c r="AB216" s="198"/>
      <c r="AC216" s="199"/>
      <c r="AD216" s="200"/>
      <c r="AE216" s="182"/>
      <c r="AF216" s="201"/>
      <c r="AG216" s="201"/>
    </row>
    <row r="217" spans="1:33" ht="24.75" customHeight="1" thickTop="1" thickBot="1">
      <c r="A217" s="217" t="str">
        <f t="shared" si="7"/>
        <v>#BL25-0002</v>
      </c>
      <c r="B217" s="181"/>
      <c r="C217" s="181"/>
      <c r="D217" s="184"/>
      <c r="E217" s="183"/>
      <c r="F217" s="184" t="str">
        <f t="shared" si="6"/>
        <v>Construction Exemplaire Inc.</v>
      </c>
      <c r="G217" s="184"/>
      <c r="H217" s="183"/>
      <c r="I217" s="182"/>
      <c r="J217" s="185"/>
      <c r="K217" s="185"/>
      <c r="L217" s="185"/>
      <c r="M217" s="187"/>
      <c r="N217" s="185"/>
      <c r="O217" s="188"/>
      <c r="P217" s="188"/>
      <c r="Q217" s="189"/>
      <c r="R217" s="190"/>
      <c r="S217" s="190"/>
      <c r="T217" s="190"/>
      <c r="U217" s="191"/>
      <c r="V217" s="192"/>
      <c r="W217" s="193"/>
      <c r="X217" s="194"/>
      <c r="Y217" s="195"/>
      <c r="Z217" s="196"/>
      <c r="AA217" s="203"/>
      <c r="AB217" s="198"/>
      <c r="AC217" s="199"/>
      <c r="AD217" s="200"/>
      <c r="AE217" s="182"/>
      <c r="AF217" s="201"/>
      <c r="AG217" s="201"/>
    </row>
    <row r="218" spans="1:33" ht="24.75" customHeight="1" thickTop="1" thickBot="1">
      <c r="A218" s="217" t="str">
        <f t="shared" si="7"/>
        <v>#BL25-0002</v>
      </c>
      <c r="B218" s="181"/>
      <c r="C218" s="181"/>
      <c r="D218" s="184"/>
      <c r="E218" s="183"/>
      <c r="F218" s="184" t="str">
        <f t="shared" si="6"/>
        <v>Construction Exemplaire Inc.</v>
      </c>
      <c r="G218" s="184"/>
      <c r="H218" s="183"/>
      <c r="I218" s="182"/>
      <c r="J218" s="185"/>
      <c r="K218" s="185"/>
      <c r="L218" s="185"/>
      <c r="M218" s="187"/>
      <c r="N218" s="185"/>
      <c r="O218" s="188"/>
      <c r="P218" s="188"/>
      <c r="Q218" s="189"/>
      <c r="R218" s="190"/>
      <c r="S218" s="190"/>
      <c r="T218" s="190"/>
      <c r="U218" s="191"/>
      <c r="V218" s="192"/>
      <c r="W218" s="193"/>
      <c r="X218" s="194"/>
      <c r="Y218" s="195"/>
      <c r="Z218" s="196"/>
      <c r="AA218" s="203"/>
      <c r="AB218" s="198"/>
      <c r="AC218" s="199"/>
      <c r="AD218" s="200"/>
      <c r="AE218" s="182"/>
      <c r="AF218" s="201"/>
      <c r="AG218" s="201"/>
    </row>
    <row r="219" spans="1:33" ht="24.75" customHeight="1" thickTop="1" thickBot="1">
      <c r="A219" s="217" t="str">
        <f t="shared" si="7"/>
        <v>#BL25-0002</v>
      </c>
      <c r="B219" s="181"/>
      <c r="C219" s="181"/>
      <c r="D219" s="184"/>
      <c r="E219" s="183"/>
      <c r="F219" s="184" t="str">
        <f t="shared" si="6"/>
        <v>Construction Exemplaire Inc.</v>
      </c>
      <c r="G219" s="184"/>
      <c r="H219" s="183"/>
      <c r="I219" s="182"/>
      <c r="J219" s="185"/>
      <c r="K219" s="185"/>
      <c r="L219" s="185"/>
      <c r="M219" s="187"/>
      <c r="N219" s="185"/>
      <c r="O219" s="188"/>
      <c r="P219" s="188"/>
      <c r="Q219" s="189"/>
      <c r="R219" s="190"/>
      <c r="S219" s="190"/>
      <c r="T219" s="190"/>
      <c r="U219" s="191"/>
      <c r="V219" s="192"/>
      <c r="W219" s="193"/>
      <c r="X219" s="194"/>
      <c r="Y219" s="195"/>
      <c r="Z219" s="196"/>
      <c r="AA219" s="203"/>
      <c r="AB219" s="198"/>
      <c r="AC219" s="199"/>
      <c r="AD219" s="200"/>
      <c r="AE219" s="182"/>
      <c r="AF219" s="201"/>
      <c r="AG219" s="201"/>
    </row>
    <row r="220" spans="1:33" ht="24.75" customHeight="1" thickTop="1" thickBot="1">
      <c r="A220" s="217" t="str">
        <f t="shared" si="7"/>
        <v>#BL25-0002</v>
      </c>
      <c r="B220" s="181"/>
      <c r="C220" s="181"/>
      <c r="D220" s="184"/>
      <c r="E220" s="183"/>
      <c r="F220" s="184" t="str">
        <f t="shared" si="6"/>
        <v>Construction Exemplaire Inc.</v>
      </c>
      <c r="G220" s="184"/>
      <c r="H220" s="183"/>
      <c r="I220" s="182"/>
      <c r="J220" s="185"/>
      <c r="K220" s="185"/>
      <c r="L220" s="185"/>
      <c r="M220" s="187"/>
      <c r="N220" s="185"/>
      <c r="O220" s="188"/>
      <c r="P220" s="188"/>
      <c r="Q220" s="189"/>
      <c r="R220" s="190"/>
      <c r="S220" s="190"/>
      <c r="T220" s="190"/>
      <c r="U220" s="191"/>
      <c r="V220" s="192"/>
      <c r="W220" s="193"/>
      <c r="X220" s="194"/>
      <c r="Y220" s="195"/>
      <c r="Z220" s="196"/>
      <c r="AA220" s="203"/>
      <c r="AB220" s="198"/>
      <c r="AC220" s="199"/>
      <c r="AD220" s="200"/>
      <c r="AE220" s="182"/>
      <c r="AF220" s="201"/>
      <c r="AG220" s="201"/>
    </row>
    <row r="221" spans="1:33" ht="24.75" customHeight="1" thickTop="1" thickBot="1">
      <c r="A221" s="217" t="str">
        <f t="shared" si="7"/>
        <v>#BL25-0002</v>
      </c>
      <c r="B221" s="181"/>
      <c r="C221" s="181"/>
      <c r="D221" s="184"/>
      <c r="E221" s="183"/>
      <c r="F221" s="184" t="str">
        <f t="shared" si="6"/>
        <v>Construction Exemplaire Inc.</v>
      </c>
      <c r="G221" s="184"/>
      <c r="H221" s="183"/>
      <c r="I221" s="182"/>
      <c r="J221" s="185"/>
      <c r="K221" s="185"/>
      <c r="L221" s="185"/>
      <c r="M221" s="187"/>
      <c r="N221" s="185"/>
      <c r="O221" s="188"/>
      <c r="P221" s="188"/>
      <c r="Q221" s="189"/>
      <c r="R221" s="190"/>
      <c r="S221" s="190"/>
      <c r="T221" s="190"/>
      <c r="U221" s="191"/>
      <c r="V221" s="192"/>
      <c r="W221" s="193"/>
      <c r="X221" s="194"/>
      <c r="Y221" s="195"/>
      <c r="Z221" s="196"/>
      <c r="AA221" s="203"/>
      <c r="AB221" s="198"/>
      <c r="AC221" s="199"/>
      <c r="AD221" s="200"/>
      <c r="AE221" s="182"/>
      <c r="AF221" s="201"/>
      <c r="AG221" s="201"/>
    </row>
    <row r="222" spans="1:33" ht="24.75" customHeight="1" thickTop="1" thickBot="1">
      <c r="A222" s="217" t="str">
        <f t="shared" si="7"/>
        <v>#BL25-0002</v>
      </c>
      <c r="B222" s="181"/>
      <c r="C222" s="181"/>
      <c r="D222" s="184"/>
      <c r="E222" s="183"/>
      <c r="F222" s="184" t="str">
        <f t="shared" si="6"/>
        <v>Construction Exemplaire Inc.</v>
      </c>
      <c r="G222" s="184"/>
      <c r="H222" s="183"/>
      <c r="I222" s="182"/>
      <c r="J222" s="185"/>
      <c r="K222" s="185"/>
      <c r="L222" s="185"/>
      <c r="M222" s="187"/>
      <c r="N222" s="185"/>
      <c r="O222" s="188"/>
      <c r="P222" s="188"/>
      <c r="Q222" s="189"/>
      <c r="R222" s="190"/>
      <c r="S222" s="190"/>
      <c r="T222" s="190"/>
      <c r="U222" s="191"/>
      <c r="V222" s="192"/>
      <c r="W222" s="193"/>
      <c r="X222" s="194"/>
      <c r="Y222" s="195"/>
      <c r="Z222" s="196"/>
      <c r="AA222" s="203"/>
      <c r="AB222" s="198"/>
      <c r="AC222" s="199"/>
      <c r="AD222" s="200"/>
      <c r="AE222" s="182"/>
      <c r="AF222" s="201"/>
      <c r="AG222" s="201"/>
    </row>
    <row r="223" spans="1:33" ht="24.75" customHeight="1" thickTop="1" thickBot="1">
      <c r="A223" s="217" t="str">
        <f t="shared" si="7"/>
        <v>#BL25-0002</v>
      </c>
      <c r="B223" s="181"/>
      <c r="C223" s="181"/>
      <c r="D223" s="184"/>
      <c r="E223" s="183"/>
      <c r="F223" s="184" t="str">
        <f t="shared" si="6"/>
        <v>Construction Exemplaire Inc.</v>
      </c>
      <c r="G223" s="184"/>
      <c r="H223" s="183"/>
      <c r="I223" s="182"/>
      <c r="J223" s="185"/>
      <c r="K223" s="185"/>
      <c r="L223" s="185"/>
      <c r="M223" s="187"/>
      <c r="N223" s="185"/>
      <c r="O223" s="188"/>
      <c r="P223" s="188"/>
      <c r="Q223" s="189"/>
      <c r="R223" s="190"/>
      <c r="S223" s="190"/>
      <c r="T223" s="190"/>
      <c r="U223" s="191"/>
      <c r="V223" s="192"/>
      <c r="W223" s="193"/>
      <c r="X223" s="194"/>
      <c r="Y223" s="195"/>
      <c r="Z223" s="196"/>
      <c r="AA223" s="203"/>
      <c r="AB223" s="198"/>
      <c r="AC223" s="199"/>
      <c r="AD223" s="200"/>
      <c r="AE223" s="182"/>
      <c r="AF223" s="201"/>
      <c r="AG223" s="201"/>
    </row>
    <row r="224" spans="1:33" ht="24.75" customHeight="1" thickTop="1" thickBot="1">
      <c r="A224" s="217" t="str">
        <f t="shared" si="7"/>
        <v>#BL25-0002</v>
      </c>
      <c r="B224" s="181"/>
      <c r="C224" s="181"/>
      <c r="D224" s="184"/>
      <c r="E224" s="183"/>
      <c r="F224" s="184" t="str">
        <f t="shared" si="6"/>
        <v>Construction Exemplaire Inc.</v>
      </c>
      <c r="G224" s="184"/>
      <c r="H224" s="183"/>
      <c r="I224" s="182"/>
      <c r="J224" s="185"/>
      <c r="K224" s="185"/>
      <c r="L224" s="185"/>
      <c r="M224" s="187"/>
      <c r="N224" s="185"/>
      <c r="O224" s="188"/>
      <c r="P224" s="188"/>
      <c r="Q224" s="189"/>
      <c r="R224" s="190"/>
      <c r="S224" s="190"/>
      <c r="T224" s="190"/>
      <c r="U224" s="191"/>
      <c r="V224" s="192"/>
      <c r="W224" s="193"/>
      <c r="X224" s="194"/>
      <c r="Y224" s="195"/>
      <c r="Z224" s="196"/>
      <c r="AA224" s="203"/>
      <c r="AB224" s="198"/>
      <c r="AC224" s="199"/>
      <c r="AD224" s="200"/>
      <c r="AE224" s="182"/>
      <c r="AF224" s="201"/>
      <c r="AG224" s="201"/>
    </row>
    <row r="225" spans="1:33" ht="24.75" customHeight="1" thickTop="1" thickBot="1">
      <c r="A225" s="217" t="str">
        <f t="shared" si="7"/>
        <v>#BL25-0002</v>
      </c>
      <c r="B225" s="181"/>
      <c r="C225" s="181"/>
      <c r="D225" s="207"/>
      <c r="E225" s="183"/>
      <c r="F225" s="184" t="str">
        <f t="shared" si="6"/>
        <v>Construction Exemplaire Inc.</v>
      </c>
      <c r="G225" s="184"/>
      <c r="H225" s="183"/>
      <c r="I225" s="182"/>
      <c r="J225" s="185"/>
      <c r="K225" s="185"/>
      <c r="L225" s="185"/>
      <c r="M225" s="187"/>
      <c r="N225" s="185"/>
      <c r="O225" s="188"/>
      <c r="P225" s="188"/>
      <c r="Q225" s="189"/>
      <c r="R225" s="190"/>
      <c r="S225" s="190"/>
      <c r="T225" s="190"/>
      <c r="U225" s="191"/>
      <c r="V225" s="192"/>
      <c r="W225" s="193"/>
      <c r="X225" s="194"/>
      <c r="Y225" s="195"/>
      <c r="Z225" s="196"/>
      <c r="AA225" s="203"/>
      <c r="AB225" s="198"/>
      <c r="AC225" s="199"/>
      <c r="AD225" s="200"/>
      <c r="AE225" s="182"/>
      <c r="AF225" s="201"/>
      <c r="AG225" s="201"/>
    </row>
    <row r="226" spans="1:33" ht="24.75" customHeight="1" thickTop="1" thickBot="1">
      <c r="A226" s="217" t="str">
        <f t="shared" si="7"/>
        <v>#BL25-0002</v>
      </c>
      <c r="B226" s="181"/>
      <c r="C226" s="181"/>
      <c r="D226" s="184"/>
      <c r="E226" s="183"/>
      <c r="F226" s="184" t="str">
        <f t="shared" si="6"/>
        <v>Construction Exemplaire Inc.</v>
      </c>
      <c r="G226" s="184"/>
      <c r="H226" s="183"/>
      <c r="I226" s="182"/>
      <c r="J226" s="185"/>
      <c r="K226" s="185"/>
      <c r="L226" s="185"/>
      <c r="M226" s="187"/>
      <c r="N226" s="185"/>
      <c r="O226" s="188"/>
      <c r="P226" s="188"/>
      <c r="Q226" s="189"/>
      <c r="R226" s="190"/>
      <c r="S226" s="190"/>
      <c r="T226" s="190"/>
      <c r="U226" s="191"/>
      <c r="V226" s="192"/>
      <c r="W226" s="193"/>
      <c r="X226" s="194"/>
      <c r="Y226" s="195"/>
      <c r="Z226" s="196"/>
      <c r="AA226" s="203"/>
      <c r="AB226" s="198"/>
      <c r="AC226" s="199"/>
      <c r="AD226" s="200"/>
      <c r="AE226" s="182"/>
      <c r="AF226" s="201"/>
      <c r="AG226" s="201"/>
    </row>
    <row r="227" spans="1:33" ht="24.75" customHeight="1" thickTop="1" thickBot="1">
      <c r="A227" s="217" t="str">
        <f t="shared" si="7"/>
        <v>#BL25-0002</v>
      </c>
      <c r="B227" s="181"/>
      <c r="C227" s="181"/>
      <c r="D227" s="184"/>
      <c r="E227" s="183"/>
      <c r="F227" s="184" t="str">
        <f t="shared" si="6"/>
        <v>Construction Exemplaire Inc.</v>
      </c>
      <c r="G227" s="184"/>
      <c r="H227" s="183"/>
      <c r="I227" s="182"/>
      <c r="J227" s="185"/>
      <c r="K227" s="185"/>
      <c r="L227" s="185"/>
      <c r="M227" s="187"/>
      <c r="N227" s="185"/>
      <c r="O227" s="188"/>
      <c r="P227" s="188"/>
      <c r="Q227" s="189"/>
      <c r="R227" s="190"/>
      <c r="S227" s="190"/>
      <c r="T227" s="190"/>
      <c r="U227" s="191"/>
      <c r="V227" s="192"/>
      <c r="W227" s="193"/>
      <c r="X227" s="194"/>
      <c r="Y227" s="195"/>
      <c r="Z227" s="196"/>
      <c r="AA227" s="203"/>
      <c r="AB227" s="198"/>
      <c r="AC227" s="199"/>
      <c r="AD227" s="200"/>
      <c r="AE227" s="182"/>
      <c r="AF227" s="201"/>
      <c r="AG227" s="201"/>
    </row>
    <row r="228" spans="1:33" ht="24.75" customHeight="1" thickTop="1" thickBot="1">
      <c r="A228" s="217" t="str">
        <f t="shared" si="7"/>
        <v>#BL25-0002</v>
      </c>
      <c r="B228" s="181"/>
      <c r="C228" s="181"/>
      <c r="D228" s="184"/>
      <c r="E228" s="183"/>
      <c r="F228" s="184" t="str">
        <f t="shared" si="6"/>
        <v>Construction Exemplaire Inc.</v>
      </c>
      <c r="G228" s="184"/>
      <c r="H228" s="183"/>
      <c r="I228" s="182"/>
      <c r="J228" s="185"/>
      <c r="K228" s="185"/>
      <c r="L228" s="185"/>
      <c r="M228" s="187"/>
      <c r="N228" s="185"/>
      <c r="O228" s="188"/>
      <c r="P228" s="188"/>
      <c r="Q228" s="189"/>
      <c r="R228" s="190"/>
      <c r="S228" s="190"/>
      <c r="T228" s="190"/>
      <c r="U228" s="191"/>
      <c r="V228" s="192"/>
      <c r="W228" s="193"/>
      <c r="X228" s="194"/>
      <c r="Y228" s="195"/>
      <c r="Z228" s="196"/>
      <c r="AA228" s="203"/>
      <c r="AB228" s="198"/>
      <c r="AC228" s="199"/>
      <c r="AD228" s="200"/>
      <c r="AE228" s="182"/>
      <c r="AF228" s="201"/>
      <c r="AG228" s="201"/>
    </row>
    <row r="229" spans="1:33" ht="24.75" customHeight="1" thickTop="1" thickBot="1">
      <c r="A229" s="217" t="str">
        <f t="shared" si="7"/>
        <v>#BL25-0002</v>
      </c>
      <c r="B229" s="181"/>
      <c r="C229" s="181"/>
      <c r="D229" s="184"/>
      <c r="E229" s="183"/>
      <c r="F229" s="184" t="str">
        <f t="shared" si="6"/>
        <v>Construction Exemplaire Inc.</v>
      </c>
      <c r="G229" s="184"/>
      <c r="H229" s="183"/>
      <c r="I229" s="182"/>
      <c r="J229" s="185"/>
      <c r="K229" s="185"/>
      <c r="L229" s="185"/>
      <c r="M229" s="187"/>
      <c r="N229" s="185"/>
      <c r="O229" s="188"/>
      <c r="P229" s="188"/>
      <c r="Q229" s="189"/>
      <c r="R229" s="190"/>
      <c r="S229" s="190"/>
      <c r="T229" s="190"/>
      <c r="U229" s="191"/>
      <c r="V229" s="192"/>
      <c r="W229" s="193"/>
      <c r="X229" s="194"/>
      <c r="Y229" s="195"/>
      <c r="Z229" s="196"/>
      <c r="AA229" s="203"/>
      <c r="AB229" s="198"/>
      <c r="AC229" s="199"/>
      <c r="AD229" s="200"/>
      <c r="AE229" s="182"/>
      <c r="AF229" s="201"/>
      <c r="AG229" s="201"/>
    </row>
    <row r="230" spans="1:33" ht="24.75" customHeight="1" thickTop="1" thickBot="1">
      <c r="A230" s="217" t="str">
        <f t="shared" si="7"/>
        <v>#BL25-0002</v>
      </c>
      <c r="B230" s="181"/>
      <c r="C230" s="181"/>
      <c r="D230" s="184"/>
      <c r="E230" s="183"/>
      <c r="F230" s="184" t="str">
        <f t="shared" si="6"/>
        <v>Construction Exemplaire Inc.</v>
      </c>
      <c r="G230" s="184"/>
      <c r="H230" s="183"/>
      <c r="I230" s="182"/>
      <c r="J230" s="185"/>
      <c r="K230" s="185"/>
      <c r="L230" s="185"/>
      <c r="M230" s="187"/>
      <c r="N230" s="185"/>
      <c r="O230" s="188"/>
      <c r="P230" s="188"/>
      <c r="Q230" s="189"/>
      <c r="R230" s="190"/>
      <c r="S230" s="190"/>
      <c r="T230" s="190"/>
      <c r="U230" s="191"/>
      <c r="V230" s="192"/>
      <c r="W230" s="193"/>
      <c r="X230" s="194"/>
      <c r="Y230" s="195"/>
      <c r="Z230" s="196"/>
      <c r="AA230" s="203"/>
      <c r="AB230" s="198"/>
      <c r="AC230" s="199"/>
      <c r="AD230" s="200"/>
      <c r="AE230" s="182"/>
      <c r="AF230" s="201"/>
      <c r="AG230" s="201"/>
    </row>
    <row r="231" spans="1:33" ht="24.75" customHeight="1" thickTop="1" thickBot="1">
      <c r="A231" s="217" t="str">
        <f t="shared" si="7"/>
        <v>#BL25-0002</v>
      </c>
      <c r="B231" s="181"/>
      <c r="C231" s="181"/>
      <c r="D231" s="207"/>
      <c r="E231" s="183"/>
      <c r="F231" s="184" t="str">
        <f t="shared" si="6"/>
        <v>Construction Exemplaire Inc.</v>
      </c>
      <c r="G231" s="184"/>
      <c r="H231" s="183"/>
      <c r="I231" s="182"/>
      <c r="J231" s="185"/>
      <c r="K231" s="185"/>
      <c r="L231" s="185"/>
      <c r="M231" s="187"/>
      <c r="N231" s="185"/>
      <c r="O231" s="188"/>
      <c r="P231" s="188"/>
      <c r="Q231" s="189"/>
      <c r="R231" s="190"/>
      <c r="S231" s="190"/>
      <c r="T231" s="190"/>
      <c r="U231" s="191"/>
      <c r="V231" s="192"/>
      <c r="W231" s="193"/>
      <c r="X231" s="194"/>
      <c r="Y231" s="195"/>
      <c r="Z231" s="196"/>
      <c r="AA231" s="203"/>
      <c r="AB231" s="198"/>
      <c r="AC231" s="199"/>
      <c r="AD231" s="200"/>
      <c r="AE231" s="182"/>
      <c r="AF231" s="201"/>
      <c r="AG231" s="201"/>
    </row>
    <row r="232" spans="1:33" ht="24.75" customHeight="1" thickTop="1" thickBot="1">
      <c r="A232" s="217" t="str">
        <f t="shared" si="7"/>
        <v>#BL25-0002</v>
      </c>
      <c r="B232" s="181"/>
      <c r="C232" s="181"/>
      <c r="D232" s="184"/>
      <c r="E232" s="183"/>
      <c r="F232" s="184" t="str">
        <f t="shared" si="6"/>
        <v>Construction Exemplaire Inc.</v>
      </c>
      <c r="G232" s="184"/>
      <c r="H232" s="183"/>
      <c r="I232" s="182"/>
      <c r="J232" s="185"/>
      <c r="K232" s="185"/>
      <c r="L232" s="185"/>
      <c r="M232" s="187"/>
      <c r="N232" s="185"/>
      <c r="O232" s="188"/>
      <c r="P232" s="188"/>
      <c r="Q232" s="189"/>
      <c r="R232" s="190"/>
      <c r="S232" s="190"/>
      <c r="T232" s="190"/>
      <c r="U232" s="191"/>
      <c r="V232" s="192"/>
      <c r="W232" s="193"/>
      <c r="X232" s="194"/>
      <c r="Y232" s="195"/>
      <c r="Z232" s="196"/>
      <c r="AA232" s="203"/>
      <c r="AB232" s="198"/>
      <c r="AC232" s="199"/>
      <c r="AD232" s="200"/>
      <c r="AE232" s="182"/>
      <c r="AF232" s="201"/>
      <c r="AG232" s="201"/>
    </row>
    <row r="233" spans="1:33" ht="24.75" customHeight="1" thickTop="1" thickBot="1">
      <c r="A233" s="217" t="str">
        <f t="shared" si="7"/>
        <v>#BL25-0002</v>
      </c>
      <c r="B233" s="181"/>
      <c r="C233" s="181"/>
      <c r="D233" s="207"/>
      <c r="E233" s="183"/>
      <c r="F233" s="184" t="str">
        <f t="shared" si="6"/>
        <v>Construction Exemplaire Inc.</v>
      </c>
      <c r="G233" s="184"/>
      <c r="H233" s="183"/>
      <c r="I233" s="182"/>
      <c r="J233" s="185"/>
      <c r="K233" s="185"/>
      <c r="L233" s="185"/>
      <c r="M233" s="187"/>
      <c r="N233" s="185"/>
      <c r="O233" s="188"/>
      <c r="P233" s="188"/>
      <c r="Q233" s="189"/>
      <c r="R233" s="190"/>
      <c r="S233" s="190"/>
      <c r="T233" s="190"/>
      <c r="U233" s="191"/>
      <c r="V233" s="192"/>
      <c r="W233" s="193"/>
      <c r="X233" s="194"/>
      <c r="Y233" s="195"/>
      <c r="Z233" s="196"/>
      <c r="AA233" s="203"/>
      <c r="AB233" s="198"/>
      <c r="AC233" s="199"/>
      <c r="AD233" s="200"/>
      <c r="AE233" s="182"/>
      <c r="AF233" s="201"/>
      <c r="AG233" s="201"/>
    </row>
    <row r="234" spans="1:33" ht="24.75" customHeight="1" thickTop="1" thickBot="1">
      <c r="A234" s="217" t="str">
        <f t="shared" si="7"/>
        <v>#BL25-0002</v>
      </c>
      <c r="B234" s="181"/>
      <c r="C234" s="181"/>
      <c r="D234" s="184"/>
      <c r="E234" s="183"/>
      <c r="F234" s="184" t="str">
        <f t="shared" si="6"/>
        <v>Construction Exemplaire Inc.</v>
      </c>
      <c r="G234" s="184"/>
      <c r="H234" s="183"/>
      <c r="I234" s="182"/>
      <c r="J234" s="185"/>
      <c r="K234" s="185"/>
      <c r="L234" s="185"/>
      <c r="M234" s="187"/>
      <c r="N234" s="185"/>
      <c r="O234" s="188"/>
      <c r="P234" s="188"/>
      <c r="Q234" s="189"/>
      <c r="R234" s="190"/>
      <c r="S234" s="190"/>
      <c r="T234" s="190"/>
      <c r="U234" s="191"/>
      <c r="V234" s="192"/>
      <c r="W234" s="193"/>
      <c r="X234" s="194"/>
      <c r="Y234" s="195"/>
      <c r="Z234" s="196"/>
      <c r="AA234" s="203"/>
      <c r="AB234" s="198"/>
      <c r="AC234" s="199"/>
      <c r="AD234" s="200"/>
      <c r="AE234" s="182"/>
      <c r="AF234" s="201"/>
      <c r="AG234" s="201"/>
    </row>
    <row r="235" spans="1:33" ht="24.75" customHeight="1" thickTop="1" thickBot="1">
      <c r="A235" s="217" t="str">
        <f t="shared" si="7"/>
        <v>#BL25-0002</v>
      </c>
      <c r="B235" s="181"/>
      <c r="C235" s="181"/>
      <c r="D235" s="184"/>
      <c r="E235" s="183"/>
      <c r="F235" s="184" t="str">
        <f t="shared" si="6"/>
        <v>Construction Exemplaire Inc.</v>
      </c>
      <c r="G235" s="184"/>
      <c r="H235" s="183"/>
      <c r="I235" s="182"/>
      <c r="J235" s="185"/>
      <c r="K235" s="185"/>
      <c r="L235" s="185"/>
      <c r="M235" s="187"/>
      <c r="N235" s="185"/>
      <c r="O235" s="188"/>
      <c r="P235" s="188"/>
      <c r="Q235" s="189"/>
      <c r="R235" s="190"/>
      <c r="S235" s="190"/>
      <c r="T235" s="190"/>
      <c r="U235" s="191"/>
      <c r="V235" s="192"/>
      <c r="W235" s="193"/>
      <c r="X235" s="194"/>
      <c r="Y235" s="195"/>
      <c r="Z235" s="196"/>
      <c r="AA235" s="203"/>
      <c r="AB235" s="198"/>
      <c r="AC235" s="199"/>
      <c r="AD235" s="200"/>
      <c r="AE235" s="182"/>
      <c r="AF235" s="201"/>
      <c r="AG235" s="201"/>
    </row>
    <row r="236" spans="1:33" ht="24.75" customHeight="1" thickTop="1" thickBot="1">
      <c r="A236" s="217" t="str">
        <f t="shared" si="7"/>
        <v>#BL25-0002</v>
      </c>
      <c r="B236" s="181"/>
      <c r="C236" s="181"/>
      <c r="D236" s="208"/>
      <c r="E236" s="183"/>
      <c r="F236" s="184" t="str">
        <f t="shared" si="6"/>
        <v>Construction Exemplaire Inc.</v>
      </c>
      <c r="G236" s="184"/>
      <c r="H236" s="183"/>
      <c r="I236" s="182"/>
      <c r="J236" s="185"/>
      <c r="K236" s="185"/>
      <c r="L236" s="185"/>
      <c r="M236" s="187"/>
      <c r="N236" s="185"/>
      <c r="O236" s="188"/>
      <c r="P236" s="188"/>
      <c r="Q236" s="189"/>
      <c r="R236" s="190"/>
      <c r="S236" s="190"/>
      <c r="T236" s="190"/>
      <c r="U236" s="191"/>
      <c r="V236" s="192"/>
      <c r="W236" s="193"/>
      <c r="X236" s="194"/>
      <c r="Y236" s="195"/>
      <c r="Z236" s="196"/>
      <c r="AA236" s="203"/>
      <c r="AB236" s="198"/>
      <c r="AC236" s="199"/>
      <c r="AD236" s="200"/>
      <c r="AE236" s="182"/>
      <c r="AF236" s="201"/>
      <c r="AG236" s="201"/>
    </row>
    <row r="237" spans="1:33" ht="24.75" customHeight="1" thickTop="1" thickBot="1">
      <c r="A237" s="217" t="str">
        <f t="shared" si="7"/>
        <v>#BL25-0002</v>
      </c>
      <c r="B237" s="181"/>
      <c r="C237" s="181"/>
      <c r="D237" s="184"/>
      <c r="E237" s="183"/>
      <c r="F237" s="184" t="str">
        <f t="shared" si="6"/>
        <v>Construction Exemplaire Inc.</v>
      </c>
      <c r="G237" s="184"/>
      <c r="H237" s="183"/>
      <c r="I237" s="182"/>
      <c r="J237" s="185"/>
      <c r="K237" s="185"/>
      <c r="L237" s="185"/>
      <c r="M237" s="187"/>
      <c r="N237" s="185"/>
      <c r="O237" s="188"/>
      <c r="P237" s="188"/>
      <c r="Q237" s="189"/>
      <c r="R237" s="190"/>
      <c r="S237" s="190"/>
      <c r="T237" s="190"/>
      <c r="U237" s="191"/>
      <c r="V237" s="192"/>
      <c r="W237" s="193"/>
      <c r="X237" s="194"/>
      <c r="Y237" s="195"/>
      <c r="Z237" s="196"/>
      <c r="AA237" s="203"/>
      <c r="AB237" s="198"/>
      <c r="AC237" s="199"/>
      <c r="AD237" s="200"/>
      <c r="AE237" s="182"/>
      <c r="AF237" s="201"/>
      <c r="AG237" s="201"/>
    </row>
    <row r="238" spans="1:33" ht="24.75" customHeight="1" thickTop="1" thickBot="1">
      <c r="A238" s="217" t="str">
        <f t="shared" si="7"/>
        <v>#BL25-0002</v>
      </c>
      <c r="B238" s="181"/>
      <c r="C238" s="181"/>
      <c r="D238" s="184"/>
      <c r="E238" s="183"/>
      <c r="F238" s="184" t="str">
        <f t="shared" si="6"/>
        <v>Construction Exemplaire Inc.</v>
      </c>
      <c r="G238" s="184"/>
      <c r="H238" s="183"/>
      <c r="I238" s="182"/>
      <c r="J238" s="185"/>
      <c r="K238" s="185"/>
      <c r="L238" s="185"/>
      <c r="M238" s="187"/>
      <c r="N238" s="185"/>
      <c r="O238" s="188"/>
      <c r="P238" s="188"/>
      <c r="Q238" s="189"/>
      <c r="R238" s="190"/>
      <c r="S238" s="190"/>
      <c r="T238" s="190"/>
      <c r="U238" s="191"/>
      <c r="V238" s="192"/>
      <c r="W238" s="193"/>
      <c r="X238" s="194"/>
      <c r="Y238" s="195"/>
      <c r="Z238" s="196"/>
      <c r="AA238" s="203"/>
      <c r="AB238" s="198"/>
      <c r="AC238" s="199"/>
      <c r="AD238" s="200"/>
      <c r="AE238" s="182"/>
      <c r="AF238" s="201"/>
      <c r="AG238" s="201"/>
    </row>
    <row r="239" spans="1:33" ht="27" customHeight="1" thickTop="1" thickBot="1">
      <c r="A239" s="217" t="str">
        <f t="shared" si="7"/>
        <v>#BL25-0002</v>
      </c>
      <c r="B239" s="181"/>
      <c r="C239" s="181"/>
      <c r="D239" s="207"/>
      <c r="E239" s="183"/>
      <c r="F239" s="184" t="str">
        <f t="shared" si="6"/>
        <v>Construction Exemplaire Inc.</v>
      </c>
      <c r="G239" s="184"/>
      <c r="H239" s="183"/>
      <c r="I239" s="182"/>
      <c r="J239" s="185"/>
      <c r="K239" s="185"/>
      <c r="L239" s="185"/>
      <c r="M239" s="187"/>
      <c r="N239" s="185"/>
      <c r="O239" s="188"/>
      <c r="P239" s="188"/>
      <c r="Q239" s="189"/>
      <c r="R239" s="190"/>
      <c r="S239" s="190"/>
      <c r="T239" s="190"/>
      <c r="U239" s="191"/>
      <c r="V239" s="192"/>
      <c r="W239" s="193"/>
      <c r="X239" s="194"/>
      <c r="Y239" s="195"/>
      <c r="Z239" s="196"/>
      <c r="AA239" s="203"/>
      <c r="AB239" s="198"/>
      <c r="AC239" s="199"/>
      <c r="AD239" s="200"/>
      <c r="AE239" s="182"/>
      <c r="AF239" s="201"/>
      <c r="AG239" s="201"/>
    </row>
    <row r="240" spans="1:33" ht="27" customHeight="1" thickTop="1" thickBot="1">
      <c r="A240" s="217" t="str">
        <f t="shared" si="7"/>
        <v>#BL25-0002</v>
      </c>
      <c r="B240" s="181"/>
      <c r="C240" s="181"/>
      <c r="D240" s="184"/>
      <c r="E240" s="183"/>
      <c r="F240" s="184" t="str">
        <f t="shared" si="6"/>
        <v>Construction Exemplaire Inc.</v>
      </c>
      <c r="G240" s="184"/>
      <c r="H240" s="183"/>
      <c r="I240" s="182"/>
      <c r="J240" s="185"/>
      <c r="K240" s="185"/>
      <c r="L240" s="185"/>
      <c r="M240" s="187"/>
      <c r="N240" s="185"/>
      <c r="O240" s="188"/>
      <c r="P240" s="188"/>
      <c r="Q240" s="189"/>
      <c r="R240" s="190"/>
      <c r="S240" s="190"/>
      <c r="T240" s="190"/>
      <c r="U240" s="191"/>
      <c r="V240" s="192"/>
      <c r="W240" s="193"/>
      <c r="X240" s="194"/>
      <c r="Y240" s="195"/>
      <c r="Z240" s="196"/>
      <c r="AA240" s="203"/>
      <c r="AB240" s="198"/>
      <c r="AC240" s="199"/>
      <c r="AD240" s="200"/>
      <c r="AE240" s="182"/>
      <c r="AF240" s="201"/>
      <c r="AG240" s="201"/>
    </row>
    <row r="241" spans="1:33" ht="24.75" customHeight="1" thickTop="1" thickBot="1">
      <c r="A241" s="217" t="str">
        <f t="shared" si="7"/>
        <v>#BL25-0002</v>
      </c>
      <c r="B241" s="181"/>
      <c r="C241" s="181"/>
      <c r="D241" s="184"/>
      <c r="E241" s="183"/>
      <c r="F241" s="184" t="str">
        <f t="shared" si="6"/>
        <v>Construction Exemplaire Inc.</v>
      </c>
      <c r="G241" s="184"/>
      <c r="H241" s="183"/>
      <c r="I241" s="182"/>
      <c r="J241" s="185"/>
      <c r="K241" s="185"/>
      <c r="L241" s="185"/>
      <c r="M241" s="187"/>
      <c r="N241" s="185"/>
      <c r="O241" s="188"/>
      <c r="P241" s="188"/>
      <c r="Q241" s="189"/>
      <c r="R241" s="190"/>
      <c r="S241" s="190"/>
      <c r="T241" s="190"/>
      <c r="U241" s="191"/>
      <c r="V241" s="192"/>
      <c r="W241" s="193"/>
      <c r="X241" s="194"/>
      <c r="Y241" s="195"/>
      <c r="Z241" s="196"/>
      <c r="AA241" s="203"/>
      <c r="AB241" s="198"/>
      <c r="AC241" s="199"/>
      <c r="AD241" s="200"/>
      <c r="AE241" s="182"/>
      <c r="AF241" s="201"/>
      <c r="AG241" s="201"/>
    </row>
    <row r="242" spans="1:33" ht="24.75" customHeight="1" thickTop="1" thickBot="1">
      <c r="A242" s="217" t="str">
        <f t="shared" si="7"/>
        <v>#BL25-0002</v>
      </c>
      <c r="B242" s="181"/>
      <c r="C242" s="181"/>
      <c r="D242" s="184"/>
      <c r="E242" s="183"/>
      <c r="F242" s="184" t="str">
        <f t="shared" si="6"/>
        <v>Construction Exemplaire Inc.</v>
      </c>
      <c r="G242" s="184"/>
      <c r="H242" s="183"/>
      <c r="I242" s="182"/>
      <c r="J242" s="185"/>
      <c r="K242" s="185"/>
      <c r="L242" s="185"/>
      <c r="M242" s="187"/>
      <c r="N242" s="185"/>
      <c r="O242" s="188"/>
      <c r="P242" s="188"/>
      <c r="Q242" s="189"/>
      <c r="R242" s="190"/>
      <c r="S242" s="190"/>
      <c r="T242" s="190"/>
      <c r="U242" s="191"/>
      <c r="V242" s="192"/>
      <c r="W242" s="193"/>
      <c r="X242" s="194"/>
      <c r="Y242" s="195"/>
      <c r="Z242" s="196"/>
      <c r="AA242" s="203"/>
      <c r="AB242" s="198"/>
      <c r="AC242" s="199"/>
      <c r="AD242" s="200"/>
      <c r="AE242" s="182"/>
      <c r="AF242" s="201"/>
      <c r="AG242" s="201"/>
    </row>
    <row r="243" spans="1:33" ht="24.75" customHeight="1" thickTop="1" thickBot="1">
      <c r="A243" s="217" t="str">
        <f t="shared" si="7"/>
        <v>#BL25-0002</v>
      </c>
      <c r="B243" s="181"/>
      <c r="C243" s="181"/>
      <c r="D243" s="184"/>
      <c r="E243" s="183"/>
      <c r="F243" s="184" t="str">
        <f t="shared" si="6"/>
        <v>Construction Exemplaire Inc.</v>
      </c>
      <c r="G243" s="184"/>
      <c r="H243" s="183"/>
      <c r="I243" s="182"/>
      <c r="J243" s="185"/>
      <c r="K243" s="185"/>
      <c r="L243" s="185"/>
      <c r="M243" s="187"/>
      <c r="N243" s="185"/>
      <c r="O243" s="188"/>
      <c r="P243" s="188"/>
      <c r="Q243" s="189"/>
      <c r="R243" s="190"/>
      <c r="S243" s="190"/>
      <c r="T243" s="190"/>
      <c r="U243" s="191"/>
      <c r="V243" s="192"/>
      <c r="W243" s="193"/>
      <c r="X243" s="194"/>
      <c r="Y243" s="195"/>
      <c r="Z243" s="196"/>
      <c r="AA243" s="203"/>
      <c r="AB243" s="198"/>
      <c r="AC243" s="199"/>
      <c r="AD243" s="200"/>
      <c r="AE243" s="182"/>
      <c r="AF243" s="201"/>
      <c r="AG243" s="201"/>
    </row>
    <row r="244" spans="1:33" ht="24.75" customHeight="1" thickTop="1" thickBot="1">
      <c r="A244" s="217" t="str">
        <f t="shared" si="7"/>
        <v>#BL25-0002</v>
      </c>
      <c r="B244" s="181"/>
      <c r="C244" s="181"/>
      <c r="D244" s="184"/>
      <c r="E244" s="183"/>
      <c r="F244" s="184" t="str">
        <f t="shared" si="6"/>
        <v>Construction Exemplaire Inc.</v>
      </c>
      <c r="G244" s="184"/>
      <c r="H244" s="183"/>
      <c r="I244" s="182"/>
      <c r="J244" s="185"/>
      <c r="K244" s="185"/>
      <c r="L244" s="185"/>
      <c r="M244" s="187"/>
      <c r="N244" s="185"/>
      <c r="O244" s="188"/>
      <c r="P244" s="188"/>
      <c r="Q244" s="189"/>
      <c r="R244" s="190"/>
      <c r="S244" s="190"/>
      <c r="T244" s="190"/>
      <c r="U244" s="191"/>
      <c r="V244" s="192"/>
      <c r="W244" s="193"/>
      <c r="X244" s="194"/>
      <c r="Y244" s="195"/>
      <c r="Z244" s="196"/>
      <c r="AA244" s="203"/>
      <c r="AB244" s="198"/>
      <c r="AC244" s="199"/>
      <c r="AD244" s="200"/>
      <c r="AE244" s="182"/>
      <c r="AF244" s="201"/>
      <c r="AG244" s="201"/>
    </row>
    <row r="245" spans="1:33" ht="24.75" customHeight="1" thickTop="1" thickBot="1">
      <c r="A245" s="217" t="str">
        <f t="shared" si="7"/>
        <v>#BL25-0002</v>
      </c>
      <c r="B245" s="181"/>
      <c r="C245" s="181"/>
      <c r="D245" s="184"/>
      <c r="E245" s="183"/>
      <c r="F245" s="184" t="str">
        <f t="shared" si="6"/>
        <v>Construction Exemplaire Inc.</v>
      </c>
      <c r="G245" s="184"/>
      <c r="H245" s="183"/>
      <c r="I245" s="182"/>
      <c r="J245" s="185"/>
      <c r="K245" s="185"/>
      <c r="L245" s="185"/>
      <c r="M245" s="187"/>
      <c r="N245" s="185"/>
      <c r="O245" s="188"/>
      <c r="P245" s="188"/>
      <c r="Q245" s="189"/>
      <c r="R245" s="190"/>
      <c r="S245" s="190"/>
      <c r="T245" s="190"/>
      <c r="U245" s="191"/>
      <c r="V245" s="192"/>
      <c r="W245" s="193"/>
      <c r="X245" s="194"/>
      <c r="Y245" s="195"/>
      <c r="Z245" s="196"/>
      <c r="AA245" s="203"/>
      <c r="AB245" s="198"/>
      <c r="AC245" s="199"/>
      <c r="AD245" s="200"/>
      <c r="AE245" s="182"/>
      <c r="AF245" s="201"/>
      <c r="AG245" s="201"/>
    </row>
    <row r="246" spans="1:33" ht="24.75" customHeight="1" thickTop="1" thickBot="1">
      <c r="A246" s="217" t="str">
        <f t="shared" si="7"/>
        <v>#BL25-0002</v>
      </c>
      <c r="B246" s="181"/>
      <c r="C246" s="181"/>
      <c r="D246" s="184"/>
      <c r="E246" s="183"/>
      <c r="F246" s="184" t="str">
        <f t="shared" si="6"/>
        <v>Construction Exemplaire Inc.</v>
      </c>
      <c r="G246" s="184"/>
      <c r="H246" s="183"/>
      <c r="I246" s="182"/>
      <c r="J246" s="185"/>
      <c r="K246" s="185"/>
      <c r="L246" s="185"/>
      <c r="M246" s="187"/>
      <c r="N246" s="185"/>
      <c r="O246" s="188"/>
      <c r="P246" s="188"/>
      <c r="Q246" s="189"/>
      <c r="R246" s="190"/>
      <c r="S246" s="190"/>
      <c r="T246" s="190"/>
      <c r="U246" s="191"/>
      <c r="V246" s="192"/>
      <c r="W246" s="193"/>
      <c r="X246" s="194"/>
      <c r="Y246" s="195"/>
      <c r="Z246" s="196"/>
      <c r="AA246" s="203"/>
      <c r="AB246" s="198"/>
      <c r="AC246" s="199"/>
      <c r="AD246" s="200"/>
      <c r="AE246" s="182"/>
      <c r="AF246" s="201"/>
      <c r="AG246" s="201"/>
    </row>
    <row r="247" spans="1:33" ht="24.75" customHeight="1" thickTop="1" thickBot="1">
      <c r="A247" s="217" t="str">
        <f t="shared" si="7"/>
        <v>#BL25-0002</v>
      </c>
      <c r="B247" s="181"/>
      <c r="C247" s="181"/>
      <c r="D247" s="184"/>
      <c r="E247" s="183"/>
      <c r="F247" s="184" t="str">
        <f t="shared" si="6"/>
        <v>Construction Exemplaire Inc.</v>
      </c>
      <c r="G247" s="184"/>
      <c r="H247" s="183"/>
      <c r="I247" s="182"/>
      <c r="J247" s="185"/>
      <c r="K247" s="185"/>
      <c r="L247" s="185"/>
      <c r="M247" s="187"/>
      <c r="N247" s="185"/>
      <c r="O247" s="188"/>
      <c r="P247" s="188"/>
      <c r="Q247" s="189"/>
      <c r="R247" s="190"/>
      <c r="S247" s="190"/>
      <c r="T247" s="190"/>
      <c r="U247" s="191"/>
      <c r="V247" s="192"/>
      <c r="W247" s="193"/>
      <c r="X247" s="194"/>
      <c r="Y247" s="195"/>
      <c r="Z247" s="196"/>
      <c r="AA247" s="203"/>
      <c r="AB247" s="198"/>
      <c r="AC247" s="199"/>
      <c r="AD247" s="200"/>
      <c r="AE247" s="182"/>
      <c r="AF247" s="201"/>
      <c r="AG247" s="201"/>
    </row>
    <row r="248" spans="1:33" ht="24.75" customHeight="1" thickTop="1" thickBot="1">
      <c r="A248" s="217" t="str">
        <f t="shared" si="7"/>
        <v>#BL25-0002</v>
      </c>
      <c r="B248" s="181"/>
      <c r="C248" s="181"/>
      <c r="D248" s="184"/>
      <c r="E248" s="183"/>
      <c r="F248" s="184" t="str">
        <f t="shared" si="6"/>
        <v>Construction Exemplaire Inc.</v>
      </c>
      <c r="G248" s="184"/>
      <c r="H248" s="183"/>
      <c r="I248" s="182"/>
      <c r="J248" s="185"/>
      <c r="K248" s="185"/>
      <c r="L248" s="185"/>
      <c r="M248" s="187"/>
      <c r="N248" s="185"/>
      <c r="O248" s="188"/>
      <c r="P248" s="188"/>
      <c r="Q248" s="189"/>
      <c r="R248" s="190"/>
      <c r="S248" s="190"/>
      <c r="T248" s="190"/>
      <c r="U248" s="191"/>
      <c r="V248" s="192"/>
      <c r="W248" s="193"/>
      <c r="X248" s="194"/>
      <c r="Y248" s="195"/>
      <c r="Z248" s="196"/>
      <c r="AA248" s="203"/>
      <c r="AB248" s="198"/>
      <c r="AC248" s="199"/>
      <c r="AD248" s="200"/>
      <c r="AE248" s="182"/>
      <c r="AF248" s="201"/>
      <c r="AG248" s="201"/>
    </row>
    <row r="249" spans="1:33" ht="24.75" customHeight="1" thickTop="1" thickBot="1">
      <c r="A249" s="217" t="str">
        <f t="shared" si="7"/>
        <v>#BL25-0002</v>
      </c>
      <c r="B249" s="181"/>
      <c r="C249" s="181"/>
      <c r="D249" s="184"/>
      <c r="E249" s="183"/>
      <c r="F249" s="184" t="str">
        <f t="shared" si="6"/>
        <v>Construction Exemplaire Inc.</v>
      </c>
      <c r="G249" s="184"/>
      <c r="H249" s="183"/>
      <c r="I249" s="182"/>
      <c r="J249" s="185"/>
      <c r="K249" s="185"/>
      <c r="L249" s="185"/>
      <c r="M249" s="187"/>
      <c r="N249" s="185"/>
      <c r="O249" s="188"/>
      <c r="P249" s="188"/>
      <c r="Q249" s="189"/>
      <c r="R249" s="190"/>
      <c r="S249" s="190"/>
      <c r="T249" s="190"/>
      <c r="U249" s="191"/>
      <c r="V249" s="192"/>
      <c r="W249" s="193"/>
      <c r="X249" s="194"/>
      <c r="Y249" s="195"/>
      <c r="Z249" s="196"/>
      <c r="AA249" s="203"/>
      <c r="AB249" s="198"/>
      <c r="AC249" s="199"/>
      <c r="AD249" s="200"/>
      <c r="AE249" s="182"/>
      <c r="AF249" s="201"/>
      <c r="AG249" s="201"/>
    </row>
    <row r="250" spans="1:33" ht="24.75" customHeight="1" thickTop="1" thickBot="1">
      <c r="A250" s="217" t="str">
        <f t="shared" si="7"/>
        <v>#BL25-0002</v>
      </c>
      <c r="B250" s="181"/>
      <c r="C250" s="181"/>
      <c r="D250" s="184"/>
      <c r="E250" s="183"/>
      <c r="F250" s="184" t="str">
        <f t="shared" si="6"/>
        <v>Construction Exemplaire Inc.</v>
      </c>
      <c r="G250" s="184"/>
      <c r="H250" s="183"/>
      <c r="I250" s="182"/>
      <c r="J250" s="185"/>
      <c r="K250" s="185"/>
      <c r="L250" s="185"/>
      <c r="M250" s="187"/>
      <c r="N250" s="185"/>
      <c r="O250" s="188"/>
      <c r="P250" s="188"/>
      <c r="Q250" s="189"/>
      <c r="R250" s="190"/>
      <c r="S250" s="190"/>
      <c r="T250" s="190"/>
      <c r="U250" s="191"/>
      <c r="V250" s="192"/>
      <c r="W250" s="193"/>
      <c r="X250" s="194"/>
      <c r="Y250" s="195"/>
      <c r="Z250" s="196"/>
      <c r="AA250" s="203"/>
      <c r="AB250" s="198"/>
      <c r="AC250" s="199"/>
      <c r="AD250" s="200"/>
      <c r="AE250" s="182"/>
      <c r="AF250" s="201"/>
      <c r="AG250" s="201"/>
    </row>
    <row r="251" spans="1:33" ht="24.75" customHeight="1" thickTop="1" thickBot="1">
      <c r="A251" s="217" t="str">
        <f t="shared" si="7"/>
        <v>#BL25-0002</v>
      </c>
      <c r="B251" s="181"/>
      <c r="C251" s="181"/>
      <c r="D251" s="184"/>
      <c r="E251" s="183"/>
      <c r="F251" s="184" t="str">
        <f t="shared" si="6"/>
        <v>Construction Exemplaire Inc.</v>
      </c>
      <c r="G251" s="184"/>
      <c r="H251" s="183"/>
      <c r="I251" s="182"/>
      <c r="J251" s="185"/>
      <c r="K251" s="185"/>
      <c r="L251" s="185"/>
      <c r="M251" s="187"/>
      <c r="N251" s="185"/>
      <c r="O251" s="188"/>
      <c r="P251" s="188"/>
      <c r="Q251" s="189"/>
      <c r="R251" s="190"/>
      <c r="S251" s="190"/>
      <c r="T251" s="190"/>
      <c r="U251" s="191"/>
      <c r="V251" s="192"/>
      <c r="W251" s="193"/>
      <c r="X251" s="194"/>
      <c r="Y251" s="195"/>
      <c r="Z251" s="196"/>
      <c r="AA251" s="203"/>
      <c r="AB251" s="198"/>
      <c r="AC251" s="199"/>
      <c r="AD251" s="200"/>
      <c r="AE251" s="182"/>
      <c r="AF251" s="201"/>
      <c r="AG251" s="201"/>
    </row>
    <row r="252" spans="1:33" ht="24.75" customHeight="1" thickTop="1" thickBot="1">
      <c r="A252" s="217" t="str">
        <f t="shared" si="7"/>
        <v>#BL25-0002</v>
      </c>
      <c r="B252" s="181"/>
      <c r="C252" s="181"/>
      <c r="D252" s="184"/>
      <c r="E252" s="183"/>
      <c r="F252" s="184" t="str">
        <f t="shared" si="6"/>
        <v>Construction Exemplaire Inc.</v>
      </c>
      <c r="G252" s="184"/>
      <c r="H252" s="183"/>
      <c r="I252" s="182"/>
      <c r="J252" s="185"/>
      <c r="K252" s="185"/>
      <c r="L252" s="185"/>
      <c r="M252" s="187"/>
      <c r="N252" s="185"/>
      <c r="O252" s="188"/>
      <c r="P252" s="188"/>
      <c r="Q252" s="189"/>
      <c r="R252" s="190"/>
      <c r="S252" s="190"/>
      <c r="T252" s="190"/>
      <c r="U252" s="191"/>
      <c r="V252" s="192"/>
      <c r="W252" s="193"/>
      <c r="X252" s="194"/>
      <c r="Y252" s="195"/>
      <c r="Z252" s="196"/>
      <c r="AA252" s="203"/>
      <c r="AB252" s="198"/>
      <c r="AC252" s="199"/>
      <c r="AD252" s="200"/>
      <c r="AE252" s="182"/>
      <c r="AF252" s="201"/>
      <c r="AG252" s="201"/>
    </row>
    <row r="253" spans="1:33" ht="24.75" customHeight="1" thickTop="1" thickBot="1">
      <c r="A253" s="217" t="str">
        <f t="shared" si="7"/>
        <v>#BL25-0002</v>
      </c>
      <c r="B253" s="181"/>
      <c r="C253" s="181"/>
      <c r="D253" s="184"/>
      <c r="E253" s="183"/>
      <c r="F253" s="184" t="str">
        <f t="shared" si="6"/>
        <v>Construction Exemplaire Inc.</v>
      </c>
      <c r="G253" s="184"/>
      <c r="H253" s="183"/>
      <c r="I253" s="182"/>
      <c r="J253" s="185"/>
      <c r="K253" s="185"/>
      <c r="L253" s="185"/>
      <c r="M253" s="187"/>
      <c r="N253" s="185"/>
      <c r="O253" s="188"/>
      <c r="P253" s="188"/>
      <c r="Q253" s="189"/>
      <c r="R253" s="190"/>
      <c r="S253" s="190"/>
      <c r="T253" s="190"/>
      <c r="U253" s="191"/>
      <c r="V253" s="192"/>
      <c r="W253" s="193"/>
      <c r="X253" s="194"/>
      <c r="Y253" s="195"/>
      <c r="Z253" s="196"/>
      <c r="AA253" s="203"/>
      <c r="AB253" s="198"/>
      <c r="AC253" s="199"/>
      <c r="AD253" s="200"/>
      <c r="AE253" s="182"/>
      <c r="AF253" s="201"/>
      <c r="AG253" s="201"/>
    </row>
    <row r="254" spans="1:33" ht="24.75" customHeight="1" thickTop="1" thickBot="1">
      <c r="A254" s="217" t="str">
        <f t="shared" si="7"/>
        <v>#BL25-0002</v>
      </c>
      <c r="B254" s="181"/>
      <c r="C254" s="181"/>
      <c r="D254" s="184"/>
      <c r="E254" s="183"/>
      <c r="F254" s="184" t="str">
        <f t="shared" si="6"/>
        <v>Construction Exemplaire Inc.</v>
      </c>
      <c r="G254" s="184"/>
      <c r="H254" s="183"/>
      <c r="I254" s="182"/>
      <c r="J254" s="185"/>
      <c r="K254" s="185"/>
      <c r="L254" s="185"/>
      <c r="M254" s="187"/>
      <c r="N254" s="185"/>
      <c r="O254" s="188"/>
      <c r="P254" s="188"/>
      <c r="Q254" s="189"/>
      <c r="R254" s="190"/>
      <c r="S254" s="190"/>
      <c r="T254" s="190"/>
      <c r="U254" s="191"/>
      <c r="V254" s="192"/>
      <c r="W254" s="193"/>
      <c r="X254" s="194"/>
      <c r="Y254" s="195"/>
      <c r="Z254" s="196"/>
      <c r="AA254" s="203"/>
      <c r="AB254" s="198"/>
      <c r="AC254" s="199"/>
      <c r="AD254" s="200"/>
      <c r="AE254" s="182"/>
      <c r="AF254" s="201"/>
      <c r="AG254" s="201"/>
    </row>
    <row r="255" spans="1:33" ht="30" customHeight="1" thickTop="1" thickBot="1">
      <c r="A255" s="217" t="str">
        <f t="shared" si="7"/>
        <v>#BL25-0002</v>
      </c>
      <c r="B255" s="181"/>
      <c r="C255" s="181"/>
      <c r="D255" s="184"/>
      <c r="E255" s="183"/>
      <c r="F255" s="184" t="str">
        <f t="shared" si="6"/>
        <v>Construction Exemplaire Inc.</v>
      </c>
      <c r="G255" s="184"/>
      <c r="H255" s="183"/>
      <c r="I255" s="182"/>
      <c r="J255" s="185"/>
      <c r="K255" s="185"/>
      <c r="L255" s="185"/>
      <c r="M255" s="187"/>
      <c r="N255" s="185"/>
      <c r="O255" s="188"/>
      <c r="P255" s="188"/>
      <c r="Q255" s="189"/>
      <c r="R255" s="190"/>
      <c r="S255" s="190"/>
      <c r="T255" s="190"/>
      <c r="U255" s="191"/>
      <c r="V255" s="192"/>
      <c r="W255" s="193"/>
      <c r="X255" s="194"/>
      <c r="Y255" s="195"/>
      <c r="Z255" s="196"/>
      <c r="AA255" s="203"/>
      <c r="AB255" s="198"/>
      <c r="AC255" s="199"/>
      <c r="AD255" s="200"/>
      <c r="AE255" s="182"/>
      <c r="AF255" s="201"/>
      <c r="AG255" s="201"/>
    </row>
    <row r="256" spans="1:33" ht="30" customHeight="1" thickTop="1" thickBot="1">
      <c r="A256" s="217" t="str">
        <f t="shared" si="7"/>
        <v>#BL25-0002</v>
      </c>
      <c r="B256" s="181"/>
      <c r="C256" s="181"/>
      <c r="D256" s="184"/>
      <c r="E256" s="183"/>
      <c r="F256" s="184" t="str">
        <f t="shared" si="6"/>
        <v>Construction Exemplaire Inc.</v>
      </c>
      <c r="G256" s="184"/>
      <c r="H256" s="183"/>
      <c r="I256" s="182"/>
      <c r="J256" s="185"/>
      <c r="K256" s="185"/>
      <c r="L256" s="185"/>
      <c r="M256" s="187"/>
      <c r="N256" s="185"/>
      <c r="O256" s="188"/>
      <c r="P256" s="188"/>
      <c r="Q256" s="189"/>
      <c r="R256" s="190"/>
      <c r="S256" s="190"/>
      <c r="T256" s="190"/>
      <c r="U256" s="191"/>
      <c r="V256" s="192"/>
      <c r="W256" s="193"/>
      <c r="X256" s="194"/>
      <c r="Y256" s="195"/>
      <c r="Z256" s="196"/>
      <c r="AA256" s="203"/>
      <c r="AB256" s="198"/>
      <c r="AC256" s="199"/>
      <c r="AD256" s="200"/>
      <c r="AE256" s="182"/>
      <c r="AF256" s="201"/>
      <c r="AG256" s="201"/>
    </row>
    <row r="257" spans="1:33" ht="30" customHeight="1" thickTop="1" thickBot="1">
      <c r="A257" s="217" t="str">
        <f t="shared" si="7"/>
        <v>#BL25-0002</v>
      </c>
      <c r="B257" s="181"/>
      <c r="C257" s="181"/>
      <c r="D257" s="184"/>
      <c r="E257" s="183"/>
      <c r="F257" s="184" t="str">
        <f t="shared" si="6"/>
        <v>Construction Exemplaire Inc.</v>
      </c>
      <c r="G257" s="184"/>
      <c r="H257" s="183"/>
      <c r="I257" s="182"/>
      <c r="J257" s="185"/>
      <c r="K257" s="185"/>
      <c r="L257" s="185"/>
      <c r="M257" s="187"/>
      <c r="N257" s="185"/>
      <c r="O257" s="188"/>
      <c r="P257" s="188"/>
      <c r="Q257" s="189"/>
      <c r="R257" s="190"/>
      <c r="S257" s="190"/>
      <c r="T257" s="190"/>
      <c r="U257" s="191"/>
      <c r="V257" s="192"/>
      <c r="W257" s="193"/>
      <c r="X257" s="194"/>
      <c r="Y257" s="195"/>
      <c r="Z257" s="196"/>
      <c r="AA257" s="203"/>
      <c r="AB257" s="198"/>
      <c r="AC257" s="199"/>
      <c r="AD257" s="200"/>
      <c r="AE257" s="182"/>
      <c r="AF257" s="201"/>
      <c r="AG257" s="201"/>
    </row>
    <row r="258" spans="1:33" ht="30" customHeight="1" thickTop="1" thickBot="1">
      <c r="A258" s="217" t="str">
        <f t="shared" si="7"/>
        <v>#BL25-0002</v>
      </c>
      <c r="B258" s="181"/>
      <c r="C258" s="181"/>
      <c r="D258" s="184"/>
      <c r="E258" s="183"/>
      <c r="F258" s="184" t="str">
        <f t="shared" si="6"/>
        <v>Construction Exemplaire Inc.</v>
      </c>
      <c r="G258" s="184"/>
      <c r="H258" s="183"/>
      <c r="I258" s="182"/>
      <c r="J258" s="185"/>
      <c r="K258" s="185"/>
      <c r="L258" s="185"/>
      <c r="M258" s="187"/>
      <c r="N258" s="185"/>
      <c r="O258" s="188"/>
      <c r="P258" s="188"/>
      <c r="Q258" s="189"/>
      <c r="R258" s="190"/>
      <c r="S258" s="190"/>
      <c r="T258" s="190"/>
      <c r="U258" s="191"/>
      <c r="V258" s="192"/>
      <c r="W258" s="193"/>
      <c r="X258" s="194"/>
      <c r="Y258" s="195"/>
      <c r="Z258" s="196"/>
      <c r="AA258" s="203"/>
      <c r="AB258" s="198"/>
      <c r="AC258" s="199"/>
      <c r="AD258" s="200"/>
      <c r="AE258" s="182"/>
      <c r="AF258" s="201"/>
      <c r="AG258" s="201"/>
    </row>
    <row r="259" spans="1:33" ht="30" customHeight="1" thickTop="1" thickBot="1">
      <c r="A259" s="217" t="str">
        <f t="shared" si="7"/>
        <v>#BL25-0002</v>
      </c>
      <c r="B259" s="181"/>
      <c r="C259" s="181"/>
      <c r="D259" s="184"/>
      <c r="E259" s="183"/>
      <c r="F259" s="184" t="str">
        <f t="shared" si="6"/>
        <v>Construction Exemplaire Inc.</v>
      </c>
      <c r="G259" s="184"/>
      <c r="H259" s="183"/>
      <c r="I259" s="182"/>
      <c r="J259" s="185"/>
      <c r="K259" s="185"/>
      <c r="L259" s="185"/>
      <c r="M259" s="187"/>
      <c r="N259" s="185"/>
      <c r="O259" s="188"/>
      <c r="P259" s="188"/>
      <c r="Q259" s="189"/>
      <c r="R259" s="190"/>
      <c r="S259" s="190"/>
      <c r="T259" s="190"/>
      <c r="U259" s="191"/>
      <c r="V259" s="192"/>
      <c r="W259" s="193"/>
      <c r="X259" s="194"/>
      <c r="Y259" s="195"/>
      <c r="Z259" s="196"/>
      <c r="AA259" s="203"/>
      <c r="AB259" s="198"/>
      <c r="AC259" s="199"/>
      <c r="AD259" s="200"/>
      <c r="AE259" s="182"/>
      <c r="AF259" s="201"/>
      <c r="AG259" s="201"/>
    </row>
    <row r="260" spans="1:33" ht="30" customHeight="1" thickTop="1" thickBot="1">
      <c r="A260" s="217" t="str">
        <f t="shared" si="7"/>
        <v>#BL25-0002</v>
      </c>
      <c r="B260" s="181"/>
      <c r="C260" s="181"/>
      <c r="D260" s="184"/>
      <c r="E260" s="183"/>
      <c r="F260" s="184" t="str">
        <f t="shared" si="6"/>
        <v>Construction Exemplaire Inc.</v>
      </c>
      <c r="G260" s="184"/>
      <c r="H260" s="183"/>
      <c r="I260" s="182"/>
      <c r="J260" s="185"/>
      <c r="K260" s="185"/>
      <c r="L260" s="185"/>
      <c r="M260" s="187"/>
      <c r="N260" s="185"/>
      <c r="O260" s="188"/>
      <c r="P260" s="188"/>
      <c r="Q260" s="189"/>
      <c r="R260" s="190"/>
      <c r="S260" s="190"/>
      <c r="T260" s="190"/>
      <c r="U260" s="191"/>
      <c r="V260" s="192"/>
      <c r="W260" s="193"/>
      <c r="X260" s="194"/>
      <c r="Y260" s="195"/>
      <c r="Z260" s="196"/>
      <c r="AA260" s="203"/>
      <c r="AB260" s="198"/>
      <c r="AC260" s="199"/>
      <c r="AD260" s="200"/>
      <c r="AE260" s="182"/>
      <c r="AF260" s="201"/>
      <c r="AG260" s="201"/>
    </row>
    <row r="261" spans="1:33" ht="30" customHeight="1" thickTop="1" thickBot="1">
      <c r="A261" s="217" t="str">
        <f t="shared" si="7"/>
        <v>#BL25-0002</v>
      </c>
      <c r="B261" s="181"/>
      <c r="C261" s="181"/>
      <c r="D261" s="184"/>
      <c r="E261" s="183"/>
      <c r="F261" s="184" t="str">
        <f t="shared" si="6"/>
        <v>Construction Exemplaire Inc.</v>
      </c>
      <c r="G261" s="184"/>
      <c r="H261" s="183"/>
      <c r="I261" s="182"/>
      <c r="J261" s="185"/>
      <c r="K261" s="185"/>
      <c r="L261" s="185"/>
      <c r="M261" s="187"/>
      <c r="N261" s="185"/>
      <c r="O261" s="188"/>
      <c r="P261" s="188"/>
      <c r="Q261" s="189"/>
      <c r="R261" s="190"/>
      <c r="S261" s="190"/>
      <c r="T261" s="190"/>
      <c r="U261" s="191"/>
      <c r="V261" s="192"/>
      <c r="W261" s="193"/>
      <c r="X261" s="194"/>
      <c r="Y261" s="195"/>
      <c r="Z261" s="196"/>
      <c r="AA261" s="203"/>
      <c r="AB261" s="198"/>
      <c r="AC261" s="199"/>
      <c r="AD261" s="200"/>
      <c r="AE261" s="182"/>
      <c r="AF261" s="201"/>
      <c r="AG261" s="201"/>
    </row>
    <row r="262" spans="1:33" ht="30" customHeight="1" thickTop="1" thickBot="1">
      <c r="A262" s="217" t="str">
        <f t="shared" si="7"/>
        <v>#BL25-0002</v>
      </c>
      <c r="B262" s="181"/>
      <c r="C262" s="181"/>
      <c r="D262" s="184"/>
      <c r="E262" s="183"/>
      <c r="F262" s="184" t="str">
        <f t="shared" si="6"/>
        <v>Construction Exemplaire Inc.</v>
      </c>
      <c r="G262" s="184"/>
      <c r="H262" s="183"/>
      <c r="I262" s="182"/>
      <c r="J262" s="185"/>
      <c r="K262" s="185"/>
      <c r="L262" s="185"/>
      <c r="M262" s="187"/>
      <c r="N262" s="185"/>
      <c r="O262" s="188"/>
      <c r="P262" s="188"/>
      <c r="Q262" s="189"/>
      <c r="R262" s="190"/>
      <c r="S262" s="190"/>
      <c r="T262" s="190"/>
      <c r="U262" s="191"/>
      <c r="V262" s="192"/>
      <c r="W262" s="193"/>
      <c r="X262" s="194"/>
      <c r="Y262" s="195"/>
      <c r="Z262" s="196"/>
      <c r="AA262" s="203"/>
      <c r="AB262" s="198"/>
      <c r="AC262" s="199"/>
      <c r="AD262" s="200"/>
      <c r="AE262" s="182"/>
      <c r="AF262" s="201"/>
      <c r="AG262" s="201"/>
    </row>
    <row r="263" spans="1:33" ht="30" customHeight="1" thickTop="1" thickBot="1">
      <c r="A263" s="217" t="str">
        <f t="shared" si="7"/>
        <v>#BL25-0002</v>
      </c>
      <c r="B263" s="181"/>
      <c r="C263" s="181"/>
      <c r="D263" s="184"/>
      <c r="E263" s="183"/>
      <c r="F263" s="184" t="str">
        <f t="shared" si="6"/>
        <v>Construction Exemplaire Inc.</v>
      </c>
      <c r="G263" s="184"/>
      <c r="H263" s="183"/>
      <c r="I263" s="182"/>
      <c r="J263" s="185"/>
      <c r="K263" s="185"/>
      <c r="L263" s="185"/>
      <c r="M263" s="187"/>
      <c r="N263" s="185"/>
      <c r="O263" s="188"/>
      <c r="P263" s="188"/>
      <c r="Q263" s="189"/>
      <c r="R263" s="190"/>
      <c r="S263" s="190"/>
      <c r="T263" s="190"/>
      <c r="U263" s="191"/>
      <c r="V263" s="192"/>
      <c r="W263" s="193"/>
      <c r="X263" s="194"/>
      <c r="Y263" s="195"/>
      <c r="Z263" s="196"/>
      <c r="AA263" s="203"/>
      <c r="AB263" s="198"/>
      <c r="AC263" s="199"/>
      <c r="AD263" s="200"/>
      <c r="AE263" s="182"/>
      <c r="AF263" s="201"/>
      <c r="AG263" s="201"/>
    </row>
    <row r="264" spans="1:33" ht="30" customHeight="1" thickTop="1" thickBot="1">
      <c r="A264" s="217" t="str">
        <f t="shared" si="7"/>
        <v>#BL25-0002</v>
      </c>
      <c r="B264" s="181"/>
      <c r="C264" s="181"/>
      <c r="D264" s="184"/>
      <c r="E264" s="183"/>
      <c r="F264" s="184" t="str">
        <f t="shared" ref="F264:F327" si="8">nomClient</f>
        <v>Construction Exemplaire Inc.</v>
      </c>
      <c r="G264" s="184"/>
      <c r="H264" s="183"/>
      <c r="I264" s="182"/>
      <c r="J264" s="185"/>
      <c r="K264" s="185"/>
      <c r="L264" s="185"/>
      <c r="M264" s="187"/>
      <c r="N264" s="185"/>
      <c r="O264" s="188"/>
      <c r="P264" s="188"/>
      <c r="Q264" s="189"/>
      <c r="R264" s="190"/>
      <c r="S264" s="190"/>
      <c r="T264" s="190"/>
      <c r="U264" s="191"/>
      <c r="V264" s="192"/>
      <c r="W264" s="193"/>
      <c r="X264" s="194"/>
      <c r="Y264" s="195"/>
      <c r="Z264" s="196"/>
      <c r="AA264" s="203"/>
      <c r="AB264" s="198"/>
      <c r="AC264" s="199"/>
      <c r="AD264" s="200"/>
      <c r="AE264" s="182"/>
      <c r="AF264" s="201"/>
      <c r="AG264" s="201"/>
    </row>
    <row r="265" spans="1:33" ht="30" customHeight="1" thickTop="1" thickBot="1">
      <c r="A265" s="217" t="str">
        <f t="shared" ref="A265:A328" si="9">Ligne1</f>
        <v>#BL25-0002</v>
      </c>
      <c r="B265" s="181"/>
      <c r="C265" s="181"/>
      <c r="D265" s="184"/>
      <c r="E265" s="183"/>
      <c r="F265" s="184" t="str">
        <f t="shared" si="8"/>
        <v>Construction Exemplaire Inc.</v>
      </c>
      <c r="G265" s="184"/>
      <c r="H265" s="183"/>
      <c r="I265" s="182"/>
      <c r="J265" s="185"/>
      <c r="K265" s="185"/>
      <c r="L265" s="185"/>
      <c r="M265" s="187"/>
      <c r="N265" s="185"/>
      <c r="O265" s="188"/>
      <c r="P265" s="188"/>
      <c r="Q265" s="189"/>
      <c r="R265" s="190"/>
      <c r="S265" s="190"/>
      <c r="T265" s="190"/>
      <c r="U265" s="191"/>
      <c r="V265" s="192"/>
      <c r="W265" s="193"/>
      <c r="X265" s="194"/>
      <c r="Y265" s="195"/>
      <c r="Z265" s="196"/>
      <c r="AA265" s="203"/>
      <c r="AB265" s="198"/>
      <c r="AC265" s="199"/>
      <c r="AD265" s="200"/>
      <c r="AE265" s="182"/>
      <c r="AF265" s="201"/>
      <c r="AG265" s="201"/>
    </row>
    <row r="266" spans="1:33" ht="30" customHeight="1" thickTop="1" thickBot="1">
      <c r="A266" s="217" t="str">
        <f t="shared" si="9"/>
        <v>#BL25-0002</v>
      </c>
      <c r="B266" s="181"/>
      <c r="C266" s="181"/>
      <c r="D266" s="184"/>
      <c r="E266" s="183"/>
      <c r="F266" s="184" t="str">
        <f t="shared" si="8"/>
        <v>Construction Exemplaire Inc.</v>
      </c>
      <c r="G266" s="184"/>
      <c r="H266" s="183"/>
      <c r="I266" s="182"/>
      <c r="J266" s="185"/>
      <c r="K266" s="185"/>
      <c r="L266" s="185"/>
      <c r="M266" s="187"/>
      <c r="N266" s="185"/>
      <c r="O266" s="188"/>
      <c r="P266" s="188"/>
      <c r="Q266" s="189"/>
      <c r="R266" s="190"/>
      <c r="S266" s="190"/>
      <c r="T266" s="190"/>
      <c r="U266" s="191"/>
      <c r="V266" s="192"/>
      <c r="W266" s="193"/>
      <c r="X266" s="194"/>
      <c r="Y266" s="195"/>
      <c r="Z266" s="196"/>
      <c r="AA266" s="203"/>
      <c r="AB266" s="198"/>
      <c r="AC266" s="199"/>
      <c r="AD266" s="200"/>
      <c r="AE266" s="182"/>
      <c r="AF266" s="201"/>
      <c r="AG266" s="201"/>
    </row>
    <row r="267" spans="1:33" ht="30" customHeight="1" thickTop="1" thickBot="1">
      <c r="A267" s="217" t="str">
        <f t="shared" si="9"/>
        <v>#BL25-0002</v>
      </c>
      <c r="B267" s="181"/>
      <c r="C267" s="181"/>
      <c r="D267" s="184"/>
      <c r="E267" s="183"/>
      <c r="F267" s="184" t="str">
        <f t="shared" si="8"/>
        <v>Construction Exemplaire Inc.</v>
      </c>
      <c r="G267" s="184"/>
      <c r="H267" s="183"/>
      <c r="I267" s="182"/>
      <c r="J267" s="185"/>
      <c r="K267" s="185"/>
      <c r="L267" s="185"/>
      <c r="M267" s="187"/>
      <c r="N267" s="185"/>
      <c r="O267" s="188"/>
      <c r="P267" s="188"/>
      <c r="Q267" s="189"/>
      <c r="R267" s="190"/>
      <c r="S267" s="190"/>
      <c r="T267" s="190"/>
      <c r="U267" s="191"/>
      <c r="V267" s="192"/>
      <c r="W267" s="193"/>
      <c r="X267" s="194"/>
      <c r="Y267" s="195"/>
      <c r="Z267" s="196"/>
      <c r="AA267" s="203"/>
      <c r="AB267" s="198"/>
      <c r="AC267" s="199"/>
      <c r="AD267" s="200"/>
      <c r="AE267" s="182"/>
      <c r="AF267" s="201"/>
      <c r="AG267" s="201"/>
    </row>
    <row r="268" spans="1:33" ht="30" customHeight="1" thickTop="1" thickBot="1">
      <c r="A268" s="217" t="str">
        <f t="shared" si="9"/>
        <v>#BL25-0002</v>
      </c>
      <c r="B268" s="181"/>
      <c r="C268" s="181"/>
      <c r="D268" s="184"/>
      <c r="E268" s="183"/>
      <c r="F268" s="184" t="str">
        <f t="shared" si="8"/>
        <v>Construction Exemplaire Inc.</v>
      </c>
      <c r="G268" s="184"/>
      <c r="H268" s="183"/>
      <c r="I268" s="182"/>
      <c r="J268" s="185"/>
      <c r="K268" s="185"/>
      <c r="L268" s="185"/>
      <c r="M268" s="187"/>
      <c r="N268" s="185"/>
      <c r="O268" s="188"/>
      <c r="P268" s="188"/>
      <c r="Q268" s="189"/>
      <c r="R268" s="190"/>
      <c r="S268" s="190"/>
      <c r="T268" s="190"/>
      <c r="U268" s="191"/>
      <c r="V268" s="192"/>
      <c r="W268" s="193"/>
      <c r="X268" s="194"/>
      <c r="Y268" s="195"/>
      <c r="Z268" s="196"/>
      <c r="AA268" s="203"/>
      <c r="AB268" s="198"/>
      <c r="AC268" s="199"/>
      <c r="AD268" s="200"/>
      <c r="AE268" s="182"/>
      <c r="AF268" s="201"/>
      <c r="AG268" s="201"/>
    </row>
    <row r="269" spans="1:33" ht="30" customHeight="1" thickTop="1" thickBot="1">
      <c r="A269" s="217" t="str">
        <f t="shared" si="9"/>
        <v>#BL25-0002</v>
      </c>
      <c r="B269" s="181"/>
      <c r="C269" s="181"/>
      <c r="D269" s="184"/>
      <c r="E269" s="183"/>
      <c r="F269" s="184" t="str">
        <f t="shared" si="8"/>
        <v>Construction Exemplaire Inc.</v>
      </c>
      <c r="G269" s="184"/>
      <c r="H269" s="183"/>
      <c r="I269" s="182"/>
      <c r="J269" s="185"/>
      <c r="K269" s="185"/>
      <c r="L269" s="185"/>
      <c r="M269" s="187"/>
      <c r="N269" s="185"/>
      <c r="O269" s="188"/>
      <c r="P269" s="188"/>
      <c r="Q269" s="189"/>
      <c r="R269" s="190"/>
      <c r="S269" s="190"/>
      <c r="T269" s="190"/>
      <c r="U269" s="191"/>
      <c r="V269" s="192"/>
      <c r="W269" s="193"/>
      <c r="X269" s="194"/>
      <c r="Y269" s="195"/>
      <c r="Z269" s="196"/>
      <c r="AA269" s="203"/>
      <c r="AB269" s="198"/>
      <c r="AC269" s="199"/>
      <c r="AD269" s="200"/>
      <c r="AE269" s="182"/>
      <c r="AF269" s="201"/>
      <c r="AG269" s="201"/>
    </row>
    <row r="270" spans="1:33" ht="30" customHeight="1" thickTop="1" thickBot="1">
      <c r="A270" s="217" t="str">
        <f t="shared" si="9"/>
        <v>#BL25-0002</v>
      </c>
      <c r="B270" s="181"/>
      <c r="C270" s="181"/>
      <c r="D270" s="184"/>
      <c r="E270" s="183"/>
      <c r="F270" s="184" t="str">
        <f t="shared" si="8"/>
        <v>Construction Exemplaire Inc.</v>
      </c>
      <c r="G270" s="184"/>
      <c r="H270" s="183"/>
      <c r="I270" s="182"/>
      <c r="J270" s="185"/>
      <c r="K270" s="185"/>
      <c r="L270" s="185"/>
      <c r="M270" s="187"/>
      <c r="N270" s="185"/>
      <c r="O270" s="188"/>
      <c r="P270" s="188"/>
      <c r="Q270" s="189"/>
      <c r="R270" s="190"/>
      <c r="S270" s="190"/>
      <c r="T270" s="190"/>
      <c r="U270" s="191"/>
      <c r="V270" s="192"/>
      <c r="W270" s="193"/>
      <c r="X270" s="194"/>
      <c r="Y270" s="195"/>
      <c r="Z270" s="196"/>
      <c r="AA270" s="203"/>
      <c r="AB270" s="198"/>
      <c r="AC270" s="199"/>
      <c r="AD270" s="200"/>
      <c r="AE270" s="182"/>
      <c r="AF270" s="201"/>
      <c r="AG270" s="201"/>
    </row>
    <row r="271" spans="1:33" ht="30" customHeight="1" thickTop="1" thickBot="1">
      <c r="A271" s="217" t="str">
        <f t="shared" si="9"/>
        <v>#BL25-0002</v>
      </c>
      <c r="B271" s="181"/>
      <c r="C271" s="181"/>
      <c r="D271" s="184"/>
      <c r="E271" s="183"/>
      <c r="F271" s="184" t="str">
        <f t="shared" si="8"/>
        <v>Construction Exemplaire Inc.</v>
      </c>
      <c r="G271" s="184"/>
      <c r="H271" s="183"/>
      <c r="I271" s="182"/>
      <c r="J271" s="185"/>
      <c r="K271" s="185"/>
      <c r="L271" s="185"/>
      <c r="M271" s="187"/>
      <c r="N271" s="185"/>
      <c r="O271" s="188"/>
      <c r="P271" s="188"/>
      <c r="Q271" s="189"/>
      <c r="R271" s="190"/>
      <c r="S271" s="190"/>
      <c r="T271" s="190"/>
      <c r="U271" s="191"/>
      <c r="V271" s="192"/>
      <c r="W271" s="193"/>
      <c r="X271" s="194"/>
      <c r="Y271" s="195"/>
      <c r="Z271" s="196"/>
      <c r="AA271" s="203"/>
      <c r="AB271" s="198"/>
      <c r="AC271" s="199"/>
      <c r="AD271" s="200"/>
      <c r="AE271" s="182"/>
      <c r="AF271" s="201"/>
      <c r="AG271" s="201"/>
    </row>
    <row r="272" spans="1:33" ht="30" customHeight="1" thickTop="1" thickBot="1">
      <c r="A272" s="217" t="str">
        <f t="shared" si="9"/>
        <v>#BL25-0002</v>
      </c>
      <c r="B272" s="181"/>
      <c r="C272" s="181"/>
      <c r="D272" s="184"/>
      <c r="E272" s="183"/>
      <c r="F272" s="184" t="str">
        <f t="shared" si="8"/>
        <v>Construction Exemplaire Inc.</v>
      </c>
      <c r="G272" s="184"/>
      <c r="H272" s="183"/>
      <c r="I272" s="182"/>
      <c r="J272" s="185"/>
      <c r="K272" s="185"/>
      <c r="L272" s="185"/>
      <c r="M272" s="187"/>
      <c r="N272" s="185"/>
      <c r="O272" s="188"/>
      <c r="P272" s="188"/>
      <c r="Q272" s="189"/>
      <c r="R272" s="190"/>
      <c r="S272" s="190"/>
      <c r="T272" s="190"/>
      <c r="U272" s="191"/>
      <c r="V272" s="192"/>
      <c r="W272" s="193"/>
      <c r="X272" s="194"/>
      <c r="Y272" s="195"/>
      <c r="Z272" s="196"/>
      <c r="AA272" s="203"/>
      <c r="AB272" s="198"/>
      <c r="AC272" s="199"/>
      <c r="AD272" s="200"/>
      <c r="AE272" s="182"/>
      <c r="AF272" s="201"/>
      <c r="AG272" s="201"/>
    </row>
    <row r="273" spans="1:33" ht="30" customHeight="1" thickTop="1" thickBot="1">
      <c r="A273" s="217" t="str">
        <f t="shared" si="9"/>
        <v>#BL25-0002</v>
      </c>
      <c r="B273" s="181"/>
      <c r="C273" s="181"/>
      <c r="D273" s="184"/>
      <c r="E273" s="183"/>
      <c r="F273" s="184" t="str">
        <f t="shared" si="8"/>
        <v>Construction Exemplaire Inc.</v>
      </c>
      <c r="G273" s="184"/>
      <c r="H273" s="183"/>
      <c r="I273" s="182"/>
      <c r="J273" s="185"/>
      <c r="K273" s="185"/>
      <c r="L273" s="185"/>
      <c r="M273" s="187"/>
      <c r="N273" s="185"/>
      <c r="O273" s="188"/>
      <c r="P273" s="188"/>
      <c r="Q273" s="189"/>
      <c r="R273" s="190"/>
      <c r="S273" s="190"/>
      <c r="T273" s="190"/>
      <c r="U273" s="191"/>
      <c r="V273" s="192"/>
      <c r="W273" s="193"/>
      <c r="X273" s="194"/>
      <c r="Y273" s="195"/>
      <c r="Z273" s="196"/>
      <c r="AA273" s="203"/>
      <c r="AB273" s="198"/>
      <c r="AC273" s="199"/>
      <c r="AD273" s="200"/>
      <c r="AE273" s="182"/>
      <c r="AF273" s="201"/>
      <c r="AG273" s="201"/>
    </row>
    <row r="274" spans="1:33" ht="30" customHeight="1" thickTop="1" thickBot="1">
      <c r="A274" s="217" t="str">
        <f t="shared" si="9"/>
        <v>#BL25-0002</v>
      </c>
      <c r="B274" s="181"/>
      <c r="C274" s="181"/>
      <c r="D274" s="184"/>
      <c r="E274" s="183"/>
      <c r="F274" s="184" t="str">
        <f t="shared" si="8"/>
        <v>Construction Exemplaire Inc.</v>
      </c>
      <c r="G274" s="184"/>
      <c r="H274" s="183"/>
      <c r="I274" s="182"/>
      <c r="J274" s="185"/>
      <c r="K274" s="185"/>
      <c r="L274" s="185"/>
      <c r="M274" s="187"/>
      <c r="N274" s="185"/>
      <c r="O274" s="188"/>
      <c r="P274" s="188"/>
      <c r="Q274" s="189"/>
      <c r="R274" s="190"/>
      <c r="S274" s="190"/>
      <c r="T274" s="190"/>
      <c r="U274" s="191"/>
      <c r="V274" s="192"/>
      <c r="W274" s="193"/>
      <c r="X274" s="194"/>
      <c r="Y274" s="195"/>
      <c r="Z274" s="196"/>
      <c r="AA274" s="203"/>
      <c r="AB274" s="198"/>
      <c r="AC274" s="199"/>
      <c r="AD274" s="200"/>
      <c r="AE274" s="182"/>
      <c r="AF274" s="201"/>
      <c r="AG274" s="201"/>
    </row>
    <row r="275" spans="1:33" ht="30" customHeight="1" thickTop="1" thickBot="1">
      <c r="A275" s="217" t="str">
        <f t="shared" si="9"/>
        <v>#BL25-0002</v>
      </c>
      <c r="B275" s="181"/>
      <c r="C275" s="181"/>
      <c r="D275" s="184"/>
      <c r="E275" s="183"/>
      <c r="F275" s="184" t="str">
        <f t="shared" si="8"/>
        <v>Construction Exemplaire Inc.</v>
      </c>
      <c r="G275" s="184"/>
      <c r="H275" s="183"/>
      <c r="I275" s="182"/>
      <c r="J275" s="185"/>
      <c r="K275" s="185"/>
      <c r="L275" s="185"/>
      <c r="M275" s="187"/>
      <c r="N275" s="185"/>
      <c r="O275" s="188"/>
      <c r="P275" s="188"/>
      <c r="Q275" s="189"/>
      <c r="R275" s="190"/>
      <c r="S275" s="190"/>
      <c r="T275" s="190"/>
      <c r="U275" s="191"/>
      <c r="V275" s="192"/>
      <c r="W275" s="193"/>
      <c r="X275" s="194"/>
      <c r="Y275" s="195"/>
      <c r="Z275" s="196"/>
      <c r="AA275" s="203"/>
      <c r="AB275" s="198"/>
      <c r="AC275" s="199"/>
      <c r="AD275" s="200"/>
      <c r="AE275" s="182"/>
      <c r="AF275" s="201"/>
      <c r="AG275" s="201"/>
    </row>
    <row r="276" spans="1:33" ht="30" customHeight="1" thickTop="1" thickBot="1">
      <c r="A276" s="217" t="str">
        <f t="shared" si="9"/>
        <v>#BL25-0002</v>
      </c>
      <c r="B276" s="181"/>
      <c r="C276" s="181"/>
      <c r="D276" s="184"/>
      <c r="E276" s="183"/>
      <c r="F276" s="184" t="str">
        <f t="shared" si="8"/>
        <v>Construction Exemplaire Inc.</v>
      </c>
      <c r="G276" s="184"/>
      <c r="H276" s="183"/>
      <c r="I276" s="182"/>
      <c r="J276" s="185"/>
      <c r="K276" s="185"/>
      <c r="L276" s="185"/>
      <c r="M276" s="187"/>
      <c r="N276" s="185"/>
      <c r="O276" s="188"/>
      <c r="P276" s="188"/>
      <c r="Q276" s="189"/>
      <c r="R276" s="190"/>
      <c r="S276" s="190"/>
      <c r="T276" s="190"/>
      <c r="U276" s="191"/>
      <c r="V276" s="192"/>
      <c r="W276" s="193"/>
      <c r="X276" s="194"/>
      <c r="Y276" s="195"/>
      <c r="Z276" s="196"/>
      <c r="AA276" s="203"/>
      <c r="AB276" s="198"/>
      <c r="AC276" s="199"/>
      <c r="AD276" s="200"/>
      <c r="AE276" s="182"/>
      <c r="AF276" s="201"/>
      <c r="AG276" s="201"/>
    </row>
    <row r="277" spans="1:33" ht="30" customHeight="1" thickTop="1" thickBot="1">
      <c r="A277" s="217" t="str">
        <f t="shared" si="9"/>
        <v>#BL25-0002</v>
      </c>
      <c r="B277" s="181"/>
      <c r="C277" s="181"/>
      <c r="D277" s="184"/>
      <c r="E277" s="183"/>
      <c r="F277" s="184" t="str">
        <f t="shared" si="8"/>
        <v>Construction Exemplaire Inc.</v>
      </c>
      <c r="G277" s="184"/>
      <c r="H277" s="183"/>
      <c r="I277" s="182"/>
      <c r="J277" s="185"/>
      <c r="K277" s="185"/>
      <c r="L277" s="185"/>
      <c r="M277" s="187"/>
      <c r="N277" s="185"/>
      <c r="O277" s="188"/>
      <c r="P277" s="188"/>
      <c r="Q277" s="189"/>
      <c r="R277" s="190"/>
      <c r="S277" s="190"/>
      <c r="T277" s="190"/>
      <c r="U277" s="191"/>
      <c r="V277" s="192"/>
      <c r="W277" s="193"/>
      <c r="X277" s="194"/>
      <c r="Y277" s="195"/>
      <c r="Z277" s="196"/>
      <c r="AA277" s="203"/>
      <c r="AB277" s="198"/>
      <c r="AC277" s="199"/>
      <c r="AD277" s="200"/>
      <c r="AE277" s="182"/>
      <c r="AF277" s="201"/>
      <c r="AG277" s="201"/>
    </row>
    <row r="278" spans="1:33" ht="30" customHeight="1" thickTop="1" thickBot="1">
      <c r="A278" s="217" t="str">
        <f t="shared" si="9"/>
        <v>#BL25-0002</v>
      </c>
      <c r="B278" s="181"/>
      <c r="C278" s="181"/>
      <c r="D278" s="184"/>
      <c r="E278" s="183"/>
      <c r="F278" s="184" t="str">
        <f t="shared" si="8"/>
        <v>Construction Exemplaire Inc.</v>
      </c>
      <c r="G278" s="184"/>
      <c r="H278" s="183"/>
      <c r="I278" s="182"/>
      <c r="J278" s="185"/>
      <c r="K278" s="185"/>
      <c r="L278" s="185"/>
      <c r="M278" s="187"/>
      <c r="N278" s="185"/>
      <c r="O278" s="188"/>
      <c r="P278" s="188"/>
      <c r="Q278" s="189"/>
      <c r="R278" s="190"/>
      <c r="S278" s="190"/>
      <c r="T278" s="190"/>
      <c r="U278" s="191"/>
      <c r="V278" s="192"/>
      <c r="W278" s="193"/>
      <c r="X278" s="194"/>
      <c r="Y278" s="195"/>
      <c r="Z278" s="196"/>
      <c r="AA278" s="203"/>
      <c r="AB278" s="198"/>
      <c r="AC278" s="199"/>
      <c r="AD278" s="200"/>
      <c r="AE278" s="182"/>
      <c r="AF278" s="201"/>
      <c r="AG278" s="201"/>
    </row>
    <row r="279" spans="1:33" ht="30" customHeight="1" thickTop="1" thickBot="1">
      <c r="A279" s="217" t="str">
        <f t="shared" si="9"/>
        <v>#BL25-0002</v>
      </c>
      <c r="B279" s="181"/>
      <c r="C279" s="181"/>
      <c r="D279" s="184"/>
      <c r="E279" s="183"/>
      <c r="F279" s="184" t="str">
        <f t="shared" si="8"/>
        <v>Construction Exemplaire Inc.</v>
      </c>
      <c r="G279" s="184"/>
      <c r="H279" s="183"/>
      <c r="I279" s="182"/>
      <c r="J279" s="185"/>
      <c r="K279" s="185"/>
      <c r="L279" s="185"/>
      <c r="M279" s="187"/>
      <c r="N279" s="185"/>
      <c r="O279" s="188"/>
      <c r="P279" s="188"/>
      <c r="Q279" s="189"/>
      <c r="R279" s="190"/>
      <c r="S279" s="190"/>
      <c r="T279" s="190"/>
      <c r="U279" s="191"/>
      <c r="V279" s="192"/>
      <c r="W279" s="193"/>
      <c r="X279" s="194"/>
      <c r="Y279" s="195"/>
      <c r="Z279" s="196"/>
      <c r="AA279" s="203"/>
      <c r="AB279" s="198"/>
      <c r="AC279" s="199"/>
      <c r="AD279" s="200"/>
      <c r="AE279" s="182"/>
      <c r="AF279" s="201"/>
      <c r="AG279" s="201"/>
    </row>
    <row r="280" spans="1:33" ht="30" customHeight="1" thickTop="1" thickBot="1">
      <c r="A280" s="217" t="str">
        <f t="shared" si="9"/>
        <v>#BL25-0002</v>
      </c>
      <c r="B280" s="181"/>
      <c r="C280" s="181"/>
      <c r="D280" s="184"/>
      <c r="E280" s="183"/>
      <c r="F280" s="184" t="str">
        <f t="shared" si="8"/>
        <v>Construction Exemplaire Inc.</v>
      </c>
      <c r="G280" s="184"/>
      <c r="H280" s="183"/>
      <c r="I280" s="182"/>
      <c r="J280" s="185"/>
      <c r="K280" s="185"/>
      <c r="L280" s="185"/>
      <c r="M280" s="187"/>
      <c r="N280" s="185"/>
      <c r="O280" s="188"/>
      <c r="P280" s="188"/>
      <c r="Q280" s="189"/>
      <c r="R280" s="190"/>
      <c r="S280" s="190"/>
      <c r="T280" s="190"/>
      <c r="U280" s="191"/>
      <c r="V280" s="192"/>
      <c r="W280" s="193"/>
      <c r="X280" s="194"/>
      <c r="Y280" s="195"/>
      <c r="Z280" s="196"/>
      <c r="AA280" s="203"/>
      <c r="AB280" s="198"/>
      <c r="AC280" s="199"/>
      <c r="AD280" s="200"/>
      <c r="AE280" s="182"/>
      <c r="AF280" s="201"/>
      <c r="AG280" s="201"/>
    </row>
    <row r="281" spans="1:33" ht="30" customHeight="1" thickTop="1" thickBot="1">
      <c r="A281" s="217" t="str">
        <f t="shared" si="9"/>
        <v>#BL25-0002</v>
      </c>
      <c r="B281" s="181"/>
      <c r="C281" s="181"/>
      <c r="D281" s="184"/>
      <c r="E281" s="183"/>
      <c r="F281" s="184" t="str">
        <f t="shared" si="8"/>
        <v>Construction Exemplaire Inc.</v>
      </c>
      <c r="G281" s="184"/>
      <c r="H281" s="183"/>
      <c r="I281" s="182"/>
      <c r="J281" s="185"/>
      <c r="K281" s="185"/>
      <c r="L281" s="185"/>
      <c r="M281" s="187"/>
      <c r="N281" s="185"/>
      <c r="O281" s="188"/>
      <c r="P281" s="188"/>
      <c r="Q281" s="189"/>
      <c r="R281" s="190"/>
      <c r="S281" s="190"/>
      <c r="T281" s="190"/>
      <c r="U281" s="191"/>
      <c r="V281" s="192"/>
      <c r="W281" s="193"/>
      <c r="X281" s="194"/>
      <c r="Y281" s="195"/>
      <c r="Z281" s="196"/>
      <c r="AA281" s="203"/>
      <c r="AB281" s="198"/>
      <c r="AC281" s="199"/>
      <c r="AD281" s="200"/>
      <c r="AE281" s="182"/>
      <c r="AF281" s="201"/>
      <c r="AG281" s="201"/>
    </row>
    <row r="282" spans="1:33" ht="30" customHeight="1" thickTop="1" thickBot="1">
      <c r="A282" s="217" t="str">
        <f t="shared" si="9"/>
        <v>#BL25-0002</v>
      </c>
      <c r="B282" s="181"/>
      <c r="C282" s="181"/>
      <c r="D282" s="184"/>
      <c r="E282" s="183"/>
      <c r="F282" s="184" t="str">
        <f t="shared" si="8"/>
        <v>Construction Exemplaire Inc.</v>
      </c>
      <c r="G282" s="184"/>
      <c r="H282" s="183"/>
      <c r="I282" s="182"/>
      <c r="J282" s="185"/>
      <c r="K282" s="185"/>
      <c r="L282" s="185"/>
      <c r="M282" s="187"/>
      <c r="N282" s="185"/>
      <c r="O282" s="188"/>
      <c r="P282" s="188"/>
      <c r="Q282" s="189"/>
      <c r="R282" s="190"/>
      <c r="S282" s="190"/>
      <c r="T282" s="190"/>
      <c r="U282" s="191"/>
      <c r="V282" s="192"/>
      <c r="W282" s="193"/>
      <c r="X282" s="194"/>
      <c r="Y282" s="195"/>
      <c r="Z282" s="196"/>
      <c r="AA282" s="203"/>
      <c r="AB282" s="198"/>
      <c r="AC282" s="199"/>
      <c r="AD282" s="200"/>
      <c r="AE282" s="182"/>
      <c r="AF282" s="201"/>
      <c r="AG282" s="201"/>
    </row>
    <row r="283" spans="1:33" ht="30" customHeight="1" thickTop="1" thickBot="1">
      <c r="A283" s="217" t="str">
        <f t="shared" si="9"/>
        <v>#BL25-0002</v>
      </c>
      <c r="B283" s="181"/>
      <c r="C283" s="181"/>
      <c r="D283" s="184"/>
      <c r="E283" s="183"/>
      <c r="F283" s="184" t="str">
        <f t="shared" si="8"/>
        <v>Construction Exemplaire Inc.</v>
      </c>
      <c r="G283" s="184"/>
      <c r="H283" s="183"/>
      <c r="I283" s="182"/>
      <c r="J283" s="185"/>
      <c r="K283" s="185"/>
      <c r="L283" s="185"/>
      <c r="M283" s="187"/>
      <c r="N283" s="185"/>
      <c r="O283" s="188"/>
      <c r="P283" s="188"/>
      <c r="Q283" s="189"/>
      <c r="R283" s="190"/>
      <c r="S283" s="190"/>
      <c r="T283" s="190"/>
      <c r="U283" s="191"/>
      <c r="V283" s="192"/>
      <c r="W283" s="193"/>
      <c r="X283" s="194"/>
      <c r="Y283" s="195"/>
      <c r="Z283" s="196"/>
      <c r="AA283" s="203"/>
      <c r="AB283" s="198"/>
      <c r="AC283" s="199"/>
      <c r="AD283" s="200"/>
      <c r="AE283" s="182"/>
      <c r="AF283" s="201"/>
      <c r="AG283" s="201"/>
    </row>
    <row r="284" spans="1:33" ht="30" customHeight="1" thickTop="1" thickBot="1">
      <c r="A284" s="217" t="str">
        <f t="shared" si="9"/>
        <v>#BL25-0002</v>
      </c>
      <c r="B284" s="181"/>
      <c r="C284" s="181"/>
      <c r="D284" s="184"/>
      <c r="E284" s="183"/>
      <c r="F284" s="184" t="str">
        <f t="shared" si="8"/>
        <v>Construction Exemplaire Inc.</v>
      </c>
      <c r="G284" s="184"/>
      <c r="H284" s="183"/>
      <c r="I284" s="182"/>
      <c r="J284" s="185"/>
      <c r="K284" s="185"/>
      <c r="L284" s="185"/>
      <c r="M284" s="187"/>
      <c r="N284" s="185"/>
      <c r="O284" s="188"/>
      <c r="P284" s="188"/>
      <c r="Q284" s="189"/>
      <c r="R284" s="190"/>
      <c r="S284" s="190"/>
      <c r="T284" s="190"/>
      <c r="U284" s="191"/>
      <c r="V284" s="192"/>
      <c r="W284" s="193"/>
      <c r="X284" s="194"/>
      <c r="Y284" s="195"/>
      <c r="Z284" s="196"/>
      <c r="AA284" s="203"/>
      <c r="AB284" s="198"/>
      <c r="AC284" s="199"/>
      <c r="AD284" s="200"/>
      <c r="AE284" s="182"/>
      <c r="AF284" s="201"/>
      <c r="AG284" s="201"/>
    </row>
    <row r="285" spans="1:33" ht="30" customHeight="1" thickTop="1" thickBot="1">
      <c r="A285" s="217" t="str">
        <f t="shared" si="9"/>
        <v>#BL25-0002</v>
      </c>
      <c r="B285" s="181"/>
      <c r="C285" s="181"/>
      <c r="D285" s="184"/>
      <c r="E285" s="183"/>
      <c r="F285" s="184" t="str">
        <f t="shared" si="8"/>
        <v>Construction Exemplaire Inc.</v>
      </c>
      <c r="G285" s="184"/>
      <c r="H285" s="183"/>
      <c r="I285" s="182"/>
      <c r="J285" s="185"/>
      <c r="K285" s="185"/>
      <c r="L285" s="185"/>
      <c r="M285" s="187"/>
      <c r="N285" s="185"/>
      <c r="O285" s="188"/>
      <c r="P285" s="188"/>
      <c r="Q285" s="189"/>
      <c r="R285" s="190"/>
      <c r="S285" s="190"/>
      <c r="T285" s="190"/>
      <c r="U285" s="191"/>
      <c r="V285" s="192"/>
      <c r="W285" s="193"/>
      <c r="X285" s="194"/>
      <c r="Y285" s="195"/>
      <c r="Z285" s="196"/>
      <c r="AA285" s="203"/>
      <c r="AB285" s="198"/>
      <c r="AC285" s="199"/>
      <c r="AD285" s="200"/>
      <c r="AE285" s="182"/>
      <c r="AF285" s="201"/>
      <c r="AG285" s="201"/>
    </row>
    <row r="286" spans="1:33" ht="30" customHeight="1" thickTop="1" thickBot="1">
      <c r="A286" s="217" t="str">
        <f t="shared" si="9"/>
        <v>#BL25-0002</v>
      </c>
      <c r="B286" s="181"/>
      <c r="C286" s="181"/>
      <c r="D286" s="184"/>
      <c r="E286" s="183"/>
      <c r="F286" s="184" t="str">
        <f t="shared" si="8"/>
        <v>Construction Exemplaire Inc.</v>
      </c>
      <c r="G286" s="184"/>
      <c r="H286" s="183"/>
      <c r="I286" s="182"/>
      <c r="J286" s="185"/>
      <c r="K286" s="185"/>
      <c r="L286" s="185"/>
      <c r="M286" s="187"/>
      <c r="N286" s="185"/>
      <c r="O286" s="188"/>
      <c r="P286" s="188"/>
      <c r="Q286" s="189"/>
      <c r="R286" s="190"/>
      <c r="S286" s="190"/>
      <c r="T286" s="190"/>
      <c r="U286" s="191"/>
      <c r="V286" s="192"/>
      <c r="W286" s="193"/>
      <c r="X286" s="194"/>
      <c r="Y286" s="195"/>
      <c r="Z286" s="196"/>
      <c r="AA286" s="203"/>
      <c r="AB286" s="198"/>
      <c r="AC286" s="199"/>
      <c r="AD286" s="200"/>
      <c r="AE286" s="182"/>
      <c r="AF286" s="201"/>
      <c r="AG286" s="201"/>
    </row>
    <row r="287" spans="1:33" ht="30" customHeight="1" thickTop="1" thickBot="1">
      <c r="A287" s="217" t="str">
        <f t="shared" si="9"/>
        <v>#BL25-0002</v>
      </c>
      <c r="B287" s="181"/>
      <c r="C287" s="181"/>
      <c r="D287" s="184"/>
      <c r="E287" s="183"/>
      <c r="F287" s="184" t="str">
        <f t="shared" si="8"/>
        <v>Construction Exemplaire Inc.</v>
      </c>
      <c r="G287" s="184"/>
      <c r="H287" s="183"/>
      <c r="I287" s="182"/>
      <c r="J287" s="185"/>
      <c r="K287" s="185"/>
      <c r="L287" s="185"/>
      <c r="M287" s="187"/>
      <c r="N287" s="185"/>
      <c r="O287" s="188"/>
      <c r="P287" s="188"/>
      <c r="Q287" s="189"/>
      <c r="R287" s="190"/>
      <c r="S287" s="190"/>
      <c r="T287" s="190"/>
      <c r="U287" s="191"/>
      <c r="V287" s="192"/>
      <c r="W287" s="193"/>
      <c r="X287" s="194"/>
      <c r="Y287" s="195"/>
      <c r="Z287" s="196"/>
      <c r="AA287" s="203"/>
      <c r="AB287" s="198"/>
      <c r="AC287" s="199"/>
      <c r="AD287" s="200"/>
      <c r="AE287" s="182"/>
      <c r="AF287" s="201"/>
      <c r="AG287" s="201"/>
    </row>
    <row r="288" spans="1:33" ht="30" customHeight="1" thickTop="1" thickBot="1">
      <c r="A288" s="217" t="str">
        <f t="shared" si="9"/>
        <v>#BL25-0002</v>
      </c>
      <c r="B288" s="181"/>
      <c r="C288" s="181"/>
      <c r="D288" s="184"/>
      <c r="E288" s="183"/>
      <c r="F288" s="184" t="str">
        <f t="shared" si="8"/>
        <v>Construction Exemplaire Inc.</v>
      </c>
      <c r="G288" s="184"/>
      <c r="H288" s="183"/>
      <c r="I288" s="182"/>
      <c r="J288" s="185"/>
      <c r="K288" s="185"/>
      <c r="L288" s="185"/>
      <c r="M288" s="187"/>
      <c r="N288" s="185"/>
      <c r="O288" s="188"/>
      <c r="P288" s="188"/>
      <c r="Q288" s="189"/>
      <c r="R288" s="190"/>
      <c r="S288" s="190"/>
      <c r="T288" s="190"/>
      <c r="U288" s="191"/>
      <c r="V288" s="192"/>
      <c r="W288" s="193"/>
      <c r="X288" s="194"/>
      <c r="Y288" s="195"/>
      <c r="Z288" s="196"/>
      <c r="AA288" s="203"/>
      <c r="AB288" s="198"/>
      <c r="AC288" s="199"/>
      <c r="AD288" s="200"/>
      <c r="AE288" s="182"/>
      <c r="AF288" s="201"/>
      <c r="AG288" s="201"/>
    </row>
    <row r="289" spans="1:33" ht="30" customHeight="1" thickTop="1" thickBot="1">
      <c r="A289" s="217" t="str">
        <f t="shared" si="9"/>
        <v>#BL25-0002</v>
      </c>
      <c r="B289" s="181"/>
      <c r="C289" s="181"/>
      <c r="D289" s="184"/>
      <c r="E289" s="183"/>
      <c r="F289" s="184" t="str">
        <f t="shared" si="8"/>
        <v>Construction Exemplaire Inc.</v>
      </c>
      <c r="G289" s="184"/>
      <c r="H289" s="183"/>
      <c r="I289" s="182"/>
      <c r="J289" s="185"/>
      <c r="K289" s="185"/>
      <c r="L289" s="185"/>
      <c r="M289" s="187"/>
      <c r="N289" s="185"/>
      <c r="O289" s="188"/>
      <c r="P289" s="188"/>
      <c r="Q289" s="189"/>
      <c r="R289" s="190"/>
      <c r="S289" s="190"/>
      <c r="T289" s="190"/>
      <c r="U289" s="191"/>
      <c r="V289" s="192"/>
      <c r="W289" s="193"/>
      <c r="X289" s="194"/>
      <c r="Y289" s="195"/>
      <c r="Z289" s="196"/>
      <c r="AA289" s="203"/>
      <c r="AB289" s="198"/>
      <c r="AC289" s="199"/>
      <c r="AD289" s="200"/>
      <c r="AE289" s="182"/>
      <c r="AF289" s="201"/>
      <c r="AG289" s="201"/>
    </row>
    <row r="290" spans="1:33" ht="30" customHeight="1" thickTop="1" thickBot="1">
      <c r="A290" s="217" t="str">
        <f t="shared" si="9"/>
        <v>#BL25-0002</v>
      </c>
      <c r="B290" s="181"/>
      <c r="C290" s="181"/>
      <c r="D290" s="184"/>
      <c r="E290" s="183"/>
      <c r="F290" s="184" t="str">
        <f t="shared" si="8"/>
        <v>Construction Exemplaire Inc.</v>
      </c>
      <c r="G290" s="184"/>
      <c r="H290" s="183"/>
      <c r="I290" s="182"/>
      <c r="J290" s="185"/>
      <c r="K290" s="185"/>
      <c r="L290" s="185"/>
      <c r="M290" s="187"/>
      <c r="N290" s="185"/>
      <c r="O290" s="188"/>
      <c r="P290" s="188"/>
      <c r="Q290" s="189"/>
      <c r="R290" s="190"/>
      <c r="S290" s="190"/>
      <c r="T290" s="190"/>
      <c r="U290" s="191"/>
      <c r="V290" s="192"/>
      <c r="W290" s="193"/>
      <c r="X290" s="194"/>
      <c r="Y290" s="195"/>
      <c r="Z290" s="196"/>
      <c r="AA290" s="203"/>
      <c r="AB290" s="198"/>
      <c r="AC290" s="199"/>
      <c r="AD290" s="200"/>
      <c r="AE290" s="182"/>
      <c r="AF290" s="201"/>
      <c r="AG290" s="201"/>
    </row>
    <row r="291" spans="1:33" ht="30" customHeight="1" thickTop="1" thickBot="1">
      <c r="A291" s="217" t="str">
        <f t="shared" si="9"/>
        <v>#BL25-0002</v>
      </c>
      <c r="B291" s="181"/>
      <c r="C291" s="181"/>
      <c r="D291" s="184"/>
      <c r="E291" s="183"/>
      <c r="F291" s="184" t="str">
        <f t="shared" si="8"/>
        <v>Construction Exemplaire Inc.</v>
      </c>
      <c r="G291" s="184"/>
      <c r="H291" s="183"/>
      <c r="I291" s="182"/>
      <c r="J291" s="185"/>
      <c r="K291" s="185"/>
      <c r="L291" s="185"/>
      <c r="M291" s="187"/>
      <c r="N291" s="185"/>
      <c r="O291" s="188"/>
      <c r="P291" s="188"/>
      <c r="Q291" s="189"/>
      <c r="R291" s="190"/>
      <c r="S291" s="190"/>
      <c r="T291" s="190"/>
      <c r="U291" s="191"/>
      <c r="V291" s="192"/>
      <c r="W291" s="193"/>
      <c r="X291" s="194"/>
      <c r="Y291" s="195"/>
      <c r="Z291" s="196"/>
      <c r="AA291" s="203"/>
      <c r="AB291" s="198"/>
      <c r="AC291" s="199"/>
      <c r="AD291" s="200"/>
      <c r="AE291" s="182"/>
      <c r="AF291" s="201"/>
      <c r="AG291" s="201"/>
    </row>
    <row r="292" spans="1:33" ht="30" customHeight="1" thickTop="1" thickBot="1">
      <c r="A292" s="217" t="str">
        <f t="shared" si="9"/>
        <v>#BL25-0002</v>
      </c>
      <c r="B292" s="181"/>
      <c r="C292" s="181"/>
      <c r="D292" s="184"/>
      <c r="E292" s="183"/>
      <c r="F292" s="184" t="str">
        <f t="shared" si="8"/>
        <v>Construction Exemplaire Inc.</v>
      </c>
      <c r="G292" s="184"/>
      <c r="H292" s="183"/>
      <c r="I292" s="182"/>
      <c r="J292" s="185"/>
      <c r="K292" s="185"/>
      <c r="L292" s="185"/>
      <c r="M292" s="187"/>
      <c r="N292" s="185"/>
      <c r="O292" s="188"/>
      <c r="P292" s="188"/>
      <c r="Q292" s="189"/>
      <c r="R292" s="190"/>
      <c r="S292" s="190"/>
      <c r="T292" s="190"/>
      <c r="U292" s="191"/>
      <c r="V292" s="192"/>
      <c r="W292" s="193"/>
      <c r="X292" s="194"/>
      <c r="Y292" s="195"/>
      <c r="Z292" s="196"/>
      <c r="AA292" s="203"/>
      <c r="AB292" s="198"/>
      <c r="AC292" s="199"/>
      <c r="AD292" s="200"/>
      <c r="AE292" s="182"/>
      <c r="AF292" s="201"/>
      <c r="AG292" s="201"/>
    </row>
    <row r="293" spans="1:33" ht="30" customHeight="1" thickTop="1" thickBot="1">
      <c r="A293" s="217" t="str">
        <f t="shared" si="9"/>
        <v>#BL25-0002</v>
      </c>
      <c r="B293" s="181"/>
      <c r="C293" s="181"/>
      <c r="D293" s="184"/>
      <c r="E293" s="183"/>
      <c r="F293" s="184" t="str">
        <f t="shared" si="8"/>
        <v>Construction Exemplaire Inc.</v>
      </c>
      <c r="G293" s="184"/>
      <c r="H293" s="183"/>
      <c r="I293" s="182"/>
      <c r="J293" s="185"/>
      <c r="K293" s="185"/>
      <c r="L293" s="185"/>
      <c r="M293" s="187"/>
      <c r="N293" s="185"/>
      <c r="O293" s="188"/>
      <c r="P293" s="188"/>
      <c r="Q293" s="189"/>
      <c r="R293" s="190"/>
      <c r="S293" s="190"/>
      <c r="T293" s="190"/>
      <c r="U293" s="191"/>
      <c r="V293" s="192"/>
      <c r="W293" s="193"/>
      <c r="X293" s="194"/>
      <c r="Y293" s="195"/>
      <c r="Z293" s="196"/>
      <c r="AA293" s="203"/>
      <c r="AB293" s="198"/>
      <c r="AC293" s="199"/>
      <c r="AD293" s="200"/>
      <c r="AE293" s="182"/>
      <c r="AF293" s="201"/>
      <c r="AG293" s="201"/>
    </row>
    <row r="294" spans="1:33" ht="30" customHeight="1" thickTop="1" thickBot="1">
      <c r="A294" s="217" t="str">
        <f t="shared" si="9"/>
        <v>#BL25-0002</v>
      </c>
      <c r="B294" s="181"/>
      <c r="C294" s="181"/>
      <c r="D294" s="184"/>
      <c r="E294" s="183"/>
      <c r="F294" s="184" t="str">
        <f t="shared" si="8"/>
        <v>Construction Exemplaire Inc.</v>
      </c>
      <c r="G294" s="184"/>
      <c r="H294" s="183"/>
      <c r="I294" s="182"/>
      <c r="J294" s="185"/>
      <c r="K294" s="185"/>
      <c r="L294" s="185"/>
      <c r="M294" s="187"/>
      <c r="N294" s="185"/>
      <c r="O294" s="188"/>
      <c r="P294" s="188"/>
      <c r="Q294" s="189"/>
      <c r="R294" s="190"/>
      <c r="S294" s="190"/>
      <c r="T294" s="190"/>
      <c r="U294" s="191"/>
      <c r="V294" s="192"/>
      <c r="W294" s="193"/>
      <c r="X294" s="194"/>
      <c r="Y294" s="195"/>
      <c r="Z294" s="196"/>
      <c r="AA294" s="203"/>
      <c r="AB294" s="198"/>
      <c r="AC294" s="199"/>
      <c r="AD294" s="200"/>
      <c r="AE294" s="182"/>
      <c r="AF294" s="201"/>
      <c r="AG294" s="201"/>
    </row>
    <row r="295" spans="1:33" ht="57" customHeight="1" thickTop="1" thickBot="1">
      <c r="A295" s="217" t="str">
        <f t="shared" si="9"/>
        <v>#BL25-0002</v>
      </c>
      <c r="B295" s="181"/>
      <c r="C295" s="181"/>
      <c r="D295" s="184"/>
      <c r="E295" s="183"/>
      <c r="F295" s="184" t="str">
        <f t="shared" si="8"/>
        <v>Construction Exemplaire Inc.</v>
      </c>
      <c r="G295" s="184"/>
      <c r="H295" s="183"/>
      <c r="I295" s="182"/>
      <c r="J295" s="185"/>
      <c r="K295" s="185"/>
      <c r="L295" s="185"/>
      <c r="M295" s="187"/>
      <c r="N295" s="185"/>
      <c r="O295" s="209"/>
      <c r="P295" s="209"/>
      <c r="Q295" s="209"/>
      <c r="R295" s="190"/>
      <c r="S295" s="190"/>
      <c r="T295" s="190"/>
      <c r="U295" s="191"/>
      <c r="V295" s="192"/>
      <c r="W295" s="193"/>
      <c r="X295" s="194"/>
      <c r="Y295" s="195"/>
      <c r="Z295" s="196"/>
      <c r="AA295" s="203"/>
      <c r="AB295" s="198"/>
      <c r="AC295" s="199"/>
      <c r="AD295" s="200"/>
      <c r="AE295" s="182"/>
      <c r="AF295" s="201"/>
      <c r="AG295" s="201"/>
    </row>
    <row r="296" spans="1:33" ht="30" customHeight="1" thickTop="1" thickBot="1">
      <c r="A296" s="217" t="str">
        <f t="shared" si="9"/>
        <v>#BL25-0002</v>
      </c>
      <c r="B296" s="181"/>
      <c r="C296" s="181"/>
      <c r="D296" s="184"/>
      <c r="E296" s="183"/>
      <c r="F296" s="184" t="str">
        <f t="shared" si="8"/>
        <v>Construction Exemplaire Inc.</v>
      </c>
      <c r="G296" s="184"/>
      <c r="H296" s="183"/>
      <c r="I296" s="182"/>
      <c r="J296" s="185"/>
      <c r="K296" s="185"/>
      <c r="L296" s="185"/>
      <c r="M296" s="187"/>
      <c r="N296" s="185"/>
      <c r="O296" s="209"/>
      <c r="P296" s="209"/>
      <c r="Q296" s="209"/>
      <c r="R296" s="190"/>
      <c r="S296" s="190"/>
      <c r="T296" s="190"/>
      <c r="U296" s="191"/>
      <c r="V296" s="192"/>
      <c r="W296" s="193"/>
      <c r="X296" s="194"/>
      <c r="Y296" s="195"/>
      <c r="Z296" s="196"/>
      <c r="AA296" s="203"/>
      <c r="AB296" s="198"/>
      <c r="AC296" s="199"/>
      <c r="AD296" s="200"/>
      <c r="AE296" s="182"/>
      <c r="AF296" s="201"/>
      <c r="AG296" s="201"/>
    </row>
    <row r="297" spans="1:33" ht="24.75" customHeight="1" thickTop="1" thickBot="1">
      <c r="A297" s="217" t="str">
        <f t="shared" si="9"/>
        <v>#BL25-0002</v>
      </c>
      <c r="B297" s="181"/>
      <c r="C297" s="181"/>
      <c r="D297" s="184"/>
      <c r="E297" s="183"/>
      <c r="F297" s="184" t="str">
        <f t="shared" si="8"/>
        <v>Construction Exemplaire Inc.</v>
      </c>
      <c r="G297" s="184"/>
      <c r="H297" s="183"/>
      <c r="I297" s="182"/>
      <c r="J297" s="185"/>
      <c r="K297" s="185"/>
      <c r="L297" s="185"/>
      <c r="M297" s="187"/>
      <c r="N297" s="185"/>
      <c r="O297" s="209"/>
      <c r="P297" s="209"/>
      <c r="Q297" s="209"/>
      <c r="R297" s="190"/>
      <c r="S297" s="190"/>
      <c r="T297" s="190"/>
      <c r="U297" s="191"/>
      <c r="V297" s="192"/>
      <c r="W297" s="193"/>
      <c r="X297" s="194"/>
      <c r="Y297" s="195"/>
      <c r="Z297" s="196"/>
      <c r="AA297" s="203"/>
      <c r="AB297" s="198"/>
      <c r="AC297" s="199"/>
      <c r="AD297" s="200"/>
      <c r="AE297" s="182"/>
      <c r="AF297" s="201"/>
      <c r="AG297" s="201"/>
    </row>
    <row r="298" spans="1:33" ht="24.75" customHeight="1" thickTop="1" thickBot="1">
      <c r="A298" s="217" t="str">
        <f t="shared" si="9"/>
        <v>#BL25-0002</v>
      </c>
      <c r="B298" s="181"/>
      <c r="C298" s="181"/>
      <c r="D298" s="184"/>
      <c r="E298" s="183"/>
      <c r="F298" s="184" t="str">
        <f t="shared" si="8"/>
        <v>Construction Exemplaire Inc.</v>
      </c>
      <c r="G298" s="184"/>
      <c r="H298" s="183"/>
      <c r="I298" s="182"/>
      <c r="J298" s="185"/>
      <c r="K298" s="185"/>
      <c r="L298" s="185"/>
      <c r="M298" s="187"/>
      <c r="N298" s="185"/>
      <c r="O298" s="209"/>
      <c r="P298" s="209"/>
      <c r="Q298" s="209"/>
      <c r="R298" s="190"/>
      <c r="S298" s="190"/>
      <c r="T298" s="190"/>
      <c r="U298" s="191"/>
      <c r="V298" s="192"/>
      <c r="W298" s="193"/>
      <c r="X298" s="194"/>
      <c r="Y298" s="195"/>
      <c r="Z298" s="196"/>
      <c r="AA298" s="203"/>
      <c r="AB298" s="198"/>
      <c r="AC298" s="199"/>
      <c r="AD298" s="200"/>
      <c r="AE298" s="182"/>
      <c r="AF298" s="201"/>
      <c r="AG298" s="201"/>
    </row>
    <row r="299" spans="1:33" ht="24.75" customHeight="1" thickTop="1" thickBot="1">
      <c r="A299" s="217" t="str">
        <f t="shared" si="9"/>
        <v>#BL25-0002</v>
      </c>
      <c r="B299" s="181"/>
      <c r="C299" s="181"/>
      <c r="D299" s="184"/>
      <c r="E299" s="183"/>
      <c r="F299" s="184" t="str">
        <f t="shared" si="8"/>
        <v>Construction Exemplaire Inc.</v>
      </c>
      <c r="G299" s="184"/>
      <c r="H299" s="183"/>
      <c r="I299" s="182"/>
      <c r="J299" s="185"/>
      <c r="K299" s="185"/>
      <c r="L299" s="185"/>
      <c r="M299" s="187"/>
      <c r="N299" s="185"/>
      <c r="O299" s="209"/>
      <c r="P299" s="209"/>
      <c r="Q299" s="209"/>
      <c r="R299" s="190"/>
      <c r="S299" s="190"/>
      <c r="T299" s="190"/>
      <c r="U299" s="191"/>
      <c r="V299" s="192"/>
      <c r="W299" s="193"/>
      <c r="X299" s="194"/>
      <c r="Y299" s="195"/>
      <c r="Z299" s="196"/>
      <c r="AA299" s="203"/>
      <c r="AB299" s="198"/>
      <c r="AC299" s="199"/>
      <c r="AD299" s="200"/>
      <c r="AE299" s="182"/>
      <c r="AF299" s="201"/>
      <c r="AG299" s="201"/>
    </row>
    <row r="300" spans="1:33" ht="30" customHeight="1" thickTop="1" thickBot="1">
      <c r="A300" s="217" t="str">
        <f t="shared" si="9"/>
        <v>#BL25-0002</v>
      </c>
      <c r="B300" s="181"/>
      <c r="C300" s="181"/>
      <c r="D300" s="184"/>
      <c r="E300" s="183"/>
      <c r="F300" s="184" t="str">
        <f t="shared" si="8"/>
        <v>Construction Exemplaire Inc.</v>
      </c>
      <c r="G300" s="184"/>
      <c r="H300" s="183"/>
      <c r="I300" s="182"/>
      <c r="J300" s="185"/>
      <c r="K300" s="185"/>
      <c r="L300" s="185"/>
      <c r="M300" s="187"/>
      <c r="N300" s="185"/>
      <c r="O300" s="188"/>
      <c r="P300" s="188"/>
      <c r="Q300" s="189"/>
      <c r="R300" s="190"/>
      <c r="S300" s="190"/>
      <c r="T300" s="190"/>
      <c r="U300" s="191"/>
      <c r="V300" s="192"/>
      <c r="W300" s="193"/>
      <c r="X300" s="194"/>
      <c r="Y300" s="195"/>
      <c r="Z300" s="196"/>
      <c r="AA300" s="203"/>
      <c r="AB300" s="198"/>
      <c r="AC300" s="199"/>
      <c r="AD300" s="200"/>
      <c r="AE300" s="182"/>
      <c r="AF300" s="201"/>
      <c r="AG300" s="201"/>
    </row>
    <row r="301" spans="1:33" ht="30" customHeight="1" thickTop="1" thickBot="1">
      <c r="A301" s="217" t="str">
        <f t="shared" si="9"/>
        <v>#BL25-0002</v>
      </c>
      <c r="B301" s="181"/>
      <c r="C301" s="181"/>
      <c r="D301" s="184"/>
      <c r="E301" s="183"/>
      <c r="F301" s="184" t="str">
        <f t="shared" si="8"/>
        <v>Construction Exemplaire Inc.</v>
      </c>
      <c r="G301" s="184"/>
      <c r="H301" s="183"/>
      <c r="I301" s="182"/>
      <c r="J301" s="185"/>
      <c r="K301" s="185"/>
      <c r="L301" s="185"/>
      <c r="M301" s="187"/>
      <c r="N301" s="185"/>
      <c r="O301" s="188"/>
      <c r="P301" s="188"/>
      <c r="Q301" s="189"/>
      <c r="R301" s="190"/>
      <c r="S301" s="190"/>
      <c r="T301" s="190"/>
      <c r="U301" s="191"/>
      <c r="V301" s="192"/>
      <c r="W301" s="193"/>
      <c r="X301" s="194"/>
      <c r="Y301" s="195"/>
      <c r="Z301" s="196"/>
      <c r="AA301" s="203"/>
      <c r="AB301" s="198"/>
      <c r="AC301" s="199"/>
      <c r="AD301" s="200"/>
      <c r="AE301" s="182"/>
      <c r="AF301" s="201"/>
      <c r="AG301" s="201"/>
    </row>
    <row r="302" spans="1:33" ht="30" customHeight="1" thickTop="1" thickBot="1">
      <c r="A302" s="217" t="str">
        <f t="shared" si="9"/>
        <v>#BL25-0002</v>
      </c>
      <c r="B302" s="181"/>
      <c r="C302" s="181"/>
      <c r="D302" s="184"/>
      <c r="E302" s="183"/>
      <c r="F302" s="184" t="str">
        <f t="shared" si="8"/>
        <v>Construction Exemplaire Inc.</v>
      </c>
      <c r="G302" s="184"/>
      <c r="H302" s="183"/>
      <c r="I302" s="182"/>
      <c r="J302" s="185"/>
      <c r="K302" s="185"/>
      <c r="L302" s="185"/>
      <c r="M302" s="187"/>
      <c r="N302" s="185"/>
      <c r="O302" s="188"/>
      <c r="P302" s="188"/>
      <c r="Q302" s="189"/>
      <c r="R302" s="190"/>
      <c r="S302" s="190"/>
      <c r="T302" s="190"/>
      <c r="U302" s="191"/>
      <c r="V302" s="192"/>
      <c r="W302" s="193"/>
      <c r="X302" s="194"/>
      <c r="Y302" s="195"/>
      <c r="Z302" s="196"/>
      <c r="AA302" s="203"/>
      <c r="AB302" s="198"/>
      <c r="AC302" s="199"/>
      <c r="AD302" s="200"/>
      <c r="AE302" s="182"/>
      <c r="AF302" s="201"/>
      <c r="AG302" s="201"/>
    </row>
    <row r="303" spans="1:33" ht="30" customHeight="1" thickTop="1" thickBot="1">
      <c r="A303" s="217" t="str">
        <f t="shared" si="9"/>
        <v>#BL25-0002</v>
      </c>
      <c r="B303" s="181"/>
      <c r="C303" s="181"/>
      <c r="D303" s="184"/>
      <c r="E303" s="183"/>
      <c r="F303" s="184" t="str">
        <f t="shared" si="8"/>
        <v>Construction Exemplaire Inc.</v>
      </c>
      <c r="G303" s="184"/>
      <c r="H303" s="183"/>
      <c r="I303" s="182"/>
      <c r="J303" s="185"/>
      <c r="K303" s="185"/>
      <c r="L303" s="185"/>
      <c r="M303" s="187"/>
      <c r="N303" s="185"/>
      <c r="O303" s="188"/>
      <c r="P303" s="188"/>
      <c r="Q303" s="189"/>
      <c r="R303" s="190"/>
      <c r="S303" s="190"/>
      <c r="T303" s="190"/>
      <c r="U303" s="191"/>
      <c r="V303" s="192"/>
      <c r="W303" s="193"/>
      <c r="X303" s="194"/>
      <c r="Y303" s="195"/>
      <c r="Z303" s="196"/>
      <c r="AA303" s="203"/>
      <c r="AB303" s="198"/>
      <c r="AC303" s="199"/>
      <c r="AD303" s="200"/>
      <c r="AE303" s="182"/>
      <c r="AF303" s="201"/>
      <c r="AG303" s="201"/>
    </row>
    <row r="304" spans="1:33" ht="30" customHeight="1" thickTop="1" thickBot="1">
      <c r="A304" s="217" t="str">
        <f t="shared" si="9"/>
        <v>#BL25-0002</v>
      </c>
      <c r="B304" s="181"/>
      <c r="C304" s="181"/>
      <c r="D304" s="184"/>
      <c r="E304" s="183"/>
      <c r="F304" s="184" t="str">
        <f t="shared" si="8"/>
        <v>Construction Exemplaire Inc.</v>
      </c>
      <c r="G304" s="184"/>
      <c r="H304" s="183"/>
      <c r="I304" s="182"/>
      <c r="J304" s="185"/>
      <c r="K304" s="185"/>
      <c r="L304" s="185"/>
      <c r="M304" s="187"/>
      <c r="N304" s="185"/>
      <c r="O304" s="188"/>
      <c r="P304" s="188"/>
      <c r="Q304" s="189"/>
      <c r="R304" s="190"/>
      <c r="S304" s="190"/>
      <c r="T304" s="190"/>
      <c r="U304" s="191"/>
      <c r="V304" s="192"/>
      <c r="W304" s="193"/>
      <c r="X304" s="194"/>
      <c r="Y304" s="195"/>
      <c r="Z304" s="196"/>
      <c r="AA304" s="203"/>
      <c r="AB304" s="198"/>
      <c r="AC304" s="199"/>
      <c r="AD304" s="200"/>
      <c r="AE304" s="182"/>
      <c r="AF304" s="201"/>
      <c r="AG304" s="201"/>
    </row>
    <row r="305" spans="1:33" ht="30" customHeight="1" thickTop="1" thickBot="1">
      <c r="A305" s="217" t="str">
        <f t="shared" si="9"/>
        <v>#BL25-0002</v>
      </c>
      <c r="B305" s="181"/>
      <c r="C305" s="181"/>
      <c r="D305" s="184"/>
      <c r="E305" s="183"/>
      <c r="F305" s="184" t="str">
        <f t="shared" si="8"/>
        <v>Construction Exemplaire Inc.</v>
      </c>
      <c r="G305" s="184"/>
      <c r="H305" s="183"/>
      <c r="I305" s="182"/>
      <c r="J305" s="185"/>
      <c r="K305" s="185"/>
      <c r="L305" s="185"/>
      <c r="M305" s="187"/>
      <c r="N305" s="185"/>
      <c r="O305" s="188"/>
      <c r="P305" s="188"/>
      <c r="Q305" s="189"/>
      <c r="R305" s="190"/>
      <c r="S305" s="190"/>
      <c r="T305" s="190"/>
      <c r="U305" s="191"/>
      <c r="V305" s="192"/>
      <c r="W305" s="193"/>
      <c r="X305" s="194"/>
      <c r="Y305" s="195"/>
      <c r="Z305" s="196"/>
      <c r="AA305" s="203"/>
      <c r="AB305" s="198"/>
      <c r="AC305" s="199"/>
      <c r="AD305" s="200"/>
      <c r="AE305" s="182"/>
      <c r="AF305" s="201"/>
      <c r="AG305" s="201"/>
    </row>
    <row r="306" spans="1:33" ht="30" customHeight="1" thickTop="1" thickBot="1">
      <c r="A306" s="217" t="str">
        <f t="shared" si="9"/>
        <v>#BL25-0002</v>
      </c>
      <c r="B306" s="181"/>
      <c r="C306" s="181"/>
      <c r="D306" s="184"/>
      <c r="E306" s="183"/>
      <c r="F306" s="184" t="str">
        <f t="shared" si="8"/>
        <v>Construction Exemplaire Inc.</v>
      </c>
      <c r="G306" s="184"/>
      <c r="H306" s="183"/>
      <c r="I306" s="182"/>
      <c r="J306" s="185"/>
      <c r="K306" s="185"/>
      <c r="L306" s="185"/>
      <c r="M306" s="187"/>
      <c r="N306" s="185"/>
      <c r="O306" s="188"/>
      <c r="P306" s="188"/>
      <c r="Q306" s="189"/>
      <c r="R306" s="190"/>
      <c r="S306" s="190"/>
      <c r="T306" s="190"/>
      <c r="U306" s="191"/>
      <c r="V306" s="192"/>
      <c r="W306" s="193"/>
      <c r="X306" s="194"/>
      <c r="Y306" s="195"/>
      <c r="Z306" s="196"/>
      <c r="AA306" s="203"/>
      <c r="AB306" s="198"/>
      <c r="AC306" s="199"/>
      <c r="AD306" s="200"/>
      <c r="AE306" s="182"/>
      <c r="AF306" s="201"/>
      <c r="AG306" s="201"/>
    </row>
    <row r="307" spans="1:33" ht="30" customHeight="1" thickTop="1" thickBot="1">
      <c r="A307" s="217" t="str">
        <f t="shared" si="9"/>
        <v>#BL25-0002</v>
      </c>
      <c r="B307" s="181"/>
      <c r="C307" s="181"/>
      <c r="D307" s="184"/>
      <c r="E307" s="183"/>
      <c r="F307" s="184" t="str">
        <f t="shared" si="8"/>
        <v>Construction Exemplaire Inc.</v>
      </c>
      <c r="G307" s="184"/>
      <c r="H307" s="183"/>
      <c r="I307" s="182"/>
      <c r="J307" s="185"/>
      <c r="K307" s="185"/>
      <c r="L307" s="185"/>
      <c r="M307" s="187"/>
      <c r="N307" s="185"/>
      <c r="O307" s="188"/>
      <c r="P307" s="188"/>
      <c r="Q307" s="189"/>
      <c r="R307" s="190"/>
      <c r="S307" s="190"/>
      <c r="T307" s="190"/>
      <c r="U307" s="191"/>
      <c r="V307" s="192"/>
      <c r="W307" s="193"/>
      <c r="X307" s="194"/>
      <c r="Y307" s="195"/>
      <c r="Z307" s="196"/>
      <c r="AA307" s="203"/>
      <c r="AB307" s="198"/>
      <c r="AC307" s="199"/>
      <c r="AD307" s="200"/>
      <c r="AE307" s="182"/>
      <c r="AF307" s="201"/>
      <c r="AG307" s="201"/>
    </row>
    <row r="308" spans="1:33" ht="30" customHeight="1" thickTop="1" thickBot="1">
      <c r="A308" s="217" t="str">
        <f t="shared" si="9"/>
        <v>#BL25-0002</v>
      </c>
      <c r="B308" s="181"/>
      <c r="C308" s="181"/>
      <c r="D308" s="184"/>
      <c r="E308" s="183"/>
      <c r="F308" s="184" t="str">
        <f t="shared" si="8"/>
        <v>Construction Exemplaire Inc.</v>
      </c>
      <c r="G308" s="184"/>
      <c r="H308" s="183"/>
      <c r="I308" s="182"/>
      <c r="J308" s="185"/>
      <c r="K308" s="185"/>
      <c r="L308" s="185"/>
      <c r="M308" s="187"/>
      <c r="N308" s="185"/>
      <c r="O308" s="188"/>
      <c r="P308" s="188"/>
      <c r="Q308" s="189"/>
      <c r="R308" s="190"/>
      <c r="S308" s="190"/>
      <c r="T308" s="190"/>
      <c r="U308" s="191"/>
      <c r="V308" s="192"/>
      <c r="W308" s="193"/>
      <c r="X308" s="194"/>
      <c r="Y308" s="195"/>
      <c r="Z308" s="196"/>
      <c r="AA308" s="203"/>
      <c r="AB308" s="198"/>
      <c r="AC308" s="199"/>
      <c r="AD308" s="200"/>
      <c r="AE308" s="182"/>
      <c r="AF308" s="201"/>
      <c r="AG308" s="201"/>
    </row>
    <row r="309" spans="1:33" ht="30" customHeight="1" thickTop="1" thickBot="1">
      <c r="A309" s="217" t="str">
        <f t="shared" si="9"/>
        <v>#BL25-0002</v>
      </c>
      <c r="B309" s="181"/>
      <c r="C309" s="181"/>
      <c r="D309" s="184"/>
      <c r="E309" s="183"/>
      <c r="F309" s="184" t="str">
        <f t="shared" si="8"/>
        <v>Construction Exemplaire Inc.</v>
      </c>
      <c r="G309" s="184"/>
      <c r="H309" s="183"/>
      <c r="I309" s="182"/>
      <c r="J309" s="185"/>
      <c r="K309" s="185"/>
      <c r="L309" s="185"/>
      <c r="M309" s="187"/>
      <c r="N309" s="185"/>
      <c r="O309" s="188"/>
      <c r="P309" s="188"/>
      <c r="Q309" s="189"/>
      <c r="R309" s="190"/>
      <c r="S309" s="190"/>
      <c r="T309" s="190"/>
      <c r="U309" s="191"/>
      <c r="V309" s="192"/>
      <c r="W309" s="193"/>
      <c r="X309" s="194"/>
      <c r="Y309" s="195"/>
      <c r="Z309" s="196"/>
      <c r="AA309" s="203"/>
      <c r="AB309" s="198"/>
      <c r="AC309" s="199"/>
      <c r="AD309" s="200"/>
      <c r="AE309" s="182"/>
      <c r="AF309" s="201"/>
      <c r="AG309" s="201"/>
    </row>
    <row r="310" spans="1:33" ht="30" customHeight="1" thickTop="1" thickBot="1">
      <c r="A310" s="217" t="str">
        <f t="shared" si="9"/>
        <v>#BL25-0002</v>
      </c>
      <c r="B310" s="181"/>
      <c r="C310" s="181"/>
      <c r="D310" s="184"/>
      <c r="E310" s="183"/>
      <c r="F310" s="184" t="str">
        <f t="shared" si="8"/>
        <v>Construction Exemplaire Inc.</v>
      </c>
      <c r="G310" s="184"/>
      <c r="H310" s="183"/>
      <c r="I310" s="182"/>
      <c r="J310" s="185"/>
      <c r="K310" s="185"/>
      <c r="L310" s="185"/>
      <c r="M310" s="187"/>
      <c r="N310" s="185"/>
      <c r="O310" s="188"/>
      <c r="P310" s="188"/>
      <c r="Q310" s="189"/>
      <c r="R310" s="190"/>
      <c r="S310" s="190"/>
      <c r="T310" s="190"/>
      <c r="U310" s="191"/>
      <c r="V310" s="192"/>
      <c r="W310" s="193"/>
      <c r="X310" s="194"/>
      <c r="Y310" s="195"/>
      <c r="Z310" s="196"/>
      <c r="AA310" s="203"/>
      <c r="AB310" s="198"/>
      <c r="AC310" s="199"/>
      <c r="AD310" s="200"/>
      <c r="AE310" s="182"/>
      <c r="AF310" s="201"/>
      <c r="AG310" s="201"/>
    </row>
    <row r="311" spans="1:33" ht="30" customHeight="1" thickTop="1" thickBot="1">
      <c r="A311" s="217" t="str">
        <f t="shared" si="9"/>
        <v>#BL25-0002</v>
      </c>
      <c r="B311" s="181"/>
      <c r="C311" s="181"/>
      <c r="D311" s="184"/>
      <c r="E311" s="183"/>
      <c r="F311" s="184" t="str">
        <f t="shared" si="8"/>
        <v>Construction Exemplaire Inc.</v>
      </c>
      <c r="G311" s="184"/>
      <c r="H311" s="183"/>
      <c r="I311" s="182"/>
      <c r="J311" s="185"/>
      <c r="K311" s="185"/>
      <c r="L311" s="185"/>
      <c r="M311" s="187"/>
      <c r="N311" s="185"/>
      <c r="O311" s="188"/>
      <c r="P311" s="188"/>
      <c r="Q311" s="189"/>
      <c r="R311" s="190"/>
      <c r="S311" s="190"/>
      <c r="T311" s="190"/>
      <c r="U311" s="191"/>
      <c r="V311" s="192"/>
      <c r="W311" s="193"/>
      <c r="X311" s="194"/>
      <c r="Y311" s="195"/>
      <c r="Z311" s="196"/>
      <c r="AA311" s="203"/>
      <c r="AB311" s="198"/>
      <c r="AC311" s="199"/>
      <c r="AD311" s="200"/>
      <c r="AE311" s="182"/>
      <c r="AF311" s="201"/>
      <c r="AG311" s="201"/>
    </row>
    <row r="312" spans="1:33" ht="30" customHeight="1" thickTop="1" thickBot="1">
      <c r="A312" s="217" t="str">
        <f t="shared" si="9"/>
        <v>#BL25-0002</v>
      </c>
      <c r="B312" s="181"/>
      <c r="C312" s="181"/>
      <c r="D312" s="184"/>
      <c r="E312" s="183"/>
      <c r="F312" s="184" t="str">
        <f t="shared" si="8"/>
        <v>Construction Exemplaire Inc.</v>
      </c>
      <c r="G312" s="184"/>
      <c r="H312" s="183"/>
      <c r="I312" s="182"/>
      <c r="J312" s="185"/>
      <c r="K312" s="185"/>
      <c r="L312" s="185"/>
      <c r="M312" s="187"/>
      <c r="N312" s="185"/>
      <c r="O312" s="188"/>
      <c r="P312" s="188"/>
      <c r="Q312" s="189"/>
      <c r="R312" s="190"/>
      <c r="S312" s="190"/>
      <c r="T312" s="190"/>
      <c r="U312" s="191"/>
      <c r="V312" s="192"/>
      <c r="W312" s="193"/>
      <c r="X312" s="194"/>
      <c r="Y312" s="195"/>
      <c r="Z312" s="196"/>
      <c r="AA312" s="203"/>
      <c r="AB312" s="198"/>
      <c r="AC312" s="199"/>
      <c r="AD312" s="200"/>
      <c r="AE312" s="182"/>
      <c r="AF312" s="201"/>
      <c r="AG312" s="201"/>
    </row>
    <row r="313" spans="1:33" ht="30" customHeight="1" thickTop="1" thickBot="1">
      <c r="A313" s="217" t="str">
        <f t="shared" si="9"/>
        <v>#BL25-0002</v>
      </c>
      <c r="B313" s="181"/>
      <c r="C313" s="181"/>
      <c r="D313" s="184"/>
      <c r="E313" s="183"/>
      <c r="F313" s="184" t="str">
        <f t="shared" si="8"/>
        <v>Construction Exemplaire Inc.</v>
      </c>
      <c r="G313" s="184"/>
      <c r="H313" s="183"/>
      <c r="I313" s="182"/>
      <c r="J313" s="185"/>
      <c r="K313" s="185"/>
      <c r="L313" s="185"/>
      <c r="M313" s="187"/>
      <c r="N313" s="185"/>
      <c r="O313" s="188"/>
      <c r="P313" s="188"/>
      <c r="Q313" s="189"/>
      <c r="R313" s="190"/>
      <c r="S313" s="190"/>
      <c r="T313" s="190"/>
      <c r="U313" s="191"/>
      <c r="V313" s="192"/>
      <c r="W313" s="193"/>
      <c r="X313" s="194"/>
      <c r="Y313" s="195"/>
      <c r="Z313" s="196"/>
      <c r="AA313" s="203"/>
      <c r="AB313" s="198"/>
      <c r="AC313" s="199"/>
      <c r="AD313" s="200"/>
      <c r="AE313" s="182"/>
      <c r="AF313" s="201"/>
      <c r="AG313" s="201"/>
    </row>
    <row r="314" spans="1:33" ht="30" customHeight="1" thickTop="1" thickBot="1">
      <c r="A314" s="217" t="str">
        <f t="shared" si="9"/>
        <v>#BL25-0002</v>
      </c>
      <c r="B314" s="181"/>
      <c r="C314" s="181"/>
      <c r="D314" s="184"/>
      <c r="E314" s="183"/>
      <c r="F314" s="184" t="str">
        <f t="shared" si="8"/>
        <v>Construction Exemplaire Inc.</v>
      </c>
      <c r="G314" s="184"/>
      <c r="H314" s="183"/>
      <c r="I314" s="182"/>
      <c r="J314" s="185"/>
      <c r="K314" s="185"/>
      <c r="L314" s="185"/>
      <c r="M314" s="187"/>
      <c r="N314" s="185"/>
      <c r="O314" s="188"/>
      <c r="P314" s="188"/>
      <c r="Q314" s="189"/>
      <c r="R314" s="190"/>
      <c r="S314" s="190"/>
      <c r="T314" s="190"/>
      <c r="U314" s="191"/>
      <c r="V314" s="192"/>
      <c r="W314" s="193"/>
      <c r="X314" s="194"/>
      <c r="Y314" s="195"/>
      <c r="Z314" s="196"/>
      <c r="AA314" s="203"/>
      <c r="AB314" s="198"/>
      <c r="AC314" s="199"/>
      <c r="AD314" s="200"/>
      <c r="AE314" s="182"/>
      <c r="AF314" s="201"/>
      <c r="AG314" s="201"/>
    </row>
    <row r="315" spans="1:33" ht="30" customHeight="1" thickTop="1" thickBot="1">
      <c r="A315" s="217" t="str">
        <f t="shared" si="9"/>
        <v>#BL25-0002</v>
      </c>
      <c r="B315" s="181"/>
      <c r="C315" s="181"/>
      <c r="D315" s="184"/>
      <c r="E315" s="183"/>
      <c r="F315" s="184" t="str">
        <f t="shared" si="8"/>
        <v>Construction Exemplaire Inc.</v>
      </c>
      <c r="G315" s="184"/>
      <c r="H315" s="183"/>
      <c r="I315" s="182"/>
      <c r="J315" s="185"/>
      <c r="K315" s="185"/>
      <c r="L315" s="185"/>
      <c r="M315" s="187"/>
      <c r="N315" s="185"/>
      <c r="O315" s="188"/>
      <c r="P315" s="188"/>
      <c r="Q315" s="189"/>
      <c r="R315" s="190"/>
      <c r="S315" s="190"/>
      <c r="T315" s="190"/>
      <c r="U315" s="191"/>
      <c r="V315" s="192"/>
      <c r="W315" s="193"/>
      <c r="X315" s="194"/>
      <c r="Y315" s="195"/>
      <c r="Z315" s="196"/>
      <c r="AA315" s="203"/>
      <c r="AB315" s="198"/>
      <c r="AC315" s="199"/>
      <c r="AD315" s="200"/>
      <c r="AE315" s="182"/>
      <c r="AF315" s="201"/>
      <c r="AG315" s="201"/>
    </row>
    <row r="316" spans="1:33" ht="30" customHeight="1" thickTop="1" thickBot="1">
      <c r="A316" s="217" t="str">
        <f t="shared" si="9"/>
        <v>#BL25-0002</v>
      </c>
      <c r="B316" s="181"/>
      <c r="C316" s="181"/>
      <c r="D316" s="184"/>
      <c r="E316" s="183"/>
      <c r="F316" s="184" t="str">
        <f t="shared" si="8"/>
        <v>Construction Exemplaire Inc.</v>
      </c>
      <c r="G316" s="184"/>
      <c r="H316" s="183"/>
      <c r="I316" s="182"/>
      <c r="J316" s="185"/>
      <c r="K316" s="185"/>
      <c r="L316" s="185"/>
      <c r="M316" s="187"/>
      <c r="N316" s="185"/>
      <c r="O316" s="188"/>
      <c r="P316" s="188"/>
      <c r="Q316" s="189"/>
      <c r="R316" s="190"/>
      <c r="S316" s="190"/>
      <c r="T316" s="190"/>
      <c r="U316" s="191"/>
      <c r="V316" s="192"/>
      <c r="W316" s="193"/>
      <c r="X316" s="194"/>
      <c r="Y316" s="195"/>
      <c r="Z316" s="196"/>
      <c r="AA316" s="203"/>
      <c r="AB316" s="198"/>
      <c r="AC316" s="199"/>
      <c r="AD316" s="200"/>
      <c r="AE316" s="182"/>
      <c r="AF316" s="201"/>
      <c r="AG316" s="201"/>
    </row>
    <row r="317" spans="1:33" ht="30" customHeight="1" thickTop="1" thickBot="1">
      <c r="A317" s="217" t="str">
        <f t="shared" si="9"/>
        <v>#BL25-0002</v>
      </c>
      <c r="B317" s="181"/>
      <c r="C317" s="181"/>
      <c r="D317" s="184"/>
      <c r="E317" s="183"/>
      <c r="F317" s="184" t="str">
        <f t="shared" si="8"/>
        <v>Construction Exemplaire Inc.</v>
      </c>
      <c r="G317" s="184"/>
      <c r="H317" s="183"/>
      <c r="I317" s="182"/>
      <c r="J317" s="185"/>
      <c r="K317" s="185"/>
      <c r="L317" s="185"/>
      <c r="M317" s="187"/>
      <c r="N317" s="185"/>
      <c r="O317" s="188"/>
      <c r="P317" s="188"/>
      <c r="Q317" s="189"/>
      <c r="R317" s="190"/>
      <c r="S317" s="190"/>
      <c r="T317" s="190"/>
      <c r="U317" s="191"/>
      <c r="V317" s="192"/>
      <c r="W317" s="193"/>
      <c r="X317" s="194"/>
      <c r="Y317" s="195"/>
      <c r="Z317" s="196"/>
      <c r="AA317" s="203"/>
      <c r="AB317" s="198"/>
      <c r="AC317" s="199"/>
      <c r="AD317" s="200"/>
      <c r="AE317" s="182"/>
      <c r="AF317" s="201"/>
      <c r="AG317" s="201"/>
    </row>
    <row r="318" spans="1:33" thickTop="1" thickBot="1">
      <c r="A318" s="217" t="str">
        <f t="shared" si="9"/>
        <v>#BL25-0002</v>
      </c>
      <c r="B318" s="181"/>
      <c r="C318" s="181"/>
      <c r="D318" s="184"/>
      <c r="E318" s="183"/>
      <c r="F318" s="184" t="str">
        <f t="shared" si="8"/>
        <v>Construction Exemplaire Inc.</v>
      </c>
      <c r="G318" s="184"/>
      <c r="H318" s="183"/>
      <c r="I318" s="182"/>
      <c r="J318" s="185"/>
      <c r="K318" s="185"/>
      <c r="L318" s="185"/>
      <c r="M318" s="187"/>
      <c r="N318" s="185"/>
      <c r="O318" s="188"/>
      <c r="P318" s="188"/>
      <c r="Q318" s="189"/>
      <c r="R318" s="190"/>
      <c r="S318" s="190"/>
      <c r="T318" s="190"/>
      <c r="U318" s="191"/>
      <c r="V318" s="192"/>
      <c r="W318" s="193"/>
      <c r="X318" s="194"/>
      <c r="Y318" s="195"/>
      <c r="Z318" s="196"/>
      <c r="AA318" s="203"/>
      <c r="AB318" s="198"/>
      <c r="AC318" s="199"/>
      <c r="AD318" s="200"/>
      <c r="AE318" s="182"/>
      <c r="AF318" s="201"/>
      <c r="AG318" s="201"/>
    </row>
    <row r="319" spans="1:33" thickTop="1" thickBot="1">
      <c r="A319" s="217" t="str">
        <f t="shared" si="9"/>
        <v>#BL25-0002</v>
      </c>
      <c r="B319" s="181"/>
      <c r="C319" s="181"/>
      <c r="D319" s="184"/>
      <c r="E319" s="183"/>
      <c r="F319" s="184" t="str">
        <f t="shared" si="8"/>
        <v>Construction Exemplaire Inc.</v>
      </c>
      <c r="G319" s="184"/>
      <c r="H319" s="183"/>
      <c r="I319" s="182"/>
      <c r="J319" s="185"/>
      <c r="K319" s="185"/>
      <c r="L319" s="185"/>
      <c r="M319" s="187"/>
      <c r="N319" s="185"/>
      <c r="O319" s="188"/>
      <c r="P319" s="188"/>
      <c r="Q319" s="189"/>
      <c r="R319" s="190"/>
      <c r="S319" s="190"/>
      <c r="T319" s="190"/>
      <c r="U319" s="191"/>
      <c r="V319" s="192"/>
      <c r="W319" s="193"/>
      <c r="X319" s="194"/>
      <c r="Y319" s="195"/>
      <c r="Z319" s="196"/>
      <c r="AA319" s="203"/>
      <c r="AB319" s="198"/>
      <c r="AC319" s="199"/>
      <c r="AD319" s="200"/>
      <c r="AE319" s="182"/>
      <c r="AF319" s="201"/>
      <c r="AG319" s="201"/>
    </row>
    <row r="320" spans="1:33" thickTop="1" thickBot="1">
      <c r="A320" s="217" t="str">
        <f t="shared" si="9"/>
        <v>#BL25-0002</v>
      </c>
      <c r="B320" s="181"/>
      <c r="C320" s="181"/>
      <c r="D320" s="184"/>
      <c r="E320" s="183"/>
      <c r="F320" s="184" t="str">
        <f t="shared" si="8"/>
        <v>Construction Exemplaire Inc.</v>
      </c>
      <c r="G320" s="184"/>
      <c r="H320" s="183"/>
      <c r="I320" s="182"/>
      <c r="J320" s="185"/>
      <c r="K320" s="185"/>
      <c r="L320" s="185"/>
      <c r="M320" s="187"/>
      <c r="N320" s="185"/>
      <c r="O320" s="188"/>
      <c r="P320" s="188"/>
      <c r="Q320" s="189"/>
      <c r="R320" s="190"/>
      <c r="S320" s="190"/>
      <c r="T320" s="190"/>
      <c r="U320" s="191"/>
      <c r="V320" s="192"/>
      <c r="W320" s="193"/>
      <c r="X320" s="194"/>
      <c r="Y320" s="195"/>
      <c r="Z320" s="196"/>
      <c r="AA320" s="203"/>
      <c r="AB320" s="198"/>
      <c r="AC320" s="199"/>
      <c r="AD320" s="200"/>
      <c r="AE320" s="182"/>
      <c r="AF320" s="201"/>
      <c r="AG320" s="201"/>
    </row>
    <row r="321" spans="1:33" ht="24" customHeight="1" thickTop="1" thickBot="1">
      <c r="A321" s="217" t="str">
        <f t="shared" si="9"/>
        <v>#BL25-0002</v>
      </c>
      <c r="B321" s="181"/>
      <c r="C321" s="181"/>
      <c r="D321" s="207"/>
      <c r="E321" s="183"/>
      <c r="F321" s="184" t="str">
        <f t="shared" si="8"/>
        <v>Construction Exemplaire Inc.</v>
      </c>
      <c r="G321" s="184"/>
      <c r="H321" s="183"/>
      <c r="I321" s="182"/>
      <c r="J321" s="185"/>
      <c r="K321" s="185"/>
      <c r="L321" s="185"/>
      <c r="M321" s="187"/>
      <c r="N321" s="185"/>
      <c r="O321" s="188"/>
      <c r="P321" s="188"/>
      <c r="Q321" s="189"/>
      <c r="R321" s="190"/>
      <c r="S321" s="190"/>
      <c r="T321" s="190"/>
      <c r="U321" s="191"/>
      <c r="V321" s="192"/>
      <c r="W321" s="193"/>
      <c r="X321" s="194"/>
      <c r="Y321" s="195"/>
      <c r="Z321" s="196"/>
      <c r="AA321" s="203"/>
      <c r="AB321" s="198"/>
      <c r="AC321" s="199"/>
      <c r="AD321" s="200"/>
      <c r="AE321" s="182"/>
      <c r="AF321" s="201"/>
      <c r="AG321" s="201"/>
    </row>
    <row r="322" spans="1:33" thickTop="1" thickBot="1">
      <c r="A322" s="217" t="str">
        <f t="shared" si="9"/>
        <v>#BL25-0002</v>
      </c>
      <c r="B322" s="181"/>
      <c r="C322" s="181"/>
      <c r="D322" s="184"/>
      <c r="E322" s="183"/>
      <c r="F322" s="184" t="str">
        <f t="shared" si="8"/>
        <v>Construction Exemplaire Inc.</v>
      </c>
      <c r="G322" s="184"/>
      <c r="H322" s="183"/>
      <c r="I322" s="182"/>
      <c r="J322" s="185"/>
      <c r="K322" s="185"/>
      <c r="L322" s="185"/>
      <c r="M322" s="187"/>
      <c r="N322" s="185"/>
      <c r="O322" s="188"/>
      <c r="P322" s="188"/>
      <c r="Q322" s="189"/>
      <c r="R322" s="190"/>
      <c r="S322" s="190"/>
      <c r="T322" s="190"/>
      <c r="U322" s="191"/>
      <c r="V322" s="192"/>
      <c r="W322" s="193"/>
      <c r="X322" s="194"/>
      <c r="Y322" s="195"/>
      <c r="Z322" s="196"/>
      <c r="AA322" s="203"/>
      <c r="AB322" s="198"/>
      <c r="AC322" s="199"/>
      <c r="AD322" s="200"/>
      <c r="AE322" s="182"/>
      <c r="AF322" s="201"/>
      <c r="AG322" s="201"/>
    </row>
    <row r="323" spans="1:33" thickTop="1" thickBot="1">
      <c r="A323" s="217" t="str">
        <f t="shared" si="9"/>
        <v>#BL25-0002</v>
      </c>
      <c r="B323" s="181"/>
      <c r="C323" s="181"/>
      <c r="D323" s="184"/>
      <c r="E323" s="183"/>
      <c r="F323" s="184" t="str">
        <f t="shared" si="8"/>
        <v>Construction Exemplaire Inc.</v>
      </c>
      <c r="G323" s="184"/>
      <c r="H323" s="183"/>
      <c r="I323" s="182"/>
      <c r="J323" s="185"/>
      <c r="K323" s="185"/>
      <c r="L323" s="185"/>
      <c r="M323" s="187"/>
      <c r="N323" s="185"/>
      <c r="O323" s="188"/>
      <c r="P323" s="188"/>
      <c r="Q323" s="189"/>
      <c r="R323" s="190"/>
      <c r="S323" s="190"/>
      <c r="T323" s="190"/>
      <c r="U323" s="191"/>
      <c r="V323" s="192"/>
      <c r="W323" s="193"/>
      <c r="X323" s="194"/>
      <c r="Y323" s="195"/>
      <c r="Z323" s="196"/>
      <c r="AA323" s="203"/>
      <c r="AB323" s="198"/>
      <c r="AC323" s="199"/>
      <c r="AD323" s="200"/>
      <c r="AE323" s="182"/>
      <c r="AF323" s="201"/>
      <c r="AG323" s="201"/>
    </row>
    <row r="324" spans="1:33" thickTop="1" thickBot="1">
      <c r="A324" s="217" t="str">
        <f t="shared" si="9"/>
        <v>#BL25-0002</v>
      </c>
      <c r="B324" s="181"/>
      <c r="C324" s="181"/>
      <c r="D324" s="184"/>
      <c r="E324" s="183"/>
      <c r="F324" s="184" t="str">
        <f t="shared" si="8"/>
        <v>Construction Exemplaire Inc.</v>
      </c>
      <c r="G324" s="184"/>
      <c r="H324" s="183"/>
      <c r="I324" s="182"/>
      <c r="J324" s="185"/>
      <c r="K324" s="185"/>
      <c r="L324" s="185"/>
      <c r="M324" s="187"/>
      <c r="N324" s="185"/>
      <c r="O324" s="188"/>
      <c r="P324" s="188"/>
      <c r="Q324" s="189"/>
      <c r="R324" s="190"/>
      <c r="S324" s="190"/>
      <c r="T324" s="190"/>
      <c r="U324" s="191"/>
      <c r="V324" s="192"/>
      <c r="W324" s="193"/>
      <c r="X324" s="194"/>
      <c r="Y324" s="195"/>
      <c r="Z324" s="196"/>
      <c r="AA324" s="203"/>
      <c r="AB324" s="198"/>
      <c r="AC324" s="199"/>
      <c r="AD324" s="200"/>
      <c r="AE324" s="182"/>
      <c r="AF324" s="201"/>
      <c r="AG324" s="201"/>
    </row>
    <row r="325" spans="1:33" thickTop="1" thickBot="1">
      <c r="A325" s="217" t="str">
        <f t="shared" si="9"/>
        <v>#BL25-0002</v>
      </c>
      <c r="B325" s="181"/>
      <c r="C325" s="181"/>
      <c r="D325" s="184"/>
      <c r="E325" s="183"/>
      <c r="F325" s="184" t="str">
        <f t="shared" si="8"/>
        <v>Construction Exemplaire Inc.</v>
      </c>
      <c r="G325" s="184"/>
      <c r="H325" s="183"/>
      <c r="I325" s="182"/>
      <c r="J325" s="185"/>
      <c r="K325" s="185"/>
      <c r="L325" s="185"/>
      <c r="M325" s="187"/>
      <c r="N325" s="185"/>
      <c r="O325" s="206"/>
      <c r="P325" s="188"/>
      <c r="Q325" s="189"/>
      <c r="R325" s="190"/>
      <c r="S325" s="190"/>
      <c r="T325" s="190"/>
      <c r="U325" s="191"/>
      <c r="V325" s="192"/>
      <c r="W325" s="193"/>
      <c r="X325" s="194"/>
      <c r="Y325" s="195"/>
      <c r="Z325" s="196"/>
      <c r="AA325" s="203"/>
      <c r="AB325" s="198"/>
      <c r="AC325" s="199"/>
      <c r="AD325" s="200"/>
      <c r="AE325" s="182"/>
      <c r="AF325" s="201"/>
      <c r="AG325" s="201"/>
    </row>
    <row r="326" spans="1:33" thickTop="1" thickBot="1">
      <c r="A326" s="217" t="str">
        <f t="shared" si="9"/>
        <v>#BL25-0002</v>
      </c>
      <c r="B326" s="181"/>
      <c r="C326" s="181"/>
      <c r="D326" s="184"/>
      <c r="E326" s="183"/>
      <c r="F326" s="184" t="str">
        <f t="shared" si="8"/>
        <v>Construction Exemplaire Inc.</v>
      </c>
      <c r="G326" s="184"/>
      <c r="H326" s="183"/>
      <c r="I326" s="182"/>
      <c r="J326" s="185"/>
      <c r="K326" s="185"/>
      <c r="L326" s="185"/>
      <c r="M326" s="187"/>
      <c r="N326" s="185"/>
      <c r="O326" s="188"/>
      <c r="P326" s="188"/>
      <c r="Q326" s="189"/>
      <c r="R326" s="190"/>
      <c r="S326" s="190"/>
      <c r="T326" s="190"/>
      <c r="U326" s="191"/>
      <c r="V326" s="192"/>
      <c r="W326" s="193"/>
      <c r="X326" s="194"/>
      <c r="Y326" s="195"/>
      <c r="Z326" s="196"/>
      <c r="AA326" s="203"/>
      <c r="AB326" s="198"/>
      <c r="AC326" s="199"/>
      <c r="AD326" s="200"/>
      <c r="AE326" s="182"/>
      <c r="AF326" s="201"/>
      <c r="AG326" s="201"/>
    </row>
    <row r="327" spans="1:33" thickTop="1" thickBot="1">
      <c r="A327" s="217" t="str">
        <f t="shared" si="9"/>
        <v>#BL25-0002</v>
      </c>
      <c r="B327" s="181"/>
      <c r="C327" s="181"/>
      <c r="D327" s="184"/>
      <c r="E327" s="183"/>
      <c r="F327" s="184" t="str">
        <f t="shared" si="8"/>
        <v>Construction Exemplaire Inc.</v>
      </c>
      <c r="G327" s="184"/>
      <c r="H327" s="183"/>
      <c r="I327" s="182"/>
      <c r="J327" s="185"/>
      <c r="K327" s="185"/>
      <c r="L327" s="185"/>
      <c r="M327" s="187"/>
      <c r="N327" s="185"/>
      <c r="O327" s="206"/>
      <c r="P327" s="188"/>
      <c r="Q327" s="189"/>
      <c r="R327" s="190"/>
      <c r="S327" s="190"/>
      <c r="T327" s="190"/>
      <c r="U327" s="191"/>
      <c r="V327" s="192"/>
      <c r="W327" s="193"/>
      <c r="X327" s="194"/>
      <c r="Y327" s="195"/>
      <c r="Z327" s="196"/>
      <c r="AA327" s="203"/>
      <c r="AB327" s="198"/>
      <c r="AC327" s="199"/>
      <c r="AD327" s="200"/>
      <c r="AE327" s="182"/>
      <c r="AF327" s="201"/>
      <c r="AG327" s="201"/>
    </row>
    <row r="328" spans="1:33" thickTop="1" thickBot="1">
      <c r="A328" s="217" t="str">
        <f t="shared" si="9"/>
        <v>#BL25-0002</v>
      </c>
      <c r="B328" s="181"/>
      <c r="C328" s="181"/>
      <c r="D328" s="184"/>
      <c r="E328" s="183"/>
      <c r="F328" s="184" t="str">
        <f t="shared" ref="F328:F391" si="10">nomClient</f>
        <v>Construction Exemplaire Inc.</v>
      </c>
      <c r="G328" s="184"/>
      <c r="H328" s="183"/>
      <c r="I328" s="182"/>
      <c r="J328" s="185"/>
      <c r="K328" s="185"/>
      <c r="L328" s="185"/>
      <c r="M328" s="187"/>
      <c r="N328" s="185"/>
      <c r="O328" s="206"/>
      <c r="P328" s="188"/>
      <c r="Q328" s="189"/>
      <c r="R328" s="190"/>
      <c r="S328" s="190"/>
      <c r="T328" s="190"/>
      <c r="U328" s="191"/>
      <c r="V328" s="192"/>
      <c r="W328" s="193"/>
      <c r="X328" s="194"/>
      <c r="Y328" s="195"/>
      <c r="Z328" s="196"/>
      <c r="AA328" s="203"/>
      <c r="AB328" s="198"/>
      <c r="AC328" s="199"/>
      <c r="AD328" s="200"/>
      <c r="AE328" s="182"/>
      <c r="AF328" s="201"/>
      <c r="AG328" s="201"/>
    </row>
    <row r="329" spans="1:33" thickTop="1" thickBot="1">
      <c r="A329" s="217" t="str">
        <f t="shared" ref="A329:A392" si="11">Ligne1</f>
        <v>#BL25-0002</v>
      </c>
      <c r="B329" s="181"/>
      <c r="C329" s="181"/>
      <c r="D329" s="184"/>
      <c r="E329" s="183"/>
      <c r="F329" s="184" t="str">
        <f t="shared" si="10"/>
        <v>Construction Exemplaire Inc.</v>
      </c>
      <c r="G329" s="184"/>
      <c r="H329" s="183"/>
      <c r="I329" s="182"/>
      <c r="J329" s="185"/>
      <c r="K329" s="185"/>
      <c r="L329" s="185"/>
      <c r="M329" s="187"/>
      <c r="N329" s="185"/>
      <c r="O329" s="206"/>
      <c r="P329" s="188"/>
      <c r="Q329" s="189"/>
      <c r="R329" s="190"/>
      <c r="S329" s="190"/>
      <c r="T329" s="190"/>
      <c r="U329" s="191"/>
      <c r="V329" s="192"/>
      <c r="W329" s="193"/>
      <c r="X329" s="194"/>
      <c r="Y329" s="195"/>
      <c r="Z329" s="196"/>
      <c r="AA329" s="203"/>
      <c r="AB329" s="198"/>
      <c r="AC329" s="199"/>
      <c r="AD329" s="200"/>
      <c r="AE329" s="182"/>
      <c r="AF329" s="201"/>
      <c r="AG329" s="201"/>
    </row>
    <row r="330" spans="1:33" thickTop="1" thickBot="1">
      <c r="A330" s="217" t="str">
        <f t="shared" si="11"/>
        <v>#BL25-0002</v>
      </c>
      <c r="B330" s="181"/>
      <c r="C330" s="181"/>
      <c r="D330" s="184"/>
      <c r="E330" s="183"/>
      <c r="F330" s="184" t="str">
        <f t="shared" si="10"/>
        <v>Construction Exemplaire Inc.</v>
      </c>
      <c r="G330" s="184"/>
      <c r="H330" s="183"/>
      <c r="I330" s="182"/>
      <c r="J330" s="185"/>
      <c r="K330" s="185"/>
      <c r="L330" s="185"/>
      <c r="M330" s="187"/>
      <c r="N330" s="185"/>
      <c r="O330" s="206"/>
      <c r="P330" s="188"/>
      <c r="Q330" s="189"/>
      <c r="R330" s="190"/>
      <c r="S330" s="190"/>
      <c r="T330" s="190"/>
      <c r="U330" s="191"/>
      <c r="V330" s="192"/>
      <c r="W330" s="193"/>
      <c r="X330" s="194"/>
      <c r="Y330" s="195"/>
      <c r="Z330" s="196"/>
      <c r="AA330" s="203"/>
      <c r="AB330" s="198"/>
      <c r="AC330" s="199"/>
      <c r="AD330" s="200"/>
      <c r="AE330" s="182"/>
      <c r="AF330" s="201"/>
      <c r="AG330" s="201"/>
    </row>
    <row r="331" spans="1:33" thickTop="1" thickBot="1">
      <c r="A331" s="217" t="str">
        <f t="shared" si="11"/>
        <v>#BL25-0002</v>
      </c>
      <c r="B331" s="181"/>
      <c r="C331" s="181"/>
      <c r="D331" s="184"/>
      <c r="E331" s="183"/>
      <c r="F331" s="184" t="str">
        <f t="shared" si="10"/>
        <v>Construction Exemplaire Inc.</v>
      </c>
      <c r="G331" s="184"/>
      <c r="H331" s="183"/>
      <c r="I331" s="182"/>
      <c r="J331" s="185"/>
      <c r="K331" s="185"/>
      <c r="L331" s="185"/>
      <c r="M331" s="187"/>
      <c r="N331" s="185"/>
      <c r="O331" s="206"/>
      <c r="P331" s="188"/>
      <c r="Q331" s="189"/>
      <c r="R331" s="190"/>
      <c r="S331" s="190"/>
      <c r="T331" s="190"/>
      <c r="U331" s="191"/>
      <c r="V331" s="192"/>
      <c r="W331" s="193"/>
      <c r="X331" s="194"/>
      <c r="Y331" s="195"/>
      <c r="Z331" s="196"/>
      <c r="AA331" s="203"/>
      <c r="AB331" s="198"/>
      <c r="AC331" s="199"/>
      <c r="AD331" s="200"/>
      <c r="AE331" s="182"/>
      <c r="AF331" s="201"/>
      <c r="AG331" s="201"/>
    </row>
    <row r="332" spans="1:33" thickTop="1" thickBot="1">
      <c r="A332" s="217" t="str">
        <f t="shared" si="11"/>
        <v>#BL25-0002</v>
      </c>
      <c r="B332" s="181"/>
      <c r="C332" s="181"/>
      <c r="D332" s="184"/>
      <c r="E332" s="183"/>
      <c r="F332" s="184" t="str">
        <f t="shared" si="10"/>
        <v>Construction Exemplaire Inc.</v>
      </c>
      <c r="G332" s="184"/>
      <c r="H332" s="183"/>
      <c r="I332" s="182"/>
      <c r="J332" s="185"/>
      <c r="K332" s="185"/>
      <c r="L332" s="185"/>
      <c r="M332" s="187"/>
      <c r="N332" s="185"/>
      <c r="O332" s="206"/>
      <c r="P332" s="188"/>
      <c r="Q332" s="189"/>
      <c r="R332" s="190"/>
      <c r="S332" s="190"/>
      <c r="T332" s="190"/>
      <c r="U332" s="191"/>
      <c r="V332" s="192"/>
      <c r="W332" s="193"/>
      <c r="X332" s="194"/>
      <c r="Y332" s="195"/>
      <c r="Z332" s="196"/>
      <c r="AA332" s="203"/>
      <c r="AB332" s="198"/>
      <c r="AC332" s="199"/>
      <c r="AD332" s="200"/>
      <c r="AE332" s="182"/>
      <c r="AF332" s="201"/>
      <c r="AG332" s="201"/>
    </row>
    <row r="333" spans="1:33" thickTop="1" thickBot="1">
      <c r="A333" s="217" t="str">
        <f t="shared" si="11"/>
        <v>#BL25-0002</v>
      </c>
      <c r="B333" s="181"/>
      <c r="C333" s="181"/>
      <c r="D333" s="184"/>
      <c r="E333" s="183"/>
      <c r="F333" s="184" t="str">
        <f t="shared" si="10"/>
        <v>Construction Exemplaire Inc.</v>
      </c>
      <c r="G333" s="184"/>
      <c r="H333" s="183"/>
      <c r="I333" s="182"/>
      <c r="J333" s="185"/>
      <c r="K333" s="185"/>
      <c r="L333" s="185"/>
      <c r="M333" s="187"/>
      <c r="N333" s="185"/>
      <c r="O333" s="206"/>
      <c r="P333" s="188"/>
      <c r="Q333" s="189"/>
      <c r="R333" s="190"/>
      <c r="S333" s="190"/>
      <c r="T333" s="190"/>
      <c r="U333" s="191"/>
      <c r="V333" s="192"/>
      <c r="W333" s="193"/>
      <c r="X333" s="194"/>
      <c r="Y333" s="195"/>
      <c r="Z333" s="196"/>
      <c r="AA333" s="203"/>
      <c r="AB333" s="198"/>
      <c r="AC333" s="199"/>
      <c r="AD333" s="200"/>
      <c r="AE333" s="182"/>
      <c r="AF333" s="201"/>
      <c r="AG333" s="201"/>
    </row>
    <row r="334" spans="1:33" thickTop="1" thickBot="1">
      <c r="A334" s="217" t="str">
        <f t="shared" si="11"/>
        <v>#BL25-0002</v>
      </c>
      <c r="B334" s="181"/>
      <c r="C334" s="181"/>
      <c r="D334" s="184"/>
      <c r="E334" s="183"/>
      <c r="F334" s="184" t="str">
        <f t="shared" si="10"/>
        <v>Construction Exemplaire Inc.</v>
      </c>
      <c r="G334" s="184"/>
      <c r="H334" s="183"/>
      <c r="I334" s="182"/>
      <c r="J334" s="185"/>
      <c r="K334" s="185"/>
      <c r="L334" s="185"/>
      <c r="M334" s="187"/>
      <c r="N334" s="185"/>
      <c r="O334" s="206"/>
      <c r="P334" s="188"/>
      <c r="Q334" s="189"/>
      <c r="R334" s="190"/>
      <c r="S334" s="190"/>
      <c r="T334" s="190"/>
      <c r="U334" s="191"/>
      <c r="V334" s="192"/>
      <c r="W334" s="193"/>
      <c r="X334" s="194"/>
      <c r="Y334" s="195"/>
      <c r="Z334" s="196"/>
      <c r="AA334" s="203"/>
      <c r="AB334" s="198"/>
      <c r="AC334" s="199"/>
      <c r="AD334" s="200"/>
      <c r="AE334" s="182"/>
      <c r="AF334" s="201"/>
      <c r="AG334" s="201"/>
    </row>
    <row r="335" spans="1:33" thickTop="1" thickBot="1">
      <c r="A335" s="217" t="str">
        <f t="shared" si="11"/>
        <v>#BL25-0002</v>
      </c>
      <c r="B335" s="181"/>
      <c r="C335" s="181"/>
      <c r="D335" s="184"/>
      <c r="E335" s="183"/>
      <c r="F335" s="184" t="str">
        <f t="shared" si="10"/>
        <v>Construction Exemplaire Inc.</v>
      </c>
      <c r="G335" s="184"/>
      <c r="H335" s="183"/>
      <c r="I335" s="182"/>
      <c r="J335" s="185"/>
      <c r="K335" s="185"/>
      <c r="L335" s="185"/>
      <c r="M335" s="187"/>
      <c r="N335" s="185"/>
      <c r="O335" s="206"/>
      <c r="P335" s="188"/>
      <c r="Q335" s="189"/>
      <c r="R335" s="190"/>
      <c r="S335" s="190"/>
      <c r="T335" s="190"/>
      <c r="U335" s="191"/>
      <c r="V335" s="192"/>
      <c r="W335" s="193"/>
      <c r="X335" s="194"/>
      <c r="Y335" s="195"/>
      <c r="Z335" s="196"/>
      <c r="AA335" s="203"/>
      <c r="AB335" s="198"/>
      <c r="AC335" s="199"/>
      <c r="AD335" s="200"/>
      <c r="AE335" s="182"/>
      <c r="AF335" s="201"/>
      <c r="AG335" s="201"/>
    </row>
    <row r="336" spans="1:33" thickTop="1" thickBot="1">
      <c r="A336" s="217" t="str">
        <f t="shared" si="11"/>
        <v>#BL25-0002</v>
      </c>
      <c r="B336" s="181"/>
      <c r="C336" s="181"/>
      <c r="D336" s="184"/>
      <c r="E336" s="183"/>
      <c r="F336" s="184" t="str">
        <f t="shared" si="10"/>
        <v>Construction Exemplaire Inc.</v>
      </c>
      <c r="G336" s="184"/>
      <c r="H336" s="183"/>
      <c r="I336" s="182"/>
      <c r="J336" s="185"/>
      <c r="K336" s="185"/>
      <c r="L336" s="185"/>
      <c r="M336" s="187"/>
      <c r="N336" s="185"/>
      <c r="O336" s="206"/>
      <c r="P336" s="188"/>
      <c r="Q336" s="189"/>
      <c r="R336" s="190"/>
      <c r="S336" s="190"/>
      <c r="T336" s="190"/>
      <c r="U336" s="191"/>
      <c r="V336" s="192"/>
      <c r="W336" s="193"/>
      <c r="X336" s="194"/>
      <c r="Y336" s="195"/>
      <c r="Z336" s="196"/>
      <c r="AA336" s="203"/>
      <c r="AB336" s="198"/>
      <c r="AC336" s="199"/>
      <c r="AD336" s="200"/>
      <c r="AE336" s="182"/>
      <c r="AF336" s="201"/>
      <c r="AG336" s="201"/>
    </row>
    <row r="337" spans="1:33" thickTop="1" thickBot="1">
      <c r="A337" s="217" t="str">
        <f t="shared" si="11"/>
        <v>#BL25-0002</v>
      </c>
      <c r="B337" s="181"/>
      <c r="C337" s="181"/>
      <c r="D337" s="184"/>
      <c r="E337" s="183"/>
      <c r="F337" s="184" t="str">
        <f t="shared" si="10"/>
        <v>Construction Exemplaire Inc.</v>
      </c>
      <c r="G337" s="184"/>
      <c r="H337" s="183"/>
      <c r="I337" s="182"/>
      <c r="J337" s="185"/>
      <c r="K337" s="185"/>
      <c r="L337" s="185"/>
      <c r="M337" s="187"/>
      <c r="N337" s="185"/>
      <c r="O337" s="206"/>
      <c r="P337" s="188"/>
      <c r="Q337" s="189"/>
      <c r="R337" s="190"/>
      <c r="S337" s="190"/>
      <c r="T337" s="190"/>
      <c r="U337" s="191"/>
      <c r="V337" s="192"/>
      <c r="W337" s="193"/>
      <c r="X337" s="194"/>
      <c r="Y337" s="195"/>
      <c r="Z337" s="196"/>
      <c r="AA337" s="203"/>
      <c r="AB337" s="198"/>
      <c r="AC337" s="199"/>
      <c r="AD337" s="200"/>
      <c r="AE337" s="182"/>
      <c r="AF337" s="201"/>
      <c r="AG337" s="201"/>
    </row>
    <row r="338" spans="1:33" thickTop="1" thickBot="1">
      <c r="A338" s="217" t="str">
        <f t="shared" si="11"/>
        <v>#BL25-0002</v>
      </c>
      <c r="B338" s="181"/>
      <c r="C338" s="181"/>
      <c r="D338" s="184"/>
      <c r="E338" s="183"/>
      <c r="F338" s="184" t="str">
        <f t="shared" si="10"/>
        <v>Construction Exemplaire Inc.</v>
      </c>
      <c r="G338" s="184"/>
      <c r="H338" s="183"/>
      <c r="I338" s="182"/>
      <c r="J338" s="185"/>
      <c r="K338" s="185"/>
      <c r="L338" s="185"/>
      <c r="M338" s="187"/>
      <c r="N338" s="185"/>
      <c r="O338" s="188"/>
      <c r="P338" s="188"/>
      <c r="Q338" s="189"/>
      <c r="R338" s="190"/>
      <c r="S338" s="190"/>
      <c r="T338" s="190"/>
      <c r="U338" s="191"/>
      <c r="V338" s="192"/>
      <c r="W338" s="193"/>
      <c r="X338" s="194"/>
      <c r="Y338" s="195"/>
      <c r="Z338" s="196"/>
      <c r="AA338" s="203"/>
      <c r="AB338" s="198"/>
      <c r="AC338" s="199"/>
      <c r="AD338" s="200"/>
      <c r="AE338" s="182"/>
      <c r="AF338" s="201"/>
      <c r="AG338" s="201"/>
    </row>
    <row r="339" spans="1:33" thickTop="1" thickBot="1">
      <c r="A339" s="217" t="str">
        <f t="shared" si="11"/>
        <v>#BL25-0002</v>
      </c>
      <c r="B339" s="181"/>
      <c r="C339" s="181"/>
      <c r="D339" s="184"/>
      <c r="E339" s="183"/>
      <c r="F339" s="184" t="str">
        <f t="shared" si="10"/>
        <v>Construction Exemplaire Inc.</v>
      </c>
      <c r="G339" s="184"/>
      <c r="H339" s="183"/>
      <c r="I339" s="182"/>
      <c r="J339" s="185"/>
      <c r="K339" s="185"/>
      <c r="L339" s="185"/>
      <c r="M339" s="187"/>
      <c r="N339" s="185"/>
      <c r="O339" s="206"/>
      <c r="P339" s="188"/>
      <c r="Q339" s="189"/>
      <c r="R339" s="190"/>
      <c r="S339" s="190"/>
      <c r="T339" s="190"/>
      <c r="U339" s="191"/>
      <c r="V339" s="192"/>
      <c r="W339" s="193"/>
      <c r="X339" s="194"/>
      <c r="Y339" s="195"/>
      <c r="Z339" s="196"/>
      <c r="AA339" s="203"/>
      <c r="AB339" s="198"/>
      <c r="AC339" s="199"/>
      <c r="AD339" s="200"/>
      <c r="AE339" s="182"/>
      <c r="AF339" s="201"/>
      <c r="AG339" s="201"/>
    </row>
    <row r="340" spans="1:33" thickTop="1" thickBot="1">
      <c r="A340" s="217" t="str">
        <f t="shared" si="11"/>
        <v>#BL25-0002</v>
      </c>
      <c r="B340" s="181"/>
      <c r="C340" s="181"/>
      <c r="D340" s="184"/>
      <c r="E340" s="183"/>
      <c r="F340" s="184" t="str">
        <f t="shared" si="10"/>
        <v>Construction Exemplaire Inc.</v>
      </c>
      <c r="G340" s="184"/>
      <c r="H340" s="183"/>
      <c r="I340" s="182"/>
      <c r="J340" s="185"/>
      <c r="K340" s="185"/>
      <c r="L340" s="185"/>
      <c r="M340" s="187"/>
      <c r="N340" s="185"/>
      <c r="O340" s="206"/>
      <c r="P340" s="188"/>
      <c r="Q340" s="189"/>
      <c r="R340" s="190"/>
      <c r="S340" s="190"/>
      <c r="T340" s="190"/>
      <c r="U340" s="191"/>
      <c r="V340" s="192"/>
      <c r="W340" s="193"/>
      <c r="X340" s="194"/>
      <c r="Y340" s="195"/>
      <c r="Z340" s="196"/>
      <c r="AA340" s="203"/>
      <c r="AB340" s="198"/>
      <c r="AC340" s="199"/>
      <c r="AD340" s="200"/>
      <c r="AE340" s="182"/>
      <c r="AF340" s="201"/>
      <c r="AG340" s="201"/>
    </row>
    <row r="341" spans="1:33" thickTop="1" thickBot="1">
      <c r="A341" s="217" t="str">
        <f t="shared" si="11"/>
        <v>#BL25-0002</v>
      </c>
      <c r="B341" s="181"/>
      <c r="C341" s="181"/>
      <c r="D341" s="184"/>
      <c r="E341" s="183"/>
      <c r="F341" s="184" t="str">
        <f t="shared" si="10"/>
        <v>Construction Exemplaire Inc.</v>
      </c>
      <c r="G341" s="184"/>
      <c r="H341" s="183"/>
      <c r="I341" s="182"/>
      <c r="J341" s="185"/>
      <c r="K341" s="185"/>
      <c r="L341" s="185"/>
      <c r="M341" s="187"/>
      <c r="N341" s="185"/>
      <c r="O341" s="188"/>
      <c r="P341" s="188"/>
      <c r="Q341" s="189"/>
      <c r="R341" s="190"/>
      <c r="S341" s="190"/>
      <c r="T341" s="190"/>
      <c r="U341" s="191"/>
      <c r="V341" s="192"/>
      <c r="W341" s="193"/>
      <c r="X341" s="194"/>
      <c r="Y341" s="195"/>
      <c r="Z341" s="196"/>
      <c r="AA341" s="203"/>
      <c r="AB341" s="198"/>
      <c r="AC341" s="199"/>
      <c r="AD341" s="200"/>
      <c r="AE341" s="182"/>
      <c r="AF341" s="201"/>
      <c r="AG341" s="201"/>
    </row>
    <row r="342" spans="1:33" thickTop="1" thickBot="1">
      <c r="A342" s="217" t="str">
        <f t="shared" si="11"/>
        <v>#BL25-0002</v>
      </c>
      <c r="B342" s="181"/>
      <c r="C342" s="181"/>
      <c r="D342" s="184"/>
      <c r="E342" s="183"/>
      <c r="F342" s="184" t="str">
        <f t="shared" si="10"/>
        <v>Construction Exemplaire Inc.</v>
      </c>
      <c r="G342" s="184"/>
      <c r="H342" s="183"/>
      <c r="I342" s="182"/>
      <c r="J342" s="185"/>
      <c r="K342" s="185"/>
      <c r="L342" s="185"/>
      <c r="M342" s="187"/>
      <c r="N342" s="185"/>
      <c r="O342" s="188"/>
      <c r="P342" s="188"/>
      <c r="Q342" s="189"/>
      <c r="R342" s="190"/>
      <c r="S342" s="190"/>
      <c r="T342" s="190"/>
      <c r="U342" s="191"/>
      <c r="V342" s="192"/>
      <c r="W342" s="193"/>
      <c r="X342" s="194"/>
      <c r="Y342" s="195"/>
      <c r="Z342" s="196"/>
      <c r="AA342" s="203"/>
      <c r="AB342" s="198"/>
      <c r="AC342" s="199"/>
      <c r="AD342" s="200"/>
      <c r="AE342" s="182"/>
      <c r="AF342" s="201"/>
      <c r="AG342" s="201"/>
    </row>
    <row r="343" spans="1:33" thickTop="1" thickBot="1">
      <c r="A343" s="217" t="str">
        <f t="shared" si="11"/>
        <v>#BL25-0002</v>
      </c>
      <c r="B343" s="181"/>
      <c r="C343" s="181"/>
      <c r="D343" s="184"/>
      <c r="E343" s="183"/>
      <c r="F343" s="184" t="str">
        <f t="shared" si="10"/>
        <v>Construction Exemplaire Inc.</v>
      </c>
      <c r="G343" s="184"/>
      <c r="H343" s="183"/>
      <c r="I343" s="182"/>
      <c r="J343" s="185"/>
      <c r="K343" s="185"/>
      <c r="L343" s="185"/>
      <c r="M343" s="187"/>
      <c r="N343" s="185"/>
      <c r="O343" s="188"/>
      <c r="P343" s="188"/>
      <c r="Q343" s="189"/>
      <c r="R343" s="190"/>
      <c r="S343" s="190"/>
      <c r="T343" s="190"/>
      <c r="U343" s="191"/>
      <c r="V343" s="192"/>
      <c r="W343" s="193"/>
      <c r="X343" s="194"/>
      <c r="Y343" s="195"/>
      <c r="Z343" s="196"/>
      <c r="AA343" s="203"/>
      <c r="AB343" s="198"/>
      <c r="AC343" s="199"/>
      <c r="AD343" s="200"/>
      <c r="AE343" s="182"/>
      <c r="AF343" s="201"/>
      <c r="AG343" s="201"/>
    </row>
    <row r="344" spans="1:33" thickTop="1" thickBot="1">
      <c r="A344" s="217" t="str">
        <f t="shared" si="11"/>
        <v>#BL25-0002</v>
      </c>
      <c r="B344" s="181"/>
      <c r="C344" s="181"/>
      <c r="D344" s="184"/>
      <c r="E344" s="183"/>
      <c r="F344" s="184" t="str">
        <f t="shared" si="10"/>
        <v>Construction Exemplaire Inc.</v>
      </c>
      <c r="G344" s="184"/>
      <c r="H344" s="183"/>
      <c r="I344" s="182"/>
      <c r="J344" s="185"/>
      <c r="K344" s="185"/>
      <c r="L344" s="185"/>
      <c r="M344" s="187"/>
      <c r="N344" s="185"/>
      <c r="O344" s="188"/>
      <c r="P344" s="188"/>
      <c r="Q344" s="189"/>
      <c r="R344" s="190"/>
      <c r="S344" s="190"/>
      <c r="T344" s="190"/>
      <c r="U344" s="191"/>
      <c r="V344" s="192"/>
      <c r="W344" s="193"/>
      <c r="X344" s="194"/>
      <c r="Y344" s="195"/>
      <c r="Z344" s="196"/>
      <c r="AA344" s="203"/>
      <c r="AB344" s="198"/>
      <c r="AC344" s="199"/>
      <c r="AD344" s="200"/>
      <c r="AE344" s="182"/>
      <c r="AF344" s="201"/>
      <c r="AG344" s="201"/>
    </row>
    <row r="345" spans="1:33" thickTop="1" thickBot="1">
      <c r="A345" s="217" t="str">
        <f t="shared" si="11"/>
        <v>#BL25-0002</v>
      </c>
      <c r="B345" s="181"/>
      <c r="C345" s="181"/>
      <c r="D345" s="184"/>
      <c r="E345" s="183"/>
      <c r="F345" s="184" t="str">
        <f t="shared" si="10"/>
        <v>Construction Exemplaire Inc.</v>
      </c>
      <c r="G345" s="184"/>
      <c r="H345" s="183"/>
      <c r="I345" s="182"/>
      <c r="J345" s="185"/>
      <c r="K345" s="185"/>
      <c r="L345" s="185"/>
      <c r="M345" s="187"/>
      <c r="N345" s="185"/>
      <c r="O345" s="188"/>
      <c r="P345" s="188"/>
      <c r="Q345" s="189"/>
      <c r="R345" s="190"/>
      <c r="S345" s="190"/>
      <c r="T345" s="190"/>
      <c r="U345" s="191"/>
      <c r="V345" s="192"/>
      <c r="W345" s="193"/>
      <c r="X345" s="194"/>
      <c r="Y345" s="195"/>
      <c r="Z345" s="196"/>
      <c r="AA345" s="203"/>
      <c r="AB345" s="198"/>
      <c r="AC345" s="199"/>
      <c r="AD345" s="200"/>
      <c r="AE345" s="182"/>
      <c r="AF345" s="201"/>
      <c r="AG345" s="201"/>
    </row>
    <row r="346" spans="1:33" thickTop="1" thickBot="1">
      <c r="A346" s="217" t="str">
        <f t="shared" si="11"/>
        <v>#BL25-0002</v>
      </c>
      <c r="B346" s="181"/>
      <c r="C346" s="181"/>
      <c r="D346" s="184"/>
      <c r="E346" s="183"/>
      <c r="F346" s="184" t="str">
        <f t="shared" si="10"/>
        <v>Construction Exemplaire Inc.</v>
      </c>
      <c r="G346" s="184"/>
      <c r="H346" s="183"/>
      <c r="I346" s="182"/>
      <c r="J346" s="185"/>
      <c r="K346" s="185"/>
      <c r="L346" s="185"/>
      <c r="M346" s="187"/>
      <c r="N346" s="185"/>
      <c r="O346" s="188"/>
      <c r="P346" s="188"/>
      <c r="Q346" s="189"/>
      <c r="R346" s="190"/>
      <c r="S346" s="190"/>
      <c r="T346" s="190"/>
      <c r="U346" s="191"/>
      <c r="V346" s="192"/>
      <c r="W346" s="193"/>
      <c r="X346" s="194"/>
      <c r="Y346" s="195"/>
      <c r="Z346" s="196"/>
      <c r="AA346" s="203"/>
      <c r="AB346" s="198"/>
      <c r="AC346" s="199"/>
      <c r="AD346" s="200"/>
      <c r="AE346" s="182"/>
      <c r="AF346" s="201"/>
      <c r="AG346" s="201"/>
    </row>
    <row r="347" spans="1:33" thickTop="1" thickBot="1">
      <c r="A347" s="217" t="str">
        <f t="shared" si="11"/>
        <v>#BL25-0002</v>
      </c>
      <c r="B347" s="181"/>
      <c r="C347" s="181"/>
      <c r="D347" s="184"/>
      <c r="E347" s="183"/>
      <c r="F347" s="184" t="str">
        <f t="shared" si="10"/>
        <v>Construction Exemplaire Inc.</v>
      </c>
      <c r="G347" s="184"/>
      <c r="H347" s="183"/>
      <c r="I347" s="182"/>
      <c r="J347" s="185"/>
      <c r="K347" s="185"/>
      <c r="L347" s="185"/>
      <c r="M347" s="187"/>
      <c r="N347" s="185"/>
      <c r="O347" s="188"/>
      <c r="P347" s="188"/>
      <c r="Q347" s="189"/>
      <c r="R347" s="190"/>
      <c r="S347" s="190"/>
      <c r="T347" s="190"/>
      <c r="U347" s="191"/>
      <c r="V347" s="192"/>
      <c r="W347" s="193"/>
      <c r="X347" s="194"/>
      <c r="Y347" s="195"/>
      <c r="Z347" s="196"/>
      <c r="AA347" s="203"/>
      <c r="AB347" s="198"/>
      <c r="AC347" s="199"/>
      <c r="AD347" s="200"/>
      <c r="AE347" s="182"/>
      <c r="AF347" s="201"/>
      <c r="AG347" s="201"/>
    </row>
    <row r="348" spans="1:33" thickTop="1" thickBot="1">
      <c r="A348" s="217" t="str">
        <f t="shared" si="11"/>
        <v>#BL25-0002</v>
      </c>
      <c r="B348" s="181"/>
      <c r="C348" s="181"/>
      <c r="D348" s="184"/>
      <c r="E348" s="183"/>
      <c r="F348" s="184" t="str">
        <f t="shared" si="10"/>
        <v>Construction Exemplaire Inc.</v>
      </c>
      <c r="G348" s="184"/>
      <c r="H348" s="183"/>
      <c r="I348" s="182"/>
      <c r="J348" s="185"/>
      <c r="K348" s="185"/>
      <c r="L348" s="185"/>
      <c r="M348" s="187"/>
      <c r="N348" s="185"/>
      <c r="O348" s="188"/>
      <c r="P348" s="188"/>
      <c r="Q348" s="189"/>
      <c r="R348" s="190"/>
      <c r="S348" s="190"/>
      <c r="T348" s="190"/>
      <c r="U348" s="191"/>
      <c r="V348" s="192"/>
      <c r="W348" s="193"/>
      <c r="X348" s="194"/>
      <c r="Y348" s="195"/>
      <c r="Z348" s="196"/>
      <c r="AA348" s="203"/>
      <c r="AB348" s="198"/>
      <c r="AC348" s="199"/>
      <c r="AD348" s="200"/>
      <c r="AE348" s="182"/>
      <c r="AF348" s="201"/>
      <c r="AG348" s="201"/>
    </row>
    <row r="349" spans="1:33" thickTop="1" thickBot="1">
      <c r="A349" s="217" t="str">
        <f t="shared" si="11"/>
        <v>#BL25-0002</v>
      </c>
      <c r="B349" s="181"/>
      <c r="C349" s="181"/>
      <c r="D349" s="184"/>
      <c r="E349" s="183"/>
      <c r="F349" s="184" t="str">
        <f t="shared" si="10"/>
        <v>Construction Exemplaire Inc.</v>
      </c>
      <c r="G349" s="184"/>
      <c r="H349" s="183"/>
      <c r="I349" s="182"/>
      <c r="J349" s="185"/>
      <c r="K349" s="185"/>
      <c r="L349" s="185"/>
      <c r="M349" s="187"/>
      <c r="N349" s="185"/>
      <c r="O349" s="188"/>
      <c r="P349" s="188"/>
      <c r="Q349" s="189"/>
      <c r="R349" s="190"/>
      <c r="S349" s="190"/>
      <c r="T349" s="190"/>
      <c r="U349" s="191"/>
      <c r="V349" s="192"/>
      <c r="W349" s="193"/>
      <c r="X349" s="194"/>
      <c r="Y349" s="195"/>
      <c r="Z349" s="196"/>
      <c r="AA349" s="203"/>
      <c r="AB349" s="198"/>
      <c r="AC349" s="199"/>
      <c r="AD349" s="200"/>
      <c r="AE349" s="182"/>
      <c r="AF349" s="201"/>
      <c r="AG349" s="201"/>
    </row>
    <row r="350" spans="1:33" thickTop="1" thickBot="1">
      <c r="A350" s="217" t="str">
        <f t="shared" si="11"/>
        <v>#BL25-0002</v>
      </c>
      <c r="B350" s="181"/>
      <c r="C350" s="181"/>
      <c r="D350" s="184"/>
      <c r="E350" s="183"/>
      <c r="F350" s="184" t="str">
        <f t="shared" si="10"/>
        <v>Construction Exemplaire Inc.</v>
      </c>
      <c r="G350" s="184"/>
      <c r="H350" s="183"/>
      <c r="I350" s="182"/>
      <c r="J350" s="185"/>
      <c r="K350" s="185"/>
      <c r="L350" s="185"/>
      <c r="M350" s="187"/>
      <c r="N350" s="185"/>
      <c r="O350" s="188"/>
      <c r="P350" s="188"/>
      <c r="Q350" s="189"/>
      <c r="R350" s="190"/>
      <c r="S350" s="190"/>
      <c r="T350" s="190"/>
      <c r="U350" s="191"/>
      <c r="V350" s="192"/>
      <c r="W350" s="193"/>
      <c r="X350" s="194"/>
      <c r="Y350" s="195"/>
      <c r="Z350" s="196"/>
      <c r="AA350" s="203"/>
      <c r="AB350" s="198"/>
      <c r="AC350" s="199"/>
      <c r="AD350" s="200"/>
      <c r="AE350" s="182"/>
      <c r="AF350" s="201"/>
      <c r="AG350" s="201"/>
    </row>
    <row r="351" spans="1:33" thickTop="1" thickBot="1">
      <c r="A351" s="217" t="str">
        <f t="shared" si="11"/>
        <v>#BL25-0002</v>
      </c>
      <c r="B351" s="181"/>
      <c r="C351" s="181"/>
      <c r="D351" s="184"/>
      <c r="E351" s="183"/>
      <c r="F351" s="184" t="str">
        <f t="shared" si="10"/>
        <v>Construction Exemplaire Inc.</v>
      </c>
      <c r="G351" s="184"/>
      <c r="H351" s="183"/>
      <c r="I351" s="182"/>
      <c r="J351" s="185"/>
      <c r="K351" s="185"/>
      <c r="L351" s="185"/>
      <c r="M351" s="187"/>
      <c r="N351" s="185"/>
      <c r="O351" s="188"/>
      <c r="P351" s="188"/>
      <c r="Q351" s="189"/>
      <c r="R351" s="190"/>
      <c r="S351" s="190"/>
      <c r="T351" s="190"/>
      <c r="U351" s="191"/>
      <c r="V351" s="192"/>
      <c r="W351" s="193"/>
      <c r="X351" s="194"/>
      <c r="Y351" s="195"/>
      <c r="Z351" s="196"/>
      <c r="AA351" s="203"/>
      <c r="AB351" s="198"/>
      <c r="AC351" s="199"/>
      <c r="AD351" s="200"/>
      <c r="AE351" s="182"/>
      <c r="AF351" s="201"/>
      <c r="AG351" s="201"/>
    </row>
    <row r="352" spans="1:33" thickTop="1" thickBot="1">
      <c r="A352" s="217" t="str">
        <f t="shared" si="11"/>
        <v>#BL25-0002</v>
      </c>
      <c r="B352" s="181"/>
      <c r="C352" s="181"/>
      <c r="D352" s="184"/>
      <c r="E352" s="183"/>
      <c r="F352" s="184" t="str">
        <f t="shared" si="10"/>
        <v>Construction Exemplaire Inc.</v>
      </c>
      <c r="G352" s="184"/>
      <c r="H352" s="183"/>
      <c r="I352" s="182"/>
      <c r="J352" s="185"/>
      <c r="K352" s="185"/>
      <c r="L352" s="185"/>
      <c r="M352" s="187"/>
      <c r="N352" s="185"/>
      <c r="O352" s="188"/>
      <c r="P352" s="188"/>
      <c r="Q352" s="189"/>
      <c r="R352" s="190"/>
      <c r="S352" s="190"/>
      <c r="T352" s="190"/>
      <c r="U352" s="191"/>
      <c r="V352" s="192"/>
      <c r="W352" s="193"/>
      <c r="X352" s="194"/>
      <c r="Y352" s="195"/>
      <c r="Z352" s="196"/>
      <c r="AA352" s="203"/>
      <c r="AB352" s="198"/>
      <c r="AC352" s="199"/>
      <c r="AD352" s="200"/>
      <c r="AE352" s="182"/>
      <c r="AF352" s="201"/>
      <c r="AG352" s="201"/>
    </row>
    <row r="353" spans="1:33" thickTop="1" thickBot="1">
      <c r="A353" s="217" t="str">
        <f t="shared" si="11"/>
        <v>#BL25-0002</v>
      </c>
      <c r="B353" s="181"/>
      <c r="C353" s="181"/>
      <c r="D353" s="184"/>
      <c r="E353" s="183"/>
      <c r="F353" s="184" t="str">
        <f t="shared" si="10"/>
        <v>Construction Exemplaire Inc.</v>
      </c>
      <c r="G353" s="184"/>
      <c r="H353" s="183"/>
      <c r="I353" s="182"/>
      <c r="J353" s="185"/>
      <c r="K353" s="185"/>
      <c r="L353" s="185"/>
      <c r="M353" s="187"/>
      <c r="N353" s="185"/>
      <c r="O353" s="188"/>
      <c r="P353" s="188"/>
      <c r="Q353" s="189"/>
      <c r="R353" s="190"/>
      <c r="S353" s="190"/>
      <c r="T353" s="190"/>
      <c r="U353" s="191"/>
      <c r="V353" s="192"/>
      <c r="W353" s="193"/>
      <c r="X353" s="194"/>
      <c r="Y353" s="195"/>
      <c r="Z353" s="196"/>
      <c r="AA353" s="203"/>
      <c r="AB353" s="198"/>
      <c r="AC353" s="199"/>
      <c r="AD353" s="200"/>
      <c r="AE353" s="182"/>
      <c r="AF353" s="201"/>
      <c r="AG353" s="201"/>
    </row>
    <row r="354" spans="1:33" thickTop="1" thickBot="1">
      <c r="A354" s="217" t="str">
        <f t="shared" si="11"/>
        <v>#BL25-0002</v>
      </c>
      <c r="B354" s="181"/>
      <c r="C354" s="181"/>
      <c r="D354" s="184"/>
      <c r="E354" s="183"/>
      <c r="F354" s="184" t="str">
        <f t="shared" si="10"/>
        <v>Construction Exemplaire Inc.</v>
      </c>
      <c r="G354" s="184"/>
      <c r="H354" s="183"/>
      <c r="I354" s="182"/>
      <c r="J354" s="185"/>
      <c r="K354" s="185"/>
      <c r="L354" s="185"/>
      <c r="M354" s="187"/>
      <c r="N354" s="185"/>
      <c r="O354" s="188"/>
      <c r="P354" s="188"/>
      <c r="Q354" s="189"/>
      <c r="R354" s="190"/>
      <c r="S354" s="190"/>
      <c r="T354" s="190"/>
      <c r="U354" s="191"/>
      <c r="V354" s="192"/>
      <c r="W354" s="193"/>
      <c r="X354" s="194"/>
      <c r="Y354" s="195"/>
      <c r="Z354" s="196"/>
      <c r="AA354" s="203"/>
      <c r="AB354" s="198"/>
      <c r="AC354" s="199"/>
      <c r="AD354" s="200"/>
      <c r="AE354" s="182"/>
      <c r="AF354" s="201"/>
      <c r="AG354" s="201"/>
    </row>
    <row r="355" spans="1:33" thickTop="1" thickBot="1">
      <c r="A355" s="217" t="str">
        <f t="shared" si="11"/>
        <v>#BL25-0002</v>
      </c>
      <c r="B355" s="181"/>
      <c r="C355" s="181"/>
      <c r="D355" s="184"/>
      <c r="E355" s="183"/>
      <c r="F355" s="184" t="str">
        <f t="shared" si="10"/>
        <v>Construction Exemplaire Inc.</v>
      </c>
      <c r="G355" s="184"/>
      <c r="H355" s="183"/>
      <c r="I355" s="182"/>
      <c r="J355" s="185"/>
      <c r="K355" s="185"/>
      <c r="L355" s="185"/>
      <c r="M355" s="187"/>
      <c r="N355" s="185"/>
      <c r="O355" s="188"/>
      <c r="P355" s="188"/>
      <c r="Q355" s="189"/>
      <c r="R355" s="190"/>
      <c r="S355" s="190"/>
      <c r="T355" s="190"/>
      <c r="U355" s="191"/>
      <c r="V355" s="192"/>
      <c r="W355" s="193"/>
      <c r="X355" s="194"/>
      <c r="Y355" s="195"/>
      <c r="Z355" s="196"/>
      <c r="AA355" s="203"/>
      <c r="AB355" s="198"/>
      <c r="AC355" s="199"/>
      <c r="AD355" s="200"/>
      <c r="AE355" s="182"/>
      <c r="AF355" s="201"/>
      <c r="AG355" s="201"/>
    </row>
    <row r="356" spans="1:33" ht="27.75" customHeight="1" thickTop="1" thickBot="1">
      <c r="A356" s="217" t="str">
        <f t="shared" si="11"/>
        <v>#BL25-0002</v>
      </c>
      <c r="B356" s="181"/>
      <c r="C356" s="181"/>
      <c r="D356" s="184"/>
      <c r="E356" s="183"/>
      <c r="F356" s="184" t="str">
        <f t="shared" si="10"/>
        <v>Construction Exemplaire Inc.</v>
      </c>
      <c r="G356" s="184"/>
      <c r="H356" s="183"/>
      <c r="I356" s="182"/>
      <c r="J356" s="185"/>
      <c r="K356" s="185"/>
      <c r="L356" s="185"/>
      <c r="M356" s="187"/>
      <c r="N356" s="185"/>
      <c r="O356" s="188"/>
      <c r="P356" s="188"/>
      <c r="Q356" s="189"/>
      <c r="R356" s="190"/>
      <c r="S356" s="190"/>
      <c r="T356" s="190"/>
      <c r="U356" s="191"/>
      <c r="V356" s="192"/>
      <c r="W356" s="193"/>
      <c r="X356" s="194"/>
      <c r="Y356" s="195"/>
      <c r="Z356" s="196"/>
      <c r="AA356" s="203"/>
      <c r="AB356" s="198"/>
      <c r="AC356" s="199"/>
      <c r="AD356" s="200"/>
      <c r="AE356" s="182"/>
      <c r="AF356" s="201"/>
      <c r="AG356" s="201"/>
    </row>
    <row r="357" spans="1:33" ht="27.75" customHeight="1" thickTop="1" thickBot="1">
      <c r="A357" s="217" t="str">
        <f t="shared" si="11"/>
        <v>#BL25-0002</v>
      </c>
      <c r="B357" s="181"/>
      <c r="C357" s="181"/>
      <c r="D357" s="184"/>
      <c r="E357" s="183"/>
      <c r="F357" s="184" t="str">
        <f t="shared" si="10"/>
        <v>Construction Exemplaire Inc.</v>
      </c>
      <c r="G357" s="184"/>
      <c r="H357" s="183"/>
      <c r="I357" s="182"/>
      <c r="J357" s="185"/>
      <c r="K357" s="185"/>
      <c r="L357" s="185"/>
      <c r="M357" s="187"/>
      <c r="N357" s="185"/>
      <c r="O357" s="188"/>
      <c r="P357" s="188"/>
      <c r="Q357" s="189"/>
      <c r="R357" s="190"/>
      <c r="S357" s="190"/>
      <c r="T357" s="190"/>
      <c r="U357" s="191"/>
      <c r="V357" s="192"/>
      <c r="W357" s="193"/>
      <c r="X357" s="194"/>
      <c r="Y357" s="195"/>
      <c r="Z357" s="196"/>
      <c r="AA357" s="203"/>
      <c r="AB357" s="198"/>
      <c r="AC357" s="199"/>
      <c r="AD357" s="200"/>
      <c r="AE357" s="182"/>
      <c r="AF357" s="201"/>
      <c r="AG357" s="201"/>
    </row>
    <row r="358" spans="1:33" ht="27.75" customHeight="1" thickTop="1" thickBot="1">
      <c r="A358" s="217" t="str">
        <f t="shared" si="11"/>
        <v>#BL25-0002</v>
      </c>
      <c r="B358" s="181"/>
      <c r="C358" s="181"/>
      <c r="D358" s="184"/>
      <c r="E358" s="183"/>
      <c r="F358" s="184" t="str">
        <f t="shared" si="10"/>
        <v>Construction Exemplaire Inc.</v>
      </c>
      <c r="G358" s="184"/>
      <c r="H358" s="183"/>
      <c r="I358" s="182"/>
      <c r="J358" s="185"/>
      <c r="K358" s="185"/>
      <c r="L358" s="185"/>
      <c r="M358" s="187"/>
      <c r="N358" s="185"/>
      <c r="O358" s="188"/>
      <c r="P358" s="188"/>
      <c r="Q358" s="189"/>
      <c r="R358" s="190"/>
      <c r="S358" s="190"/>
      <c r="T358" s="190"/>
      <c r="U358" s="191"/>
      <c r="V358" s="192"/>
      <c r="W358" s="193"/>
      <c r="X358" s="194"/>
      <c r="Y358" s="195"/>
      <c r="Z358" s="196"/>
      <c r="AA358" s="203"/>
      <c r="AB358" s="198"/>
      <c r="AC358" s="199"/>
      <c r="AD358" s="200"/>
      <c r="AE358" s="182"/>
      <c r="AF358" s="201"/>
      <c r="AG358" s="201"/>
    </row>
    <row r="359" spans="1:33" ht="27.75" customHeight="1" thickTop="1" thickBot="1">
      <c r="A359" s="217" t="str">
        <f t="shared" si="11"/>
        <v>#BL25-0002</v>
      </c>
      <c r="B359" s="181"/>
      <c r="C359" s="181"/>
      <c r="D359" s="184"/>
      <c r="E359" s="183"/>
      <c r="F359" s="184" t="str">
        <f t="shared" si="10"/>
        <v>Construction Exemplaire Inc.</v>
      </c>
      <c r="G359" s="184"/>
      <c r="H359" s="183"/>
      <c r="I359" s="182"/>
      <c r="J359" s="185"/>
      <c r="K359" s="185"/>
      <c r="L359" s="185"/>
      <c r="M359" s="187"/>
      <c r="N359" s="185"/>
      <c r="O359" s="188"/>
      <c r="P359" s="188"/>
      <c r="Q359" s="189"/>
      <c r="R359" s="190"/>
      <c r="S359" s="190"/>
      <c r="T359" s="190"/>
      <c r="U359" s="191"/>
      <c r="V359" s="192"/>
      <c r="W359" s="193"/>
      <c r="X359" s="194"/>
      <c r="Y359" s="195"/>
      <c r="Z359" s="196"/>
      <c r="AA359" s="203"/>
      <c r="AB359" s="198"/>
      <c r="AC359" s="199"/>
      <c r="AD359" s="200"/>
      <c r="AE359" s="182"/>
      <c r="AF359" s="201"/>
      <c r="AG359" s="201"/>
    </row>
    <row r="360" spans="1:33" ht="27.75" customHeight="1" thickTop="1" thickBot="1">
      <c r="A360" s="217" t="str">
        <f t="shared" si="11"/>
        <v>#BL25-0002</v>
      </c>
      <c r="B360" s="181"/>
      <c r="C360" s="181"/>
      <c r="D360" s="184"/>
      <c r="E360" s="183"/>
      <c r="F360" s="184" t="str">
        <f t="shared" si="10"/>
        <v>Construction Exemplaire Inc.</v>
      </c>
      <c r="G360" s="184"/>
      <c r="H360" s="183"/>
      <c r="I360" s="182"/>
      <c r="J360" s="185"/>
      <c r="K360" s="185"/>
      <c r="L360" s="185"/>
      <c r="M360" s="187"/>
      <c r="N360" s="185"/>
      <c r="O360" s="188"/>
      <c r="P360" s="188"/>
      <c r="Q360" s="189"/>
      <c r="R360" s="190"/>
      <c r="S360" s="190"/>
      <c r="T360" s="190"/>
      <c r="U360" s="191"/>
      <c r="V360" s="192"/>
      <c r="W360" s="193"/>
      <c r="X360" s="194"/>
      <c r="Y360" s="195"/>
      <c r="Z360" s="196"/>
      <c r="AA360" s="203"/>
      <c r="AB360" s="198"/>
      <c r="AC360" s="199"/>
      <c r="AD360" s="200"/>
      <c r="AE360" s="182"/>
      <c r="AF360" s="201"/>
      <c r="AG360" s="201"/>
    </row>
    <row r="361" spans="1:33" ht="27.75" customHeight="1" thickTop="1" thickBot="1">
      <c r="A361" s="217" t="str">
        <f t="shared" si="11"/>
        <v>#BL25-0002</v>
      </c>
      <c r="B361" s="181"/>
      <c r="C361" s="181"/>
      <c r="D361" s="184"/>
      <c r="E361" s="183"/>
      <c r="F361" s="184" t="str">
        <f t="shared" si="10"/>
        <v>Construction Exemplaire Inc.</v>
      </c>
      <c r="G361" s="184"/>
      <c r="H361" s="183"/>
      <c r="I361" s="182"/>
      <c r="J361" s="185"/>
      <c r="K361" s="185"/>
      <c r="L361" s="185"/>
      <c r="M361" s="187"/>
      <c r="N361" s="185"/>
      <c r="O361" s="188"/>
      <c r="P361" s="188"/>
      <c r="Q361" s="189"/>
      <c r="R361" s="190"/>
      <c r="S361" s="190"/>
      <c r="T361" s="190"/>
      <c r="U361" s="191"/>
      <c r="V361" s="192"/>
      <c r="W361" s="193"/>
      <c r="X361" s="194"/>
      <c r="Y361" s="195"/>
      <c r="Z361" s="196"/>
      <c r="AA361" s="203"/>
      <c r="AB361" s="198"/>
      <c r="AC361" s="199"/>
      <c r="AD361" s="200"/>
      <c r="AE361" s="182"/>
      <c r="AF361" s="201"/>
      <c r="AG361" s="201"/>
    </row>
    <row r="362" spans="1:33" ht="27.75" customHeight="1" thickTop="1" thickBot="1">
      <c r="A362" s="217" t="str">
        <f t="shared" si="11"/>
        <v>#BL25-0002</v>
      </c>
      <c r="B362" s="181"/>
      <c r="C362" s="181"/>
      <c r="D362" s="184"/>
      <c r="E362" s="183"/>
      <c r="F362" s="184" t="str">
        <f t="shared" si="10"/>
        <v>Construction Exemplaire Inc.</v>
      </c>
      <c r="G362" s="184"/>
      <c r="H362" s="183"/>
      <c r="I362" s="182"/>
      <c r="J362" s="185"/>
      <c r="K362" s="185"/>
      <c r="L362" s="185"/>
      <c r="M362" s="187"/>
      <c r="N362" s="185"/>
      <c r="O362" s="188"/>
      <c r="P362" s="188"/>
      <c r="Q362" s="189"/>
      <c r="R362" s="190"/>
      <c r="S362" s="190"/>
      <c r="T362" s="190"/>
      <c r="U362" s="191"/>
      <c r="V362" s="192"/>
      <c r="W362" s="193"/>
      <c r="X362" s="194"/>
      <c r="Y362" s="195"/>
      <c r="Z362" s="196"/>
      <c r="AA362" s="203"/>
      <c r="AB362" s="198"/>
      <c r="AC362" s="199"/>
      <c r="AD362" s="200"/>
      <c r="AE362" s="182"/>
      <c r="AF362" s="201"/>
      <c r="AG362" s="201"/>
    </row>
    <row r="363" spans="1:33" ht="27.75" customHeight="1" thickTop="1" thickBot="1">
      <c r="A363" s="217" t="str">
        <f t="shared" si="11"/>
        <v>#BL25-0002</v>
      </c>
      <c r="B363" s="181"/>
      <c r="C363" s="181"/>
      <c r="D363" s="184"/>
      <c r="E363" s="183"/>
      <c r="F363" s="184" t="str">
        <f t="shared" si="10"/>
        <v>Construction Exemplaire Inc.</v>
      </c>
      <c r="G363" s="184"/>
      <c r="H363" s="183"/>
      <c r="I363" s="182"/>
      <c r="J363" s="185"/>
      <c r="K363" s="185"/>
      <c r="L363" s="185"/>
      <c r="M363" s="187"/>
      <c r="N363" s="185"/>
      <c r="O363" s="188"/>
      <c r="P363" s="188"/>
      <c r="Q363" s="189"/>
      <c r="R363" s="190"/>
      <c r="S363" s="190"/>
      <c r="T363" s="190"/>
      <c r="U363" s="191"/>
      <c r="V363" s="192"/>
      <c r="W363" s="193"/>
      <c r="X363" s="194"/>
      <c r="Y363" s="195"/>
      <c r="Z363" s="196"/>
      <c r="AA363" s="203"/>
      <c r="AB363" s="198"/>
      <c r="AC363" s="199"/>
      <c r="AD363" s="200"/>
      <c r="AE363" s="182"/>
      <c r="AF363" s="201"/>
      <c r="AG363" s="201"/>
    </row>
    <row r="364" spans="1:33" ht="27.75" customHeight="1" thickTop="1" thickBot="1">
      <c r="A364" s="217" t="str">
        <f t="shared" si="11"/>
        <v>#BL25-0002</v>
      </c>
      <c r="B364" s="181"/>
      <c r="C364" s="181"/>
      <c r="D364" s="207"/>
      <c r="E364" s="183"/>
      <c r="F364" s="184" t="str">
        <f t="shared" si="10"/>
        <v>Construction Exemplaire Inc.</v>
      </c>
      <c r="G364" s="184"/>
      <c r="H364" s="183"/>
      <c r="I364" s="182"/>
      <c r="J364" s="185"/>
      <c r="K364" s="185"/>
      <c r="L364" s="185"/>
      <c r="M364" s="187"/>
      <c r="N364" s="185"/>
      <c r="O364" s="188"/>
      <c r="P364" s="188"/>
      <c r="Q364" s="189"/>
      <c r="R364" s="190"/>
      <c r="S364" s="190"/>
      <c r="T364" s="190"/>
      <c r="U364" s="191"/>
      <c r="V364" s="192"/>
      <c r="W364" s="193"/>
      <c r="X364" s="194"/>
      <c r="Y364" s="195"/>
      <c r="Z364" s="196"/>
      <c r="AA364" s="203"/>
      <c r="AB364" s="198"/>
      <c r="AC364" s="199"/>
      <c r="AD364" s="200"/>
      <c r="AE364" s="182"/>
      <c r="AF364" s="201"/>
      <c r="AG364" s="201"/>
    </row>
    <row r="365" spans="1:33" ht="27.75" customHeight="1" thickTop="1" thickBot="1">
      <c r="A365" s="217" t="str">
        <f t="shared" si="11"/>
        <v>#BL25-0002</v>
      </c>
      <c r="B365" s="181"/>
      <c r="C365" s="181"/>
      <c r="D365" s="207"/>
      <c r="E365" s="183"/>
      <c r="F365" s="184" t="str">
        <f t="shared" si="10"/>
        <v>Construction Exemplaire Inc.</v>
      </c>
      <c r="G365" s="184"/>
      <c r="H365" s="183"/>
      <c r="I365" s="182"/>
      <c r="J365" s="185"/>
      <c r="K365" s="185"/>
      <c r="L365" s="185"/>
      <c r="M365" s="187"/>
      <c r="N365" s="185"/>
      <c r="O365" s="188"/>
      <c r="P365" s="188"/>
      <c r="Q365" s="189"/>
      <c r="R365" s="190"/>
      <c r="S365" s="190"/>
      <c r="T365" s="190"/>
      <c r="U365" s="191"/>
      <c r="V365" s="192"/>
      <c r="W365" s="193"/>
      <c r="X365" s="194"/>
      <c r="Y365" s="195"/>
      <c r="Z365" s="196"/>
      <c r="AA365" s="203"/>
      <c r="AB365" s="198"/>
      <c r="AC365" s="199"/>
      <c r="AD365" s="200"/>
      <c r="AE365" s="182"/>
      <c r="AF365" s="201"/>
      <c r="AG365" s="201"/>
    </row>
    <row r="366" spans="1:33" ht="27.75" customHeight="1" thickTop="1" thickBot="1">
      <c r="A366" s="217" t="str">
        <f t="shared" si="11"/>
        <v>#BL25-0002</v>
      </c>
      <c r="B366" s="181"/>
      <c r="C366" s="181"/>
      <c r="D366" s="207"/>
      <c r="E366" s="183"/>
      <c r="F366" s="184" t="str">
        <f t="shared" si="10"/>
        <v>Construction Exemplaire Inc.</v>
      </c>
      <c r="G366" s="184"/>
      <c r="H366" s="183"/>
      <c r="I366" s="182"/>
      <c r="J366" s="185"/>
      <c r="K366" s="185"/>
      <c r="L366" s="185"/>
      <c r="M366" s="187"/>
      <c r="N366" s="185"/>
      <c r="O366" s="188"/>
      <c r="P366" s="188"/>
      <c r="Q366" s="189"/>
      <c r="R366" s="190"/>
      <c r="S366" s="190"/>
      <c r="T366" s="190"/>
      <c r="U366" s="191"/>
      <c r="V366" s="192"/>
      <c r="W366" s="193"/>
      <c r="X366" s="194"/>
      <c r="Y366" s="195"/>
      <c r="Z366" s="196"/>
      <c r="AA366" s="203"/>
      <c r="AB366" s="198"/>
      <c r="AC366" s="199"/>
      <c r="AD366" s="200"/>
      <c r="AE366" s="182"/>
      <c r="AF366" s="201"/>
      <c r="AG366" s="201"/>
    </row>
    <row r="367" spans="1:33" ht="27.75" customHeight="1" thickTop="1" thickBot="1">
      <c r="A367" s="217" t="str">
        <f t="shared" si="11"/>
        <v>#BL25-0002</v>
      </c>
      <c r="B367" s="181"/>
      <c r="C367" s="181"/>
      <c r="D367" s="207"/>
      <c r="E367" s="183"/>
      <c r="F367" s="184" t="str">
        <f t="shared" si="10"/>
        <v>Construction Exemplaire Inc.</v>
      </c>
      <c r="G367" s="184"/>
      <c r="H367" s="183"/>
      <c r="I367" s="182"/>
      <c r="J367" s="185"/>
      <c r="K367" s="185"/>
      <c r="L367" s="185"/>
      <c r="M367" s="187"/>
      <c r="N367" s="185"/>
      <c r="O367" s="188"/>
      <c r="P367" s="188"/>
      <c r="Q367" s="189"/>
      <c r="R367" s="190"/>
      <c r="S367" s="190"/>
      <c r="T367" s="190"/>
      <c r="U367" s="191"/>
      <c r="V367" s="192"/>
      <c r="W367" s="193"/>
      <c r="X367" s="194"/>
      <c r="Y367" s="195"/>
      <c r="Z367" s="196"/>
      <c r="AA367" s="203"/>
      <c r="AB367" s="198"/>
      <c r="AC367" s="199"/>
      <c r="AD367" s="200"/>
      <c r="AE367" s="182"/>
      <c r="AF367" s="201"/>
      <c r="AG367" s="201"/>
    </row>
    <row r="368" spans="1:33" ht="27.75" customHeight="1" thickTop="1" thickBot="1">
      <c r="A368" s="217" t="str">
        <f t="shared" si="11"/>
        <v>#BL25-0002</v>
      </c>
      <c r="B368" s="181"/>
      <c r="C368" s="181"/>
      <c r="D368" s="207"/>
      <c r="E368" s="183"/>
      <c r="F368" s="184" t="str">
        <f t="shared" si="10"/>
        <v>Construction Exemplaire Inc.</v>
      </c>
      <c r="G368" s="184"/>
      <c r="H368" s="183"/>
      <c r="I368" s="182"/>
      <c r="J368" s="185"/>
      <c r="K368" s="185"/>
      <c r="L368" s="185"/>
      <c r="M368" s="187"/>
      <c r="N368" s="185"/>
      <c r="O368" s="188"/>
      <c r="P368" s="188"/>
      <c r="Q368" s="189"/>
      <c r="R368" s="190"/>
      <c r="S368" s="190"/>
      <c r="T368" s="190"/>
      <c r="U368" s="191"/>
      <c r="V368" s="192"/>
      <c r="W368" s="193"/>
      <c r="X368" s="194"/>
      <c r="Y368" s="195"/>
      <c r="Z368" s="196"/>
      <c r="AA368" s="203"/>
      <c r="AB368" s="198"/>
      <c r="AC368" s="199"/>
      <c r="AD368" s="200"/>
      <c r="AE368" s="182"/>
      <c r="AF368" s="201"/>
      <c r="AG368" s="201"/>
    </row>
    <row r="369" spans="1:33" ht="27.75" customHeight="1" thickTop="1" thickBot="1">
      <c r="A369" s="217" t="str">
        <f t="shared" si="11"/>
        <v>#BL25-0002</v>
      </c>
      <c r="B369" s="181"/>
      <c r="C369" s="181"/>
      <c r="D369" s="184"/>
      <c r="E369" s="183"/>
      <c r="F369" s="184" t="str">
        <f t="shared" si="10"/>
        <v>Construction Exemplaire Inc.</v>
      </c>
      <c r="G369" s="184"/>
      <c r="H369" s="183"/>
      <c r="I369" s="182"/>
      <c r="J369" s="185"/>
      <c r="K369" s="185"/>
      <c r="L369" s="185"/>
      <c r="M369" s="187"/>
      <c r="N369" s="185"/>
      <c r="O369" s="188"/>
      <c r="P369" s="188"/>
      <c r="Q369" s="189"/>
      <c r="R369" s="190"/>
      <c r="S369" s="190"/>
      <c r="T369" s="190"/>
      <c r="U369" s="191"/>
      <c r="V369" s="192"/>
      <c r="W369" s="193"/>
      <c r="X369" s="194"/>
      <c r="Y369" s="195"/>
      <c r="Z369" s="196"/>
      <c r="AA369" s="203"/>
      <c r="AB369" s="198"/>
      <c r="AC369" s="199"/>
      <c r="AD369" s="200"/>
      <c r="AE369" s="182"/>
      <c r="AF369" s="201"/>
      <c r="AG369" s="201"/>
    </row>
    <row r="370" spans="1:33" ht="27.75" customHeight="1" thickTop="1" thickBot="1">
      <c r="A370" s="217" t="str">
        <f t="shared" si="11"/>
        <v>#BL25-0002</v>
      </c>
      <c r="B370" s="181"/>
      <c r="C370" s="181"/>
      <c r="D370" s="184"/>
      <c r="E370" s="183"/>
      <c r="F370" s="184" t="str">
        <f t="shared" si="10"/>
        <v>Construction Exemplaire Inc.</v>
      </c>
      <c r="G370" s="184"/>
      <c r="H370" s="183"/>
      <c r="I370" s="182"/>
      <c r="J370" s="185"/>
      <c r="K370" s="185"/>
      <c r="L370" s="185"/>
      <c r="M370" s="187"/>
      <c r="N370" s="185"/>
      <c r="O370" s="188"/>
      <c r="P370" s="188"/>
      <c r="Q370" s="189"/>
      <c r="R370" s="190"/>
      <c r="S370" s="190"/>
      <c r="T370" s="190"/>
      <c r="U370" s="191"/>
      <c r="V370" s="192"/>
      <c r="W370" s="193"/>
      <c r="X370" s="194"/>
      <c r="Y370" s="195"/>
      <c r="Z370" s="196"/>
      <c r="AA370" s="203"/>
      <c r="AB370" s="198"/>
      <c r="AC370" s="199"/>
      <c r="AD370" s="200"/>
      <c r="AE370" s="182"/>
      <c r="AF370" s="201"/>
      <c r="AG370" s="201"/>
    </row>
    <row r="371" spans="1:33" ht="27.75" customHeight="1" thickTop="1" thickBot="1">
      <c r="A371" s="217" t="str">
        <f t="shared" si="11"/>
        <v>#BL25-0002</v>
      </c>
      <c r="B371" s="181"/>
      <c r="C371" s="181"/>
      <c r="D371" s="207"/>
      <c r="E371" s="183"/>
      <c r="F371" s="184" t="str">
        <f t="shared" si="10"/>
        <v>Construction Exemplaire Inc.</v>
      </c>
      <c r="G371" s="184"/>
      <c r="H371" s="183"/>
      <c r="I371" s="182"/>
      <c r="J371" s="185"/>
      <c r="K371" s="185"/>
      <c r="L371" s="185"/>
      <c r="M371" s="187"/>
      <c r="N371" s="185"/>
      <c r="O371" s="188"/>
      <c r="P371" s="188"/>
      <c r="Q371" s="189"/>
      <c r="R371" s="190"/>
      <c r="S371" s="190"/>
      <c r="T371" s="190"/>
      <c r="U371" s="191"/>
      <c r="V371" s="192"/>
      <c r="W371" s="193"/>
      <c r="X371" s="194"/>
      <c r="Y371" s="195"/>
      <c r="Z371" s="196"/>
      <c r="AA371" s="203"/>
      <c r="AB371" s="198"/>
      <c r="AC371" s="199"/>
      <c r="AD371" s="200"/>
      <c r="AE371" s="182"/>
      <c r="AF371" s="201"/>
      <c r="AG371" s="201"/>
    </row>
    <row r="372" spans="1:33" ht="27.75" customHeight="1" thickTop="1" thickBot="1">
      <c r="A372" s="217" t="str">
        <f t="shared" si="11"/>
        <v>#BL25-0002</v>
      </c>
      <c r="B372" s="181"/>
      <c r="C372" s="181"/>
      <c r="D372" s="207"/>
      <c r="E372" s="183"/>
      <c r="F372" s="184" t="str">
        <f t="shared" si="10"/>
        <v>Construction Exemplaire Inc.</v>
      </c>
      <c r="G372" s="184"/>
      <c r="H372" s="183"/>
      <c r="I372" s="182"/>
      <c r="J372" s="185"/>
      <c r="K372" s="185"/>
      <c r="L372" s="185"/>
      <c r="M372" s="187"/>
      <c r="N372" s="185"/>
      <c r="O372" s="188"/>
      <c r="P372" s="188"/>
      <c r="Q372" s="189"/>
      <c r="R372" s="190"/>
      <c r="S372" s="190"/>
      <c r="T372" s="190"/>
      <c r="U372" s="191"/>
      <c r="V372" s="192"/>
      <c r="W372" s="193"/>
      <c r="X372" s="194"/>
      <c r="Y372" s="195"/>
      <c r="Z372" s="196"/>
      <c r="AA372" s="203"/>
      <c r="AB372" s="198"/>
      <c r="AC372" s="199"/>
      <c r="AD372" s="200"/>
      <c r="AE372" s="182"/>
      <c r="AF372" s="201"/>
      <c r="AG372" s="201"/>
    </row>
    <row r="373" spans="1:33" ht="27.75" customHeight="1" thickTop="1" thickBot="1">
      <c r="A373" s="217" t="str">
        <f t="shared" si="11"/>
        <v>#BL25-0002</v>
      </c>
      <c r="B373" s="181"/>
      <c r="C373" s="181"/>
      <c r="D373" s="184"/>
      <c r="E373" s="183"/>
      <c r="F373" s="184" t="str">
        <f t="shared" si="10"/>
        <v>Construction Exemplaire Inc.</v>
      </c>
      <c r="G373" s="184"/>
      <c r="H373" s="183"/>
      <c r="I373" s="182"/>
      <c r="J373" s="185"/>
      <c r="K373" s="185"/>
      <c r="L373" s="185"/>
      <c r="M373" s="187"/>
      <c r="N373" s="185"/>
      <c r="O373" s="188"/>
      <c r="P373" s="188"/>
      <c r="Q373" s="189"/>
      <c r="R373" s="190"/>
      <c r="S373" s="190"/>
      <c r="T373" s="190"/>
      <c r="U373" s="191"/>
      <c r="V373" s="192"/>
      <c r="W373" s="193"/>
      <c r="X373" s="194"/>
      <c r="Y373" s="195"/>
      <c r="Z373" s="196"/>
      <c r="AA373" s="203"/>
      <c r="AB373" s="198"/>
      <c r="AC373" s="199"/>
      <c r="AD373" s="200"/>
      <c r="AE373" s="182"/>
      <c r="AF373" s="201"/>
      <c r="AG373" s="201"/>
    </row>
    <row r="374" spans="1:33" ht="27.75" customHeight="1" thickTop="1" thickBot="1">
      <c r="A374" s="217" t="str">
        <f t="shared" si="11"/>
        <v>#BL25-0002</v>
      </c>
      <c r="B374" s="181"/>
      <c r="C374" s="181"/>
      <c r="D374" s="184"/>
      <c r="E374" s="183"/>
      <c r="F374" s="184" t="str">
        <f t="shared" si="10"/>
        <v>Construction Exemplaire Inc.</v>
      </c>
      <c r="G374" s="184"/>
      <c r="H374" s="183"/>
      <c r="I374" s="182"/>
      <c r="J374" s="185"/>
      <c r="K374" s="185"/>
      <c r="L374" s="185"/>
      <c r="M374" s="187"/>
      <c r="N374" s="185"/>
      <c r="O374" s="209"/>
      <c r="P374" s="209"/>
      <c r="Q374" s="209"/>
      <c r="R374" s="190"/>
      <c r="S374" s="190"/>
      <c r="T374" s="190"/>
      <c r="U374" s="191"/>
      <c r="V374" s="192"/>
      <c r="W374" s="193"/>
      <c r="X374" s="194"/>
      <c r="Y374" s="195"/>
      <c r="Z374" s="196"/>
      <c r="AA374" s="203"/>
      <c r="AB374" s="198"/>
      <c r="AC374" s="199"/>
      <c r="AD374" s="200"/>
      <c r="AE374" s="182"/>
      <c r="AF374" s="201"/>
      <c r="AG374" s="201"/>
    </row>
    <row r="375" spans="1:33" ht="27.75" customHeight="1" thickTop="1" thickBot="1">
      <c r="A375" s="217" t="str">
        <f t="shared" si="11"/>
        <v>#BL25-0002</v>
      </c>
      <c r="B375" s="181"/>
      <c r="C375" s="181"/>
      <c r="D375" s="184"/>
      <c r="E375" s="183"/>
      <c r="F375" s="184" t="str">
        <f t="shared" si="10"/>
        <v>Construction Exemplaire Inc.</v>
      </c>
      <c r="G375" s="184"/>
      <c r="H375" s="183"/>
      <c r="I375" s="182"/>
      <c r="J375" s="185"/>
      <c r="K375" s="185"/>
      <c r="L375" s="185"/>
      <c r="M375" s="187"/>
      <c r="N375" s="185"/>
      <c r="O375" s="188"/>
      <c r="P375" s="188"/>
      <c r="Q375" s="189"/>
      <c r="R375" s="190"/>
      <c r="S375" s="190"/>
      <c r="T375" s="190"/>
      <c r="U375" s="191"/>
      <c r="V375" s="192"/>
      <c r="W375" s="193"/>
      <c r="X375" s="194"/>
      <c r="Y375" s="195"/>
      <c r="Z375" s="196"/>
      <c r="AA375" s="203"/>
      <c r="AB375" s="198"/>
      <c r="AC375" s="199"/>
      <c r="AD375" s="200"/>
      <c r="AE375" s="182"/>
      <c r="AF375" s="201"/>
      <c r="AG375" s="201"/>
    </row>
    <row r="376" spans="1:33" ht="27.75" customHeight="1" thickTop="1" thickBot="1">
      <c r="A376" s="217" t="str">
        <f t="shared" si="11"/>
        <v>#BL25-0002</v>
      </c>
      <c r="B376" s="181"/>
      <c r="C376" s="181"/>
      <c r="D376" s="184"/>
      <c r="E376" s="183"/>
      <c r="F376" s="184" t="str">
        <f t="shared" si="10"/>
        <v>Construction Exemplaire Inc.</v>
      </c>
      <c r="G376" s="184"/>
      <c r="H376" s="183"/>
      <c r="I376" s="182"/>
      <c r="J376" s="185"/>
      <c r="K376" s="185"/>
      <c r="L376" s="185"/>
      <c r="M376" s="187"/>
      <c r="N376" s="185"/>
      <c r="O376" s="188"/>
      <c r="P376" s="188"/>
      <c r="Q376" s="189"/>
      <c r="R376" s="190"/>
      <c r="S376" s="190"/>
      <c r="T376" s="190"/>
      <c r="U376" s="191"/>
      <c r="V376" s="192"/>
      <c r="W376" s="193"/>
      <c r="X376" s="194"/>
      <c r="Y376" s="195"/>
      <c r="Z376" s="196"/>
      <c r="AA376" s="203"/>
      <c r="AB376" s="198"/>
      <c r="AC376" s="199"/>
      <c r="AD376" s="200"/>
      <c r="AE376" s="182"/>
      <c r="AF376" s="201"/>
      <c r="AG376" s="201"/>
    </row>
    <row r="377" spans="1:33" ht="27.75" customHeight="1" thickTop="1" thickBot="1">
      <c r="A377" s="217" t="str">
        <f t="shared" si="11"/>
        <v>#BL25-0002</v>
      </c>
      <c r="B377" s="181"/>
      <c r="C377" s="181"/>
      <c r="D377" s="184"/>
      <c r="E377" s="183"/>
      <c r="F377" s="184" t="str">
        <f t="shared" si="10"/>
        <v>Construction Exemplaire Inc.</v>
      </c>
      <c r="G377" s="184"/>
      <c r="H377" s="183"/>
      <c r="I377" s="182"/>
      <c r="J377" s="185"/>
      <c r="K377" s="185"/>
      <c r="L377" s="185"/>
      <c r="M377" s="187"/>
      <c r="N377" s="185"/>
      <c r="O377" s="188"/>
      <c r="P377" s="188"/>
      <c r="Q377" s="189"/>
      <c r="R377" s="190"/>
      <c r="S377" s="190"/>
      <c r="T377" s="190"/>
      <c r="U377" s="191"/>
      <c r="V377" s="192"/>
      <c r="W377" s="193"/>
      <c r="X377" s="194"/>
      <c r="Y377" s="195"/>
      <c r="Z377" s="196"/>
      <c r="AA377" s="203"/>
      <c r="AB377" s="198"/>
      <c r="AC377" s="199"/>
      <c r="AD377" s="200"/>
      <c r="AE377" s="182"/>
      <c r="AF377" s="201"/>
      <c r="AG377" s="201"/>
    </row>
    <row r="378" spans="1:33" ht="27.75" customHeight="1" thickTop="1" thickBot="1">
      <c r="A378" s="217" t="str">
        <f t="shared" si="11"/>
        <v>#BL25-0002</v>
      </c>
      <c r="B378" s="181"/>
      <c r="C378" s="181"/>
      <c r="D378" s="184"/>
      <c r="E378" s="183"/>
      <c r="F378" s="184" t="str">
        <f t="shared" si="10"/>
        <v>Construction Exemplaire Inc.</v>
      </c>
      <c r="G378" s="184"/>
      <c r="H378" s="183"/>
      <c r="I378" s="182"/>
      <c r="J378" s="185"/>
      <c r="K378" s="185"/>
      <c r="L378" s="185"/>
      <c r="M378" s="187"/>
      <c r="N378" s="185"/>
      <c r="O378" s="188"/>
      <c r="P378" s="188"/>
      <c r="Q378" s="189"/>
      <c r="R378" s="190"/>
      <c r="S378" s="190"/>
      <c r="T378" s="190"/>
      <c r="U378" s="191"/>
      <c r="V378" s="192"/>
      <c r="W378" s="193"/>
      <c r="X378" s="194"/>
      <c r="Y378" s="195"/>
      <c r="Z378" s="196"/>
      <c r="AA378" s="203"/>
      <c r="AB378" s="198"/>
      <c r="AC378" s="199"/>
      <c r="AD378" s="200"/>
      <c r="AE378" s="182"/>
      <c r="AF378" s="201"/>
      <c r="AG378" s="201"/>
    </row>
    <row r="379" spans="1:33" ht="27.75" customHeight="1" thickTop="1" thickBot="1">
      <c r="A379" s="217" t="str">
        <f t="shared" si="11"/>
        <v>#BL25-0002</v>
      </c>
      <c r="B379" s="181"/>
      <c r="C379" s="181"/>
      <c r="D379" s="184"/>
      <c r="E379" s="183"/>
      <c r="F379" s="184" t="str">
        <f t="shared" si="10"/>
        <v>Construction Exemplaire Inc.</v>
      </c>
      <c r="G379" s="184"/>
      <c r="H379" s="183"/>
      <c r="I379" s="182"/>
      <c r="J379" s="185"/>
      <c r="K379" s="185"/>
      <c r="L379" s="185"/>
      <c r="M379" s="187"/>
      <c r="N379" s="185"/>
      <c r="O379" s="188"/>
      <c r="P379" s="188"/>
      <c r="Q379" s="189"/>
      <c r="R379" s="190"/>
      <c r="S379" s="190"/>
      <c r="T379" s="190"/>
      <c r="U379" s="191"/>
      <c r="V379" s="192"/>
      <c r="W379" s="193"/>
      <c r="X379" s="194"/>
      <c r="Y379" s="195"/>
      <c r="Z379" s="196"/>
      <c r="AA379" s="203"/>
      <c r="AB379" s="198"/>
      <c r="AC379" s="199"/>
      <c r="AD379" s="200"/>
      <c r="AE379" s="182"/>
      <c r="AF379" s="201"/>
      <c r="AG379" s="201"/>
    </row>
    <row r="380" spans="1:33" ht="27.75" customHeight="1" thickTop="1" thickBot="1">
      <c r="A380" s="217" t="str">
        <f t="shared" si="11"/>
        <v>#BL25-0002</v>
      </c>
      <c r="B380" s="181"/>
      <c r="C380" s="181"/>
      <c r="D380" s="207"/>
      <c r="E380" s="183"/>
      <c r="F380" s="184" t="str">
        <f t="shared" si="10"/>
        <v>Construction Exemplaire Inc.</v>
      </c>
      <c r="G380" s="184"/>
      <c r="H380" s="183"/>
      <c r="I380" s="182"/>
      <c r="J380" s="185"/>
      <c r="K380" s="185"/>
      <c r="L380" s="185"/>
      <c r="M380" s="187"/>
      <c r="N380" s="185"/>
      <c r="O380" s="188"/>
      <c r="P380" s="188"/>
      <c r="Q380" s="189"/>
      <c r="R380" s="190"/>
      <c r="S380" s="190"/>
      <c r="T380" s="190"/>
      <c r="U380" s="191"/>
      <c r="V380" s="192"/>
      <c r="W380" s="193"/>
      <c r="X380" s="194"/>
      <c r="Y380" s="195"/>
      <c r="Z380" s="196"/>
      <c r="AA380" s="203"/>
      <c r="AB380" s="198"/>
      <c r="AC380" s="199"/>
      <c r="AD380" s="200"/>
      <c r="AE380" s="182"/>
      <c r="AF380" s="201"/>
      <c r="AG380" s="201"/>
    </row>
    <row r="381" spans="1:33" ht="27.75" customHeight="1" thickTop="1" thickBot="1">
      <c r="A381" s="217" t="str">
        <f t="shared" si="11"/>
        <v>#BL25-0002</v>
      </c>
      <c r="B381" s="181"/>
      <c r="C381" s="181"/>
      <c r="D381" s="207"/>
      <c r="E381" s="183"/>
      <c r="F381" s="184" t="str">
        <f t="shared" si="10"/>
        <v>Construction Exemplaire Inc.</v>
      </c>
      <c r="G381" s="184"/>
      <c r="H381" s="183"/>
      <c r="I381" s="182"/>
      <c r="J381" s="185"/>
      <c r="K381" s="185"/>
      <c r="L381" s="185"/>
      <c r="M381" s="187"/>
      <c r="N381" s="185"/>
      <c r="O381" s="188"/>
      <c r="P381" s="188"/>
      <c r="Q381" s="189"/>
      <c r="R381" s="190"/>
      <c r="S381" s="190"/>
      <c r="T381" s="190"/>
      <c r="U381" s="191"/>
      <c r="V381" s="192"/>
      <c r="W381" s="193"/>
      <c r="X381" s="194"/>
      <c r="Y381" s="195"/>
      <c r="Z381" s="196"/>
      <c r="AA381" s="203"/>
      <c r="AB381" s="198"/>
      <c r="AC381" s="199"/>
      <c r="AD381" s="200"/>
      <c r="AE381" s="182"/>
      <c r="AF381" s="201"/>
      <c r="AG381" s="201"/>
    </row>
    <row r="382" spans="1:33" ht="27.75" customHeight="1" thickTop="1" thickBot="1">
      <c r="A382" s="217" t="str">
        <f t="shared" si="11"/>
        <v>#BL25-0002</v>
      </c>
      <c r="B382" s="181"/>
      <c r="C382" s="181"/>
      <c r="D382" s="207"/>
      <c r="E382" s="183"/>
      <c r="F382" s="184" t="str">
        <f t="shared" si="10"/>
        <v>Construction Exemplaire Inc.</v>
      </c>
      <c r="G382" s="184"/>
      <c r="H382" s="183"/>
      <c r="I382" s="182"/>
      <c r="J382" s="185"/>
      <c r="K382" s="185"/>
      <c r="L382" s="185"/>
      <c r="M382" s="187"/>
      <c r="N382" s="185"/>
      <c r="O382" s="188"/>
      <c r="P382" s="188"/>
      <c r="Q382" s="189"/>
      <c r="R382" s="190"/>
      <c r="S382" s="190"/>
      <c r="T382" s="190"/>
      <c r="U382" s="191"/>
      <c r="V382" s="192"/>
      <c r="W382" s="193"/>
      <c r="X382" s="194"/>
      <c r="Y382" s="195"/>
      <c r="Z382" s="196"/>
      <c r="AA382" s="203"/>
      <c r="AB382" s="198"/>
      <c r="AC382" s="199"/>
      <c r="AD382" s="200"/>
      <c r="AE382" s="182"/>
      <c r="AF382" s="201"/>
      <c r="AG382" s="201"/>
    </row>
    <row r="383" spans="1:33" ht="27.75" customHeight="1" thickTop="1" thickBot="1">
      <c r="A383" s="217" t="str">
        <f t="shared" si="11"/>
        <v>#BL25-0002</v>
      </c>
      <c r="B383" s="181"/>
      <c r="C383" s="181"/>
      <c r="D383" s="207"/>
      <c r="E383" s="183"/>
      <c r="F383" s="184" t="str">
        <f t="shared" si="10"/>
        <v>Construction Exemplaire Inc.</v>
      </c>
      <c r="G383" s="184"/>
      <c r="H383" s="183"/>
      <c r="I383" s="182"/>
      <c r="J383" s="185"/>
      <c r="K383" s="185"/>
      <c r="L383" s="185"/>
      <c r="M383" s="187"/>
      <c r="N383" s="185"/>
      <c r="O383" s="188"/>
      <c r="P383" s="188"/>
      <c r="Q383" s="189"/>
      <c r="R383" s="190"/>
      <c r="S383" s="190"/>
      <c r="T383" s="190"/>
      <c r="U383" s="191"/>
      <c r="V383" s="192"/>
      <c r="W383" s="193"/>
      <c r="X383" s="194"/>
      <c r="Y383" s="195"/>
      <c r="Z383" s="196"/>
      <c r="AA383" s="203"/>
      <c r="AB383" s="198"/>
      <c r="AC383" s="199"/>
      <c r="AD383" s="200"/>
      <c r="AE383" s="182"/>
      <c r="AF383" s="201"/>
      <c r="AG383" s="201"/>
    </row>
    <row r="384" spans="1:33" ht="27.75" customHeight="1" thickTop="1" thickBot="1">
      <c r="A384" s="217" t="str">
        <f t="shared" si="11"/>
        <v>#BL25-0002</v>
      </c>
      <c r="B384" s="181"/>
      <c r="C384" s="181"/>
      <c r="D384" s="207"/>
      <c r="E384" s="183"/>
      <c r="F384" s="184" t="str">
        <f t="shared" si="10"/>
        <v>Construction Exemplaire Inc.</v>
      </c>
      <c r="G384" s="184"/>
      <c r="H384" s="183"/>
      <c r="I384" s="182"/>
      <c r="J384" s="185"/>
      <c r="K384" s="185"/>
      <c r="L384" s="185"/>
      <c r="M384" s="187"/>
      <c r="N384" s="185"/>
      <c r="O384" s="188"/>
      <c r="P384" s="188"/>
      <c r="Q384" s="189"/>
      <c r="R384" s="190"/>
      <c r="S384" s="190"/>
      <c r="T384" s="190"/>
      <c r="U384" s="191"/>
      <c r="V384" s="192"/>
      <c r="W384" s="193"/>
      <c r="X384" s="194"/>
      <c r="Y384" s="195"/>
      <c r="Z384" s="196"/>
      <c r="AA384" s="203"/>
      <c r="AB384" s="198"/>
      <c r="AC384" s="199"/>
      <c r="AD384" s="200"/>
      <c r="AE384" s="182"/>
      <c r="AF384" s="201"/>
      <c r="AG384" s="201"/>
    </row>
    <row r="385" spans="1:33" ht="27.75" customHeight="1" thickTop="1" thickBot="1">
      <c r="A385" s="217" t="str">
        <f t="shared" si="11"/>
        <v>#BL25-0002</v>
      </c>
      <c r="B385" s="181"/>
      <c r="C385" s="181"/>
      <c r="D385" s="207"/>
      <c r="E385" s="183"/>
      <c r="F385" s="184" t="str">
        <f t="shared" si="10"/>
        <v>Construction Exemplaire Inc.</v>
      </c>
      <c r="G385" s="184"/>
      <c r="H385" s="183"/>
      <c r="I385" s="182"/>
      <c r="J385" s="185"/>
      <c r="K385" s="185"/>
      <c r="L385" s="185"/>
      <c r="M385" s="187"/>
      <c r="N385" s="185"/>
      <c r="O385" s="188"/>
      <c r="P385" s="188"/>
      <c r="Q385" s="189"/>
      <c r="R385" s="190"/>
      <c r="S385" s="190"/>
      <c r="T385" s="190"/>
      <c r="U385" s="191"/>
      <c r="V385" s="192"/>
      <c r="W385" s="193"/>
      <c r="X385" s="194"/>
      <c r="Y385" s="195"/>
      <c r="Z385" s="196"/>
      <c r="AA385" s="203"/>
      <c r="AB385" s="198"/>
      <c r="AC385" s="199"/>
      <c r="AD385" s="200"/>
      <c r="AE385" s="182"/>
      <c r="AF385" s="201"/>
      <c r="AG385" s="201"/>
    </row>
    <row r="386" spans="1:33" ht="27.75" customHeight="1" thickTop="1" thickBot="1">
      <c r="A386" s="217" t="str">
        <f t="shared" si="11"/>
        <v>#BL25-0002</v>
      </c>
      <c r="B386" s="181"/>
      <c r="C386" s="181"/>
      <c r="D386" s="184"/>
      <c r="E386" s="183"/>
      <c r="F386" s="184" t="str">
        <f t="shared" si="10"/>
        <v>Construction Exemplaire Inc.</v>
      </c>
      <c r="G386" s="184"/>
      <c r="H386" s="183"/>
      <c r="I386" s="182"/>
      <c r="J386" s="185"/>
      <c r="K386" s="185"/>
      <c r="L386" s="185"/>
      <c r="M386" s="187"/>
      <c r="N386" s="185"/>
      <c r="O386" s="188"/>
      <c r="P386" s="188"/>
      <c r="Q386" s="189"/>
      <c r="R386" s="190"/>
      <c r="S386" s="190"/>
      <c r="T386" s="190"/>
      <c r="U386" s="191"/>
      <c r="V386" s="192"/>
      <c r="W386" s="193"/>
      <c r="X386" s="194"/>
      <c r="Y386" s="195"/>
      <c r="Z386" s="196"/>
      <c r="AA386" s="203"/>
      <c r="AB386" s="198"/>
      <c r="AC386" s="199"/>
      <c r="AD386" s="200"/>
      <c r="AE386" s="182"/>
      <c r="AF386" s="201"/>
      <c r="AG386" s="201"/>
    </row>
    <row r="387" spans="1:33" ht="27.75" customHeight="1" thickTop="1" thickBot="1">
      <c r="A387" s="217" t="str">
        <f t="shared" si="11"/>
        <v>#BL25-0002</v>
      </c>
      <c r="B387" s="181"/>
      <c r="C387" s="181"/>
      <c r="D387" s="207"/>
      <c r="E387" s="183"/>
      <c r="F387" s="184" t="str">
        <f t="shared" si="10"/>
        <v>Construction Exemplaire Inc.</v>
      </c>
      <c r="G387" s="184"/>
      <c r="H387" s="183"/>
      <c r="I387" s="182"/>
      <c r="J387" s="185"/>
      <c r="K387" s="185"/>
      <c r="L387" s="185"/>
      <c r="M387" s="187"/>
      <c r="N387" s="185"/>
      <c r="O387" s="188"/>
      <c r="P387" s="188"/>
      <c r="Q387" s="189"/>
      <c r="R387" s="190"/>
      <c r="S387" s="190"/>
      <c r="T387" s="190"/>
      <c r="U387" s="191"/>
      <c r="V387" s="192"/>
      <c r="W387" s="193"/>
      <c r="X387" s="194"/>
      <c r="Y387" s="195"/>
      <c r="Z387" s="196"/>
      <c r="AA387" s="203"/>
      <c r="AB387" s="198"/>
      <c r="AC387" s="199"/>
      <c r="AD387" s="200"/>
      <c r="AE387" s="182"/>
      <c r="AF387" s="201"/>
      <c r="AG387" s="201"/>
    </row>
    <row r="388" spans="1:33" ht="27.75" customHeight="1" thickTop="1" thickBot="1">
      <c r="A388" s="217" t="str">
        <f t="shared" si="11"/>
        <v>#BL25-0002</v>
      </c>
      <c r="B388" s="181"/>
      <c r="C388" s="181"/>
      <c r="D388" s="207"/>
      <c r="E388" s="183"/>
      <c r="F388" s="184" t="str">
        <f t="shared" si="10"/>
        <v>Construction Exemplaire Inc.</v>
      </c>
      <c r="G388" s="184"/>
      <c r="H388" s="183"/>
      <c r="I388" s="182"/>
      <c r="J388" s="185"/>
      <c r="K388" s="185"/>
      <c r="L388" s="185"/>
      <c r="M388" s="187"/>
      <c r="N388" s="185"/>
      <c r="O388" s="188"/>
      <c r="P388" s="188"/>
      <c r="Q388" s="189"/>
      <c r="R388" s="190"/>
      <c r="S388" s="190"/>
      <c r="T388" s="190"/>
      <c r="U388" s="191"/>
      <c r="V388" s="192"/>
      <c r="W388" s="193"/>
      <c r="X388" s="194"/>
      <c r="Y388" s="195"/>
      <c r="Z388" s="196"/>
      <c r="AA388" s="203"/>
      <c r="AB388" s="198"/>
      <c r="AC388" s="199"/>
      <c r="AD388" s="200"/>
      <c r="AE388" s="182"/>
      <c r="AF388" s="201"/>
      <c r="AG388" s="201"/>
    </row>
    <row r="389" spans="1:33" ht="27.75" customHeight="1" thickTop="1" thickBot="1">
      <c r="A389" s="217" t="str">
        <f t="shared" si="11"/>
        <v>#BL25-0002</v>
      </c>
      <c r="B389" s="181"/>
      <c r="C389" s="181"/>
      <c r="D389" s="207"/>
      <c r="E389" s="183"/>
      <c r="F389" s="184" t="str">
        <f t="shared" si="10"/>
        <v>Construction Exemplaire Inc.</v>
      </c>
      <c r="G389" s="184"/>
      <c r="H389" s="183"/>
      <c r="I389" s="182"/>
      <c r="J389" s="185"/>
      <c r="K389" s="185"/>
      <c r="L389" s="185"/>
      <c r="M389" s="187"/>
      <c r="N389" s="185"/>
      <c r="O389" s="188"/>
      <c r="P389" s="188"/>
      <c r="Q389" s="189"/>
      <c r="R389" s="190"/>
      <c r="S389" s="190"/>
      <c r="T389" s="190"/>
      <c r="U389" s="191"/>
      <c r="V389" s="192"/>
      <c r="W389" s="193"/>
      <c r="X389" s="194"/>
      <c r="Y389" s="195"/>
      <c r="Z389" s="196"/>
      <c r="AA389" s="203"/>
      <c r="AB389" s="198"/>
      <c r="AC389" s="199"/>
      <c r="AD389" s="200"/>
      <c r="AE389" s="182"/>
      <c r="AF389" s="201"/>
      <c r="AG389" s="201"/>
    </row>
    <row r="390" spans="1:33" ht="27.75" customHeight="1" thickTop="1" thickBot="1">
      <c r="A390" s="217" t="str">
        <f t="shared" si="11"/>
        <v>#BL25-0002</v>
      </c>
      <c r="B390" s="181"/>
      <c r="C390" s="181"/>
      <c r="D390" s="207"/>
      <c r="E390" s="183"/>
      <c r="F390" s="184" t="str">
        <f t="shared" si="10"/>
        <v>Construction Exemplaire Inc.</v>
      </c>
      <c r="G390" s="184"/>
      <c r="H390" s="183"/>
      <c r="I390" s="182"/>
      <c r="J390" s="185"/>
      <c r="K390" s="185"/>
      <c r="L390" s="185"/>
      <c r="M390" s="187"/>
      <c r="N390" s="185"/>
      <c r="O390" s="188"/>
      <c r="P390" s="188"/>
      <c r="Q390" s="189"/>
      <c r="R390" s="190"/>
      <c r="S390" s="190"/>
      <c r="T390" s="190"/>
      <c r="U390" s="191"/>
      <c r="V390" s="192"/>
      <c r="W390" s="193"/>
      <c r="X390" s="194"/>
      <c r="Y390" s="195"/>
      <c r="Z390" s="196"/>
      <c r="AA390" s="203"/>
      <c r="AB390" s="198"/>
      <c r="AC390" s="199"/>
      <c r="AD390" s="200"/>
      <c r="AE390" s="182"/>
      <c r="AF390" s="201"/>
      <c r="AG390" s="201"/>
    </row>
    <row r="391" spans="1:33" ht="27.75" customHeight="1" thickTop="1" thickBot="1">
      <c r="A391" s="217" t="str">
        <f t="shared" si="11"/>
        <v>#BL25-0002</v>
      </c>
      <c r="B391" s="181"/>
      <c r="C391" s="181"/>
      <c r="D391" s="207"/>
      <c r="E391" s="183"/>
      <c r="F391" s="184" t="str">
        <f t="shared" si="10"/>
        <v>Construction Exemplaire Inc.</v>
      </c>
      <c r="G391" s="184"/>
      <c r="H391" s="183"/>
      <c r="I391" s="182"/>
      <c r="J391" s="185"/>
      <c r="K391" s="185"/>
      <c r="L391" s="185"/>
      <c r="M391" s="187"/>
      <c r="N391" s="185"/>
      <c r="O391" s="188"/>
      <c r="P391" s="188"/>
      <c r="Q391" s="189"/>
      <c r="R391" s="190"/>
      <c r="S391" s="190"/>
      <c r="T391" s="190"/>
      <c r="U391" s="191"/>
      <c r="V391" s="192"/>
      <c r="W391" s="193"/>
      <c r="X391" s="194"/>
      <c r="Y391" s="195"/>
      <c r="Z391" s="196"/>
      <c r="AA391" s="203"/>
      <c r="AB391" s="198"/>
      <c r="AC391" s="199"/>
      <c r="AD391" s="200"/>
      <c r="AE391" s="182"/>
      <c r="AF391" s="201"/>
      <c r="AG391" s="201"/>
    </row>
    <row r="392" spans="1:33" ht="27.75" customHeight="1" thickTop="1" thickBot="1">
      <c r="A392" s="217" t="str">
        <f t="shared" si="11"/>
        <v>#BL25-0002</v>
      </c>
      <c r="B392" s="181"/>
      <c r="C392" s="181"/>
      <c r="D392" s="207"/>
      <c r="E392" s="183"/>
      <c r="F392" s="184" t="str">
        <f t="shared" ref="F392:F455" si="12">nomClient</f>
        <v>Construction Exemplaire Inc.</v>
      </c>
      <c r="G392" s="184"/>
      <c r="H392" s="183"/>
      <c r="I392" s="182"/>
      <c r="J392" s="185"/>
      <c r="K392" s="185"/>
      <c r="L392" s="185"/>
      <c r="M392" s="187"/>
      <c r="N392" s="185"/>
      <c r="O392" s="188"/>
      <c r="P392" s="188"/>
      <c r="Q392" s="189"/>
      <c r="R392" s="190"/>
      <c r="S392" s="190"/>
      <c r="T392" s="190"/>
      <c r="U392" s="191"/>
      <c r="V392" s="192"/>
      <c r="W392" s="193"/>
      <c r="X392" s="194"/>
      <c r="Y392" s="195"/>
      <c r="Z392" s="196"/>
      <c r="AA392" s="203"/>
      <c r="AB392" s="198"/>
      <c r="AC392" s="199"/>
      <c r="AD392" s="200"/>
      <c r="AE392" s="182"/>
      <c r="AF392" s="201"/>
      <c r="AG392" s="201"/>
    </row>
    <row r="393" spans="1:33" ht="27.75" customHeight="1" thickTop="1" thickBot="1">
      <c r="A393" s="217" t="str">
        <f t="shared" ref="A393:A456" si="13">Ligne1</f>
        <v>#BL25-0002</v>
      </c>
      <c r="B393" s="181"/>
      <c r="C393" s="181"/>
      <c r="D393" s="207"/>
      <c r="E393" s="183"/>
      <c r="F393" s="184" t="str">
        <f t="shared" si="12"/>
        <v>Construction Exemplaire Inc.</v>
      </c>
      <c r="G393" s="184"/>
      <c r="H393" s="183"/>
      <c r="I393" s="182"/>
      <c r="J393" s="185"/>
      <c r="K393" s="185"/>
      <c r="L393" s="185"/>
      <c r="M393" s="187"/>
      <c r="N393" s="185"/>
      <c r="O393" s="188"/>
      <c r="P393" s="188"/>
      <c r="Q393" s="189"/>
      <c r="R393" s="190"/>
      <c r="S393" s="190"/>
      <c r="T393" s="190"/>
      <c r="U393" s="191"/>
      <c r="V393" s="192"/>
      <c r="W393" s="193"/>
      <c r="X393" s="194"/>
      <c r="Y393" s="195"/>
      <c r="Z393" s="196"/>
      <c r="AA393" s="203"/>
      <c r="AB393" s="198"/>
      <c r="AC393" s="199"/>
      <c r="AD393" s="200"/>
      <c r="AE393" s="182"/>
      <c r="AF393" s="201"/>
      <c r="AG393" s="201"/>
    </row>
    <row r="394" spans="1:33" ht="27.75" customHeight="1" thickTop="1" thickBot="1">
      <c r="A394" s="217" t="str">
        <f t="shared" si="13"/>
        <v>#BL25-0002</v>
      </c>
      <c r="B394" s="181"/>
      <c r="C394" s="181"/>
      <c r="D394" s="184"/>
      <c r="E394" s="183"/>
      <c r="F394" s="184" t="str">
        <f t="shared" si="12"/>
        <v>Construction Exemplaire Inc.</v>
      </c>
      <c r="G394" s="184"/>
      <c r="H394" s="183"/>
      <c r="I394" s="182"/>
      <c r="J394" s="185"/>
      <c r="K394" s="185"/>
      <c r="L394" s="185"/>
      <c r="M394" s="187"/>
      <c r="N394" s="185"/>
      <c r="O394" s="188"/>
      <c r="P394" s="188"/>
      <c r="Q394" s="189"/>
      <c r="R394" s="190"/>
      <c r="S394" s="190"/>
      <c r="T394" s="190"/>
      <c r="U394" s="191"/>
      <c r="V394" s="192"/>
      <c r="W394" s="193"/>
      <c r="X394" s="194"/>
      <c r="Y394" s="195"/>
      <c r="Z394" s="196"/>
      <c r="AA394" s="203"/>
      <c r="AB394" s="198"/>
      <c r="AC394" s="199"/>
      <c r="AD394" s="200"/>
      <c r="AE394" s="182"/>
      <c r="AF394" s="201"/>
      <c r="AG394" s="201"/>
    </row>
    <row r="395" spans="1:33" ht="27.75" customHeight="1" thickTop="1" thickBot="1">
      <c r="A395" s="217" t="str">
        <f t="shared" si="13"/>
        <v>#BL25-0002</v>
      </c>
      <c r="B395" s="181"/>
      <c r="C395" s="181"/>
      <c r="D395" s="184"/>
      <c r="E395" s="183"/>
      <c r="F395" s="184" t="str">
        <f t="shared" si="12"/>
        <v>Construction Exemplaire Inc.</v>
      </c>
      <c r="G395" s="184"/>
      <c r="H395" s="183"/>
      <c r="I395" s="182"/>
      <c r="J395" s="185"/>
      <c r="K395" s="185"/>
      <c r="L395" s="185"/>
      <c r="M395" s="187"/>
      <c r="N395" s="185"/>
      <c r="O395" s="188"/>
      <c r="P395" s="188"/>
      <c r="Q395" s="189"/>
      <c r="R395" s="190"/>
      <c r="S395" s="190"/>
      <c r="T395" s="190"/>
      <c r="U395" s="191"/>
      <c r="V395" s="192"/>
      <c r="W395" s="193"/>
      <c r="X395" s="194"/>
      <c r="Y395" s="195"/>
      <c r="Z395" s="196"/>
      <c r="AA395" s="203"/>
      <c r="AB395" s="198"/>
      <c r="AC395" s="199"/>
      <c r="AD395" s="200"/>
      <c r="AE395" s="182"/>
      <c r="AF395" s="201"/>
      <c r="AG395" s="201"/>
    </row>
    <row r="396" spans="1:33" ht="27.75" customHeight="1" thickTop="1" thickBot="1">
      <c r="A396" s="217" t="str">
        <f t="shared" si="13"/>
        <v>#BL25-0002</v>
      </c>
      <c r="B396" s="181"/>
      <c r="C396" s="181"/>
      <c r="D396" s="208"/>
      <c r="E396" s="183"/>
      <c r="F396" s="184" t="str">
        <f t="shared" si="12"/>
        <v>Construction Exemplaire Inc.</v>
      </c>
      <c r="G396" s="184"/>
      <c r="H396" s="183"/>
      <c r="I396" s="182"/>
      <c r="J396" s="185"/>
      <c r="K396" s="185"/>
      <c r="L396" s="185"/>
      <c r="M396" s="187"/>
      <c r="N396" s="185"/>
      <c r="O396" s="188"/>
      <c r="P396" s="188"/>
      <c r="Q396" s="189"/>
      <c r="R396" s="190"/>
      <c r="S396" s="190"/>
      <c r="T396" s="190"/>
      <c r="U396" s="191"/>
      <c r="V396" s="192"/>
      <c r="W396" s="193"/>
      <c r="X396" s="194"/>
      <c r="Y396" s="195"/>
      <c r="Z396" s="196"/>
      <c r="AA396" s="203"/>
      <c r="AB396" s="198"/>
      <c r="AC396" s="199"/>
      <c r="AD396" s="200"/>
      <c r="AE396" s="182"/>
      <c r="AF396" s="201"/>
      <c r="AG396" s="201"/>
    </row>
    <row r="397" spans="1:33" ht="27.75" customHeight="1" thickTop="1" thickBot="1">
      <c r="A397" s="217" t="str">
        <f t="shared" si="13"/>
        <v>#BL25-0002</v>
      </c>
      <c r="B397" s="181"/>
      <c r="C397" s="181"/>
      <c r="D397" s="207"/>
      <c r="E397" s="183"/>
      <c r="F397" s="184" t="str">
        <f t="shared" si="12"/>
        <v>Construction Exemplaire Inc.</v>
      </c>
      <c r="G397" s="184"/>
      <c r="H397" s="183"/>
      <c r="I397" s="182"/>
      <c r="J397" s="185"/>
      <c r="K397" s="185"/>
      <c r="L397" s="185"/>
      <c r="M397" s="187"/>
      <c r="N397" s="185"/>
      <c r="O397" s="188"/>
      <c r="P397" s="188"/>
      <c r="Q397" s="189"/>
      <c r="R397" s="190"/>
      <c r="S397" s="190"/>
      <c r="T397" s="190"/>
      <c r="U397" s="191"/>
      <c r="V397" s="192"/>
      <c r="W397" s="193"/>
      <c r="X397" s="194"/>
      <c r="Y397" s="195"/>
      <c r="Z397" s="196"/>
      <c r="AA397" s="203"/>
      <c r="AB397" s="198"/>
      <c r="AC397" s="199"/>
      <c r="AD397" s="200"/>
      <c r="AE397" s="182"/>
      <c r="AF397" s="201"/>
      <c r="AG397" s="201"/>
    </row>
    <row r="398" spans="1:33" ht="27.75" customHeight="1" thickTop="1" thickBot="1">
      <c r="A398" s="217" t="str">
        <f t="shared" si="13"/>
        <v>#BL25-0002</v>
      </c>
      <c r="B398" s="181"/>
      <c r="C398" s="181"/>
      <c r="D398" s="207"/>
      <c r="E398" s="183"/>
      <c r="F398" s="184" t="str">
        <f t="shared" si="12"/>
        <v>Construction Exemplaire Inc.</v>
      </c>
      <c r="G398" s="184"/>
      <c r="H398" s="183"/>
      <c r="I398" s="182"/>
      <c r="J398" s="185"/>
      <c r="K398" s="185"/>
      <c r="L398" s="185"/>
      <c r="M398" s="187"/>
      <c r="N398" s="185"/>
      <c r="O398" s="188"/>
      <c r="P398" s="188"/>
      <c r="Q398" s="189"/>
      <c r="R398" s="190"/>
      <c r="S398" s="190"/>
      <c r="T398" s="190"/>
      <c r="U398" s="191"/>
      <c r="V398" s="192"/>
      <c r="W398" s="193"/>
      <c r="X398" s="194"/>
      <c r="Y398" s="195"/>
      <c r="Z398" s="196"/>
      <c r="AA398" s="203"/>
      <c r="AB398" s="198"/>
      <c r="AC398" s="199"/>
      <c r="AD398" s="200"/>
      <c r="AE398" s="182"/>
      <c r="AF398" s="201"/>
      <c r="AG398" s="201"/>
    </row>
    <row r="399" spans="1:33" ht="27.75" customHeight="1" thickTop="1" thickBot="1">
      <c r="A399" s="217" t="str">
        <f t="shared" si="13"/>
        <v>#BL25-0002</v>
      </c>
      <c r="B399" s="181"/>
      <c r="C399" s="181"/>
      <c r="D399" s="207"/>
      <c r="E399" s="183"/>
      <c r="F399" s="184" t="str">
        <f t="shared" si="12"/>
        <v>Construction Exemplaire Inc.</v>
      </c>
      <c r="G399" s="184"/>
      <c r="H399" s="183"/>
      <c r="I399" s="182"/>
      <c r="J399" s="185"/>
      <c r="K399" s="185"/>
      <c r="L399" s="185"/>
      <c r="M399" s="187"/>
      <c r="N399" s="185"/>
      <c r="O399" s="188"/>
      <c r="P399" s="188"/>
      <c r="Q399" s="189"/>
      <c r="R399" s="190"/>
      <c r="S399" s="190"/>
      <c r="T399" s="190"/>
      <c r="U399" s="191"/>
      <c r="V399" s="192"/>
      <c r="W399" s="193"/>
      <c r="X399" s="194"/>
      <c r="Y399" s="195"/>
      <c r="Z399" s="196"/>
      <c r="AA399" s="203"/>
      <c r="AB399" s="198"/>
      <c r="AC399" s="199"/>
      <c r="AD399" s="200"/>
      <c r="AE399" s="182"/>
      <c r="AF399" s="201"/>
      <c r="AG399" s="201"/>
    </row>
    <row r="400" spans="1:33" ht="27.75" customHeight="1" thickTop="1" thickBot="1">
      <c r="A400" s="217" t="str">
        <f t="shared" si="13"/>
        <v>#BL25-0002</v>
      </c>
      <c r="B400" s="181"/>
      <c r="C400" s="181"/>
      <c r="D400" s="207"/>
      <c r="E400" s="183"/>
      <c r="F400" s="184" t="str">
        <f t="shared" si="12"/>
        <v>Construction Exemplaire Inc.</v>
      </c>
      <c r="G400" s="184"/>
      <c r="H400" s="183"/>
      <c r="I400" s="182"/>
      <c r="J400" s="185"/>
      <c r="K400" s="185"/>
      <c r="L400" s="185"/>
      <c r="M400" s="187"/>
      <c r="N400" s="185"/>
      <c r="O400" s="188"/>
      <c r="P400" s="188"/>
      <c r="Q400" s="189"/>
      <c r="R400" s="190"/>
      <c r="S400" s="190"/>
      <c r="T400" s="190"/>
      <c r="U400" s="191"/>
      <c r="V400" s="192"/>
      <c r="W400" s="193"/>
      <c r="X400" s="194"/>
      <c r="Y400" s="195"/>
      <c r="Z400" s="196"/>
      <c r="AA400" s="203"/>
      <c r="AB400" s="198"/>
      <c r="AC400" s="199"/>
      <c r="AD400" s="200"/>
      <c r="AE400" s="182"/>
      <c r="AF400" s="201"/>
      <c r="AG400" s="201"/>
    </row>
    <row r="401" spans="1:33" ht="27.75" customHeight="1" thickTop="1" thickBot="1">
      <c r="A401" s="217" t="str">
        <f t="shared" si="13"/>
        <v>#BL25-0002</v>
      </c>
      <c r="B401" s="181"/>
      <c r="C401" s="181"/>
      <c r="D401" s="207"/>
      <c r="E401" s="183"/>
      <c r="F401" s="184" t="str">
        <f t="shared" si="12"/>
        <v>Construction Exemplaire Inc.</v>
      </c>
      <c r="G401" s="184"/>
      <c r="H401" s="183"/>
      <c r="I401" s="182"/>
      <c r="J401" s="185"/>
      <c r="K401" s="185"/>
      <c r="L401" s="185"/>
      <c r="M401" s="187"/>
      <c r="N401" s="185"/>
      <c r="O401" s="188"/>
      <c r="P401" s="188"/>
      <c r="Q401" s="189"/>
      <c r="R401" s="190"/>
      <c r="S401" s="190"/>
      <c r="T401" s="190"/>
      <c r="U401" s="191"/>
      <c r="V401" s="192"/>
      <c r="W401" s="193"/>
      <c r="X401" s="194"/>
      <c r="Y401" s="195"/>
      <c r="Z401" s="196"/>
      <c r="AA401" s="203"/>
      <c r="AB401" s="198"/>
      <c r="AC401" s="199"/>
      <c r="AD401" s="200"/>
      <c r="AE401" s="182"/>
      <c r="AF401" s="201"/>
      <c r="AG401" s="201"/>
    </row>
    <row r="402" spans="1:33" ht="27.75" customHeight="1" thickTop="1" thickBot="1">
      <c r="A402" s="217" t="str">
        <f t="shared" si="13"/>
        <v>#BL25-0002</v>
      </c>
      <c r="B402" s="181"/>
      <c r="C402" s="181"/>
      <c r="D402" s="207"/>
      <c r="E402" s="183"/>
      <c r="F402" s="184" t="str">
        <f t="shared" si="12"/>
        <v>Construction Exemplaire Inc.</v>
      </c>
      <c r="G402" s="184"/>
      <c r="H402" s="183"/>
      <c r="I402" s="182"/>
      <c r="J402" s="185"/>
      <c r="K402" s="185"/>
      <c r="L402" s="185"/>
      <c r="M402" s="187"/>
      <c r="N402" s="185"/>
      <c r="O402" s="188"/>
      <c r="P402" s="188"/>
      <c r="Q402" s="189"/>
      <c r="R402" s="190"/>
      <c r="S402" s="190"/>
      <c r="T402" s="190"/>
      <c r="U402" s="191"/>
      <c r="V402" s="192"/>
      <c r="W402" s="193"/>
      <c r="X402" s="194"/>
      <c r="Y402" s="195"/>
      <c r="Z402" s="196"/>
      <c r="AA402" s="203"/>
      <c r="AB402" s="198"/>
      <c r="AC402" s="199"/>
      <c r="AD402" s="200"/>
      <c r="AE402" s="182"/>
      <c r="AF402" s="201"/>
      <c r="AG402" s="201"/>
    </row>
    <row r="403" spans="1:33" ht="27.75" customHeight="1" thickTop="1" thickBot="1">
      <c r="A403" s="217" t="str">
        <f t="shared" si="13"/>
        <v>#BL25-0002</v>
      </c>
      <c r="B403" s="181"/>
      <c r="C403" s="181"/>
      <c r="D403" s="208"/>
      <c r="E403" s="183"/>
      <c r="F403" s="184" t="str">
        <f t="shared" si="12"/>
        <v>Construction Exemplaire Inc.</v>
      </c>
      <c r="G403" s="184"/>
      <c r="H403" s="183"/>
      <c r="I403" s="182"/>
      <c r="J403" s="185"/>
      <c r="K403" s="185"/>
      <c r="L403" s="185"/>
      <c r="M403" s="187"/>
      <c r="N403" s="185"/>
      <c r="O403" s="188"/>
      <c r="P403" s="188"/>
      <c r="Q403" s="189"/>
      <c r="R403" s="190"/>
      <c r="S403" s="190"/>
      <c r="T403" s="190"/>
      <c r="U403" s="191"/>
      <c r="V403" s="192"/>
      <c r="W403" s="193"/>
      <c r="X403" s="194"/>
      <c r="Y403" s="195"/>
      <c r="Z403" s="196"/>
      <c r="AA403" s="203"/>
      <c r="AB403" s="198"/>
      <c r="AC403" s="199"/>
      <c r="AD403" s="200"/>
      <c r="AE403" s="182"/>
      <c r="AF403" s="201"/>
      <c r="AG403" s="201"/>
    </row>
    <row r="404" spans="1:33" ht="27.75" customHeight="1" thickTop="1" thickBot="1">
      <c r="A404" s="217" t="str">
        <f t="shared" si="13"/>
        <v>#BL25-0002</v>
      </c>
      <c r="B404" s="181"/>
      <c r="C404" s="181"/>
      <c r="D404" s="184"/>
      <c r="E404" s="183"/>
      <c r="F404" s="184" t="str">
        <f t="shared" si="12"/>
        <v>Construction Exemplaire Inc.</v>
      </c>
      <c r="G404" s="184"/>
      <c r="H404" s="183"/>
      <c r="I404" s="182"/>
      <c r="J404" s="185"/>
      <c r="K404" s="185"/>
      <c r="L404" s="185"/>
      <c r="M404" s="187"/>
      <c r="N404" s="185"/>
      <c r="O404" s="188"/>
      <c r="P404" s="188"/>
      <c r="Q404" s="189"/>
      <c r="R404" s="190"/>
      <c r="S404" s="190"/>
      <c r="T404" s="190"/>
      <c r="U404" s="191"/>
      <c r="V404" s="192"/>
      <c r="W404" s="193"/>
      <c r="X404" s="194"/>
      <c r="Y404" s="195"/>
      <c r="Z404" s="196"/>
      <c r="AA404" s="203"/>
      <c r="AB404" s="198"/>
      <c r="AC404" s="199"/>
      <c r="AD404" s="200"/>
      <c r="AE404" s="182"/>
      <c r="AF404" s="201"/>
      <c r="AG404" s="201"/>
    </row>
    <row r="405" spans="1:33" ht="27.75" customHeight="1" thickTop="1" thickBot="1">
      <c r="A405" s="217" t="str">
        <f t="shared" si="13"/>
        <v>#BL25-0002</v>
      </c>
      <c r="B405" s="181"/>
      <c r="C405" s="181"/>
      <c r="D405" s="184"/>
      <c r="E405" s="183"/>
      <c r="F405" s="184" t="str">
        <f t="shared" si="12"/>
        <v>Construction Exemplaire Inc.</v>
      </c>
      <c r="G405" s="184"/>
      <c r="H405" s="183"/>
      <c r="I405" s="182"/>
      <c r="J405" s="185"/>
      <c r="K405" s="185"/>
      <c r="L405" s="185"/>
      <c r="M405" s="187"/>
      <c r="N405" s="185"/>
      <c r="O405" s="188"/>
      <c r="P405" s="188"/>
      <c r="Q405" s="189"/>
      <c r="R405" s="190"/>
      <c r="S405" s="190"/>
      <c r="T405" s="190"/>
      <c r="U405" s="191"/>
      <c r="V405" s="192"/>
      <c r="W405" s="193"/>
      <c r="X405" s="194"/>
      <c r="Y405" s="195"/>
      <c r="Z405" s="196"/>
      <c r="AA405" s="203"/>
      <c r="AB405" s="198"/>
      <c r="AC405" s="199"/>
      <c r="AD405" s="200"/>
      <c r="AE405" s="182"/>
      <c r="AF405" s="201"/>
      <c r="AG405" s="201"/>
    </row>
    <row r="406" spans="1:33" ht="27.75" customHeight="1" thickTop="1" thickBot="1">
      <c r="A406" s="217" t="str">
        <f t="shared" si="13"/>
        <v>#BL25-0002</v>
      </c>
      <c r="B406" s="181"/>
      <c r="C406" s="181"/>
      <c r="D406" s="184"/>
      <c r="E406" s="183"/>
      <c r="F406" s="184" t="str">
        <f t="shared" si="12"/>
        <v>Construction Exemplaire Inc.</v>
      </c>
      <c r="G406" s="184"/>
      <c r="H406" s="183"/>
      <c r="I406" s="182"/>
      <c r="J406" s="185"/>
      <c r="K406" s="185"/>
      <c r="L406" s="185"/>
      <c r="M406" s="187"/>
      <c r="N406" s="185"/>
      <c r="O406" s="188"/>
      <c r="P406" s="188"/>
      <c r="Q406" s="189"/>
      <c r="R406" s="190"/>
      <c r="S406" s="190"/>
      <c r="T406" s="190"/>
      <c r="U406" s="191"/>
      <c r="V406" s="192"/>
      <c r="W406" s="193"/>
      <c r="X406" s="194"/>
      <c r="Y406" s="195"/>
      <c r="Z406" s="196"/>
      <c r="AA406" s="203"/>
      <c r="AB406" s="198"/>
      <c r="AC406" s="199"/>
      <c r="AD406" s="200"/>
      <c r="AE406" s="182"/>
      <c r="AF406" s="201"/>
      <c r="AG406" s="201"/>
    </row>
    <row r="407" spans="1:33" ht="27.75" customHeight="1" thickTop="1" thickBot="1">
      <c r="A407" s="217" t="str">
        <f t="shared" si="13"/>
        <v>#BL25-0002</v>
      </c>
      <c r="B407" s="181"/>
      <c r="C407" s="181"/>
      <c r="D407" s="184"/>
      <c r="E407" s="183"/>
      <c r="F407" s="184" t="str">
        <f t="shared" si="12"/>
        <v>Construction Exemplaire Inc.</v>
      </c>
      <c r="G407" s="184"/>
      <c r="H407" s="183"/>
      <c r="I407" s="182"/>
      <c r="J407" s="185"/>
      <c r="K407" s="185"/>
      <c r="L407" s="185"/>
      <c r="M407" s="187"/>
      <c r="N407" s="185"/>
      <c r="O407" s="188"/>
      <c r="P407" s="188"/>
      <c r="Q407" s="189"/>
      <c r="R407" s="190"/>
      <c r="S407" s="190"/>
      <c r="T407" s="190"/>
      <c r="U407" s="191"/>
      <c r="V407" s="192"/>
      <c r="W407" s="193"/>
      <c r="X407" s="194"/>
      <c r="Y407" s="195"/>
      <c r="Z407" s="196"/>
      <c r="AA407" s="203"/>
      <c r="AB407" s="198"/>
      <c r="AC407" s="199"/>
      <c r="AD407" s="200"/>
      <c r="AE407" s="182"/>
      <c r="AF407" s="201"/>
      <c r="AG407" s="201"/>
    </row>
    <row r="408" spans="1:33" ht="27.75" customHeight="1" thickTop="1" thickBot="1">
      <c r="A408" s="217" t="str">
        <f t="shared" si="13"/>
        <v>#BL25-0002</v>
      </c>
      <c r="B408" s="181"/>
      <c r="C408" s="181"/>
      <c r="D408" s="184"/>
      <c r="E408" s="183"/>
      <c r="F408" s="184" t="str">
        <f t="shared" si="12"/>
        <v>Construction Exemplaire Inc.</v>
      </c>
      <c r="G408" s="184"/>
      <c r="H408" s="183"/>
      <c r="I408" s="182"/>
      <c r="J408" s="185"/>
      <c r="K408" s="185"/>
      <c r="L408" s="185"/>
      <c r="M408" s="187"/>
      <c r="N408" s="185"/>
      <c r="O408" s="188"/>
      <c r="P408" s="188"/>
      <c r="Q408" s="189"/>
      <c r="R408" s="190"/>
      <c r="S408" s="190"/>
      <c r="T408" s="190"/>
      <c r="U408" s="191"/>
      <c r="V408" s="192"/>
      <c r="W408" s="193"/>
      <c r="X408" s="194"/>
      <c r="Y408" s="195"/>
      <c r="Z408" s="196"/>
      <c r="AA408" s="203"/>
      <c r="AB408" s="198"/>
      <c r="AC408" s="199"/>
      <c r="AD408" s="200"/>
      <c r="AE408" s="182"/>
      <c r="AF408" s="201"/>
      <c r="AG408" s="201"/>
    </row>
    <row r="409" spans="1:33" ht="27.75" customHeight="1" thickTop="1" thickBot="1">
      <c r="A409" s="217" t="str">
        <f t="shared" si="13"/>
        <v>#BL25-0002</v>
      </c>
      <c r="B409" s="181"/>
      <c r="C409" s="181"/>
      <c r="D409" s="184"/>
      <c r="E409" s="183"/>
      <c r="F409" s="184" t="str">
        <f t="shared" si="12"/>
        <v>Construction Exemplaire Inc.</v>
      </c>
      <c r="G409" s="184"/>
      <c r="H409" s="183"/>
      <c r="I409" s="182"/>
      <c r="J409" s="185"/>
      <c r="K409" s="185"/>
      <c r="L409" s="185"/>
      <c r="M409" s="187"/>
      <c r="N409" s="185"/>
      <c r="O409" s="188"/>
      <c r="P409" s="188"/>
      <c r="Q409" s="189"/>
      <c r="R409" s="190"/>
      <c r="S409" s="190"/>
      <c r="T409" s="190"/>
      <c r="U409" s="191"/>
      <c r="V409" s="192"/>
      <c r="W409" s="193"/>
      <c r="X409" s="194"/>
      <c r="Y409" s="195"/>
      <c r="Z409" s="196"/>
      <c r="AA409" s="203"/>
      <c r="AB409" s="198"/>
      <c r="AC409" s="199"/>
      <c r="AD409" s="200"/>
      <c r="AE409" s="182"/>
      <c r="AF409" s="201"/>
      <c r="AG409" s="201"/>
    </row>
    <row r="410" spans="1:33" ht="27.75" customHeight="1" thickTop="1" thickBot="1">
      <c r="A410" s="217" t="str">
        <f t="shared" si="13"/>
        <v>#BL25-0002</v>
      </c>
      <c r="B410" s="181"/>
      <c r="C410" s="181"/>
      <c r="D410" s="184"/>
      <c r="E410" s="183"/>
      <c r="F410" s="184" t="str">
        <f t="shared" si="12"/>
        <v>Construction Exemplaire Inc.</v>
      </c>
      <c r="G410" s="184"/>
      <c r="H410" s="183"/>
      <c r="I410" s="182"/>
      <c r="J410" s="185"/>
      <c r="K410" s="185"/>
      <c r="L410" s="185"/>
      <c r="M410" s="187"/>
      <c r="N410" s="185"/>
      <c r="O410" s="188"/>
      <c r="P410" s="188"/>
      <c r="Q410" s="189"/>
      <c r="R410" s="190"/>
      <c r="S410" s="190"/>
      <c r="T410" s="190"/>
      <c r="U410" s="191"/>
      <c r="V410" s="192"/>
      <c r="W410" s="193"/>
      <c r="X410" s="194"/>
      <c r="Y410" s="195"/>
      <c r="Z410" s="196"/>
      <c r="AA410" s="203"/>
      <c r="AB410" s="198"/>
      <c r="AC410" s="199"/>
      <c r="AD410" s="200"/>
      <c r="AE410" s="182"/>
      <c r="AF410" s="201"/>
      <c r="AG410" s="201"/>
    </row>
    <row r="411" spans="1:33" ht="27.75" customHeight="1" thickTop="1" thickBot="1">
      <c r="A411" s="217" t="str">
        <f t="shared" si="13"/>
        <v>#BL25-0002</v>
      </c>
      <c r="B411" s="181"/>
      <c r="C411" s="181"/>
      <c r="D411" s="184"/>
      <c r="E411" s="183"/>
      <c r="F411" s="184" t="str">
        <f t="shared" si="12"/>
        <v>Construction Exemplaire Inc.</v>
      </c>
      <c r="G411" s="184"/>
      <c r="H411" s="183"/>
      <c r="I411" s="182"/>
      <c r="J411" s="185"/>
      <c r="K411" s="185"/>
      <c r="L411" s="185"/>
      <c r="M411" s="187"/>
      <c r="N411" s="185"/>
      <c r="O411" s="188"/>
      <c r="P411" s="188"/>
      <c r="Q411" s="189"/>
      <c r="R411" s="190"/>
      <c r="S411" s="190"/>
      <c r="T411" s="190"/>
      <c r="U411" s="191"/>
      <c r="V411" s="192"/>
      <c r="W411" s="193"/>
      <c r="X411" s="194"/>
      <c r="Y411" s="195"/>
      <c r="Z411" s="196"/>
      <c r="AA411" s="203"/>
      <c r="AB411" s="198"/>
      <c r="AC411" s="199"/>
      <c r="AD411" s="200"/>
      <c r="AE411" s="182"/>
      <c r="AF411" s="201"/>
      <c r="AG411" s="201"/>
    </row>
    <row r="412" spans="1:33" ht="27.75" customHeight="1" thickTop="1" thickBot="1">
      <c r="A412" s="217" t="str">
        <f t="shared" si="13"/>
        <v>#BL25-0002</v>
      </c>
      <c r="B412" s="181"/>
      <c r="C412" s="181"/>
      <c r="D412" s="184"/>
      <c r="E412" s="183"/>
      <c r="F412" s="184" t="str">
        <f t="shared" si="12"/>
        <v>Construction Exemplaire Inc.</v>
      </c>
      <c r="G412" s="184"/>
      <c r="H412" s="183"/>
      <c r="I412" s="182"/>
      <c r="J412" s="185"/>
      <c r="K412" s="185"/>
      <c r="L412" s="185"/>
      <c r="M412" s="187"/>
      <c r="N412" s="185"/>
      <c r="O412" s="188"/>
      <c r="P412" s="188"/>
      <c r="Q412" s="189"/>
      <c r="R412" s="190"/>
      <c r="S412" s="190"/>
      <c r="T412" s="190"/>
      <c r="U412" s="191"/>
      <c r="V412" s="192"/>
      <c r="W412" s="193"/>
      <c r="X412" s="194"/>
      <c r="Y412" s="195"/>
      <c r="Z412" s="196"/>
      <c r="AA412" s="203"/>
      <c r="AB412" s="198"/>
      <c r="AC412" s="199"/>
      <c r="AD412" s="200"/>
      <c r="AE412" s="182"/>
      <c r="AF412" s="201"/>
      <c r="AG412" s="201"/>
    </row>
    <row r="413" spans="1:33" ht="27.75" customHeight="1" thickTop="1" thickBot="1">
      <c r="A413" s="217" t="str">
        <f t="shared" si="13"/>
        <v>#BL25-0002</v>
      </c>
      <c r="B413" s="181"/>
      <c r="C413" s="181"/>
      <c r="D413" s="184"/>
      <c r="E413" s="183"/>
      <c r="F413" s="184" t="str">
        <f t="shared" si="12"/>
        <v>Construction Exemplaire Inc.</v>
      </c>
      <c r="G413" s="184"/>
      <c r="H413" s="183"/>
      <c r="I413" s="182"/>
      <c r="J413" s="185"/>
      <c r="K413" s="185"/>
      <c r="L413" s="185"/>
      <c r="M413" s="187"/>
      <c r="N413" s="185"/>
      <c r="O413" s="188"/>
      <c r="P413" s="188"/>
      <c r="Q413" s="189"/>
      <c r="R413" s="190"/>
      <c r="S413" s="190"/>
      <c r="T413" s="190"/>
      <c r="U413" s="191"/>
      <c r="V413" s="192"/>
      <c r="W413" s="193"/>
      <c r="X413" s="194"/>
      <c r="Y413" s="195"/>
      <c r="Z413" s="196"/>
      <c r="AA413" s="203"/>
      <c r="AB413" s="198"/>
      <c r="AC413" s="199"/>
      <c r="AD413" s="200"/>
      <c r="AE413" s="182"/>
      <c r="AF413" s="201"/>
      <c r="AG413" s="201"/>
    </row>
    <row r="414" spans="1:33" ht="27.75" customHeight="1" thickTop="1" thickBot="1">
      <c r="A414" s="217" t="str">
        <f t="shared" si="13"/>
        <v>#BL25-0002</v>
      </c>
      <c r="B414" s="181"/>
      <c r="C414" s="181"/>
      <c r="D414" s="184"/>
      <c r="E414" s="183"/>
      <c r="F414" s="184" t="str">
        <f t="shared" si="12"/>
        <v>Construction Exemplaire Inc.</v>
      </c>
      <c r="G414" s="184"/>
      <c r="H414" s="183"/>
      <c r="I414" s="182"/>
      <c r="J414" s="185"/>
      <c r="K414" s="185"/>
      <c r="L414" s="185"/>
      <c r="M414" s="187"/>
      <c r="N414" s="185"/>
      <c r="O414" s="188"/>
      <c r="P414" s="188"/>
      <c r="Q414" s="189"/>
      <c r="R414" s="190"/>
      <c r="S414" s="190"/>
      <c r="T414" s="190"/>
      <c r="U414" s="191"/>
      <c r="V414" s="192"/>
      <c r="W414" s="193"/>
      <c r="X414" s="194"/>
      <c r="Y414" s="195"/>
      <c r="Z414" s="196"/>
      <c r="AA414" s="203"/>
      <c r="AB414" s="198"/>
      <c r="AC414" s="199"/>
      <c r="AD414" s="200"/>
      <c r="AE414" s="182"/>
      <c r="AF414" s="201"/>
      <c r="AG414" s="201"/>
    </row>
    <row r="415" spans="1:33" ht="27.75" customHeight="1" thickTop="1" thickBot="1">
      <c r="A415" s="217" t="str">
        <f t="shared" si="13"/>
        <v>#BL25-0002</v>
      </c>
      <c r="B415" s="181"/>
      <c r="C415" s="181"/>
      <c r="D415" s="184"/>
      <c r="E415" s="183"/>
      <c r="F415" s="184" t="str">
        <f t="shared" si="12"/>
        <v>Construction Exemplaire Inc.</v>
      </c>
      <c r="G415" s="184"/>
      <c r="H415" s="183"/>
      <c r="I415" s="182"/>
      <c r="J415" s="185"/>
      <c r="K415" s="185"/>
      <c r="L415" s="185"/>
      <c r="M415" s="187"/>
      <c r="N415" s="185"/>
      <c r="O415" s="188"/>
      <c r="P415" s="188"/>
      <c r="Q415" s="189"/>
      <c r="R415" s="190"/>
      <c r="S415" s="190"/>
      <c r="T415" s="190"/>
      <c r="U415" s="191"/>
      <c r="V415" s="192"/>
      <c r="W415" s="193"/>
      <c r="X415" s="194"/>
      <c r="Y415" s="195"/>
      <c r="Z415" s="196"/>
      <c r="AA415" s="203"/>
      <c r="AB415" s="198"/>
      <c r="AC415" s="199"/>
      <c r="AD415" s="200"/>
      <c r="AE415" s="182"/>
      <c r="AF415" s="201"/>
      <c r="AG415" s="201"/>
    </row>
    <row r="416" spans="1:33" ht="27.75" customHeight="1" thickTop="1" thickBot="1">
      <c r="A416" s="217" t="str">
        <f t="shared" si="13"/>
        <v>#BL25-0002</v>
      </c>
      <c r="B416" s="181"/>
      <c r="C416" s="181"/>
      <c r="D416" s="208"/>
      <c r="E416" s="183"/>
      <c r="F416" s="184" t="str">
        <f t="shared" si="12"/>
        <v>Construction Exemplaire Inc.</v>
      </c>
      <c r="G416" s="184"/>
      <c r="H416" s="183"/>
      <c r="I416" s="182"/>
      <c r="J416" s="185"/>
      <c r="K416" s="185"/>
      <c r="L416" s="185"/>
      <c r="M416" s="187"/>
      <c r="N416" s="185"/>
      <c r="O416" s="188"/>
      <c r="P416" s="188"/>
      <c r="Q416" s="189"/>
      <c r="R416" s="190"/>
      <c r="S416" s="190"/>
      <c r="T416" s="190"/>
      <c r="U416" s="191"/>
      <c r="V416" s="192"/>
      <c r="W416" s="193"/>
      <c r="X416" s="194"/>
      <c r="Y416" s="195"/>
      <c r="Z416" s="196"/>
      <c r="AA416" s="203"/>
      <c r="AB416" s="198"/>
      <c r="AC416" s="199"/>
      <c r="AD416" s="200"/>
      <c r="AE416" s="182"/>
      <c r="AF416" s="201"/>
      <c r="AG416" s="201"/>
    </row>
    <row r="417" spans="1:33" ht="27.75" customHeight="1" thickTop="1" thickBot="1">
      <c r="A417" s="217" t="str">
        <f t="shared" si="13"/>
        <v>#BL25-0002</v>
      </c>
      <c r="B417" s="181"/>
      <c r="C417" s="181"/>
      <c r="D417" s="184"/>
      <c r="E417" s="183"/>
      <c r="F417" s="184" t="str">
        <f t="shared" si="12"/>
        <v>Construction Exemplaire Inc.</v>
      </c>
      <c r="G417" s="184"/>
      <c r="H417" s="183"/>
      <c r="I417" s="182"/>
      <c r="J417" s="185"/>
      <c r="K417" s="185"/>
      <c r="L417" s="185"/>
      <c r="M417" s="187"/>
      <c r="N417" s="185"/>
      <c r="O417" s="188"/>
      <c r="P417" s="188"/>
      <c r="Q417" s="189"/>
      <c r="R417" s="190"/>
      <c r="S417" s="190"/>
      <c r="T417" s="190"/>
      <c r="U417" s="191"/>
      <c r="V417" s="192"/>
      <c r="W417" s="193"/>
      <c r="X417" s="194"/>
      <c r="Y417" s="195"/>
      <c r="Z417" s="196"/>
      <c r="AA417" s="203"/>
      <c r="AB417" s="198"/>
      <c r="AC417" s="199"/>
      <c r="AD417" s="200"/>
      <c r="AE417" s="182"/>
      <c r="AF417" s="201"/>
      <c r="AG417" s="201"/>
    </row>
    <row r="418" spans="1:33" ht="27.75" customHeight="1" thickTop="1" thickBot="1">
      <c r="A418" s="217" t="str">
        <f t="shared" si="13"/>
        <v>#BL25-0002</v>
      </c>
      <c r="B418" s="181"/>
      <c r="C418" s="181"/>
      <c r="D418" s="207"/>
      <c r="E418" s="183"/>
      <c r="F418" s="184" t="str">
        <f t="shared" si="12"/>
        <v>Construction Exemplaire Inc.</v>
      </c>
      <c r="G418" s="184"/>
      <c r="H418" s="183"/>
      <c r="I418" s="182"/>
      <c r="J418" s="185"/>
      <c r="K418" s="185"/>
      <c r="L418" s="185"/>
      <c r="M418" s="187"/>
      <c r="N418" s="185"/>
      <c r="O418" s="188"/>
      <c r="P418" s="188"/>
      <c r="Q418" s="189"/>
      <c r="R418" s="190"/>
      <c r="S418" s="190"/>
      <c r="T418" s="190"/>
      <c r="U418" s="191"/>
      <c r="V418" s="192"/>
      <c r="W418" s="193"/>
      <c r="X418" s="194"/>
      <c r="Y418" s="195"/>
      <c r="Z418" s="196"/>
      <c r="AA418" s="203"/>
      <c r="AB418" s="198"/>
      <c r="AC418" s="199"/>
      <c r="AD418" s="200"/>
      <c r="AE418" s="182"/>
      <c r="AF418" s="201"/>
      <c r="AG418" s="201"/>
    </row>
    <row r="419" spans="1:33" ht="27.75" customHeight="1" thickTop="1" thickBot="1">
      <c r="A419" s="217" t="str">
        <f t="shared" si="13"/>
        <v>#BL25-0002</v>
      </c>
      <c r="B419" s="181"/>
      <c r="C419" s="181"/>
      <c r="D419" s="207"/>
      <c r="E419" s="183"/>
      <c r="F419" s="184" t="str">
        <f t="shared" si="12"/>
        <v>Construction Exemplaire Inc.</v>
      </c>
      <c r="G419" s="184"/>
      <c r="H419" s="183"/>
      <c r="I419" s="182"/>
      <c r="J419" s="185"/>
      <c r="K419" s="185"/>
      <c r="L419" s="185"/>
      <c r="M419" s="187"/>
      <c r="N419" s="185"/>
      <c r="O419" s="188"/>
      <c r="P419" s="188"/>
      <c r="Q419" s="189"/>
      <c r="R419" s="190"/>
      <c r="S419" s="190"/>
      <c r="T419" s="190"/>
      <c r="U419" s="191"/>
      <c r="V419" s="192"/>
      <c r="W419" s="193"/>
      <c r="X419" s="194"/>
      <c r="Y419" s="195"/>
      <c r="Z419" s="196"/>
      <c r="AA419" s="203"/>
      <c r="AB419" s="198"/>
      <c r="AC419" s="199"/>
      <c r="AD419" s="200"/>
      <c r="AE419" s="182"/>
      <c r="AF419" s="201"/>
      <c r="AG419" s="201"/>
    </row>
    <row r="420" spans="1:33" ht="27.75" customHeight="1" thickTop="1" thickBot="1">
      <c r="A420" s="217" t="str">
        <f t="shared" si="13"/>
        <v>#BL25-0002</v>
      </c>
      <c r="B420" s="181"/>
      <c r="C420" s="181"/>
      <c r="D420" s="207"/>
      <c r="E420" s="183"/>
      <c r="F420" s="184" t="str">
        <f t="shared" si="12"/>
        <v>Construction Exemplaire Inc.</v>
      </c>
      <c r="G420" s="184"/>
      <c r="H420" s="183"/>
      <c r="I420" s="182"/>
      <c r="J420" s="185"/>
      <c r="K420" s="185"/>
      <c r="L420" s="185"/>
      <c r="M420" s="187"/>
      <c r="N420" s="185"/>
      <c r="O420" s="188"/>
      <c r="P420" s="188"/>
      <c r="Q420" s="189"/>
      <c r="R420" s="190"/>
      <c r="S420" s="190"/>
      <c r="T420" s="190"/>
      <c r="U420" s="191"/>
      <c r="V420" s="192"/>
      <c r="W420" s="193"/>
      <c r="X420" s="194"/>
      <c r="Y420" s="195"/>
      <c r="Z420" s="196"/>
      <c r="AA420" s="203"/>
      <c r="AB420" s="198"/>
      <c r="AC420" s="199"/>
      <c r="AD420" s="200"/>
      <c r="AE420" s="182"/>
      <c r="AF420" s="201"/>
      <c r="AG420" s="201"/>
    </row>
    <row r="421" spans="1:33" ht="27.75" customHeight="1" thickTop="1" thickBot="1">
      <c r="A421" s="217" t="str">
        <f t="shared" si="13"/>
        <v>#BL25-0002</v>
      </c>
      <c r="B421" s="181"/>
      <c r="C421" s="181"/>
      <c r="D421" s="184"/>
      <c r="E421" s="183"/>
      <c r="F421" s="184" t="str">
        <f t="shared" si="12"/>
        <v>Construction Exemplaire Inc.</v>
      </c>
      <c r="G421" s="184"/>
      <c r="H421" s="183"/>
      <c r="I421" s="182"/>
      <c r="J421" s="185"/>
      <c r="K421" s="185"/>
      <c r="L421" s="185"/>
      <c r="M421" s="187"/>
      <c r="N421" s="185"/>
      <c r="O421" s="188"/>
      <c r="P421" s="188"/>
      <c r="Q421" s="189"/>
      <c r="R421" s="190"/>
      <c r="S421" s="190"/>
      <c r="T421" s="190"/>
      <c r="U421" s="191"/>
      <c r="V421" s="192"/>
      <c r="W421" s="193"/>
      <c r="X421" s="194"/>
      <c r="Y421" s="195"/>
      <c r="Z421" s="196"/>
      <c r="AA421" s="203"/>
      <c r="AB421" s="198"/>
      <c r="AC421" s="199"/>
      <c r="AD421" s="200"/>
      <c r="AE421" s="182"/>
      <c r="AF421" s="201"/>
      <c r="AG421" s="201"/>
    </row>
    <row r="422" spans="1:33" ht="27.75" customHeight="1" thickTop="1" thickBot="1">
      <c r="A422" s="217" t="str">
        <f t="shared" si="13"/>
        <v>#BL25-0002</v>
      </c>
      <c r="B422" s="181"/>
      <c r="C422" s="181"/>
      <c r="D422" s="184"/>
      <c r="E422" s="183"/>
      <c r="F422" s="184" t="str">
        <f t="shared" si="12"/>
        <v>Construction Exemplaire Inc.</v>
      </c>
      <c r="G422" s="184"/>
      <c r="H422" s="183"/>
      <c r="I422" s="182"/>
      <c r="J422" s="185"/>
      <c r="K422" s="185"/>
      <c r="L422" s="185"/>
      <c r="M422" s="187"/>
      <c r="N422" s="185"/>
      <c r="O422" s="188"/>
      <c r="P422" s="188"/>
      <c r="Q422" s="189"/>
      <c r="R422" s="190"/>
      <c r="S422" s="190"/>
      <c r="T422" s="190"/>
      <c r="U422" s="191"/>
      <c r="V422" s="192"/>
      <c r="W422" s="193"/>
      <c r="X422" s="194"/>
      <c r="Y422" s="195"/>
      <c r="Z422" s="196"/>
      <c r="AA422" s="203"/>
      <c r="AB422" s="198"/>
      <c r="AC422" s="199"/>
      <c r="AD422" s="200"/>
      <c r="AE422" s="182"/>
      <c r="AF422" s="201"/>
      <c r="AG422" s="201"/>
    </row>
    <row r="423" spans="1:33" ht="27.75" customHeight="1" thickTop="1" thickBot="1">
      <c r="A423" s="217" t="str">
        <f t="shared" si="13"/>
        <v>#BL25-0002</v>
      </c>
      <c r="B423" s="181"/>
      <c r="C423" s="181"/>
      <c r="D423" s="184"/>
      <c r="E423" s="183"/>
      <c r="F423" s="184" t="str">
        <f t="shared" si="12"/>
        <v>Construction Exemplaire Inc.</v>
      </c>
      <c r="G423" s="184"/>
      <c r="H423" s="183"/>
      <c r="I423" s="182"/>
      <c r="J423" s="185"/>
      <c r="K423" s="185"/>
      <c r="L423" s="185"/>
      <c r="M423" s="187"/>
      <c r="N423" s="185"/>
      <c r="O423" s="188"/>
      <c r="P423" s="188"/>
      <c r="Q423" s="189"/>
      <c r="R423" s="190"/>
      <c r="S423" s="190"/>
      <c r="T423" s="190"/>
      <c r="U423" s="191"/>
      <c r="V423" s="192"/>
      <c r="W423" s="193"/>
      <c r="X423" s="194"/>
      <c r="Y423" s="195"/>
      <c r="Z423" s="196"/>
      <c r="AA423" s="203"/>
      <c r="AB423" s="198"/>
      <c r="AC423" s="199"/>
      <c r="AD423" s="200"/>
      <c r="AE423" s="182"/>
      <c r="AF423" s="201"/>
      <c r="AG423" s="201"/>
    </row>
    <row r="424" spans="1:33" ht="27.75" customHeight="1" thickTop="1" thickBot="1">
      <c r="A424" s="217" t="str">
        <f t="shared" si="13"/>
        <v>#BL25-0002</v>
      </c>
      <c r="B424" s="181"/>
      <c r="C424" s="181"/>
      <c r="D424" s="184"/>
      <c r="E424" s="183"/>
      <c r="F424" s="184" t="str">
        <f t="shared" si="12"/>
        <v>Construction Exemplaire Inc.</v>
      </c>
      <c r="G424" s="184"/>
      <c r="H424" s="183"/>
      <c r="I424" s="182"/>
      <c r="J424" s="185"/>
      <c r="K424" s="185"/>
      <c r="L424" s="185"/>
      <c r="M424" s="187"/>
      <c r="N424" s="185"/>
      <c r="O424" s="188"/>
      <c r="P424" s="188"/>
      <c r="Q424" s="189"/>
      <c r="R424" s="190"/>
      <c r="S424" s="190"/>
      <c r="T424" s="190"/>
      <c r="U424" s="191"/>
      <c r="V424" s="192"/>
      <c r="W424" s="193"/>
      <c r="X424" s="194"/>
      <c r="Y424" s="195"/>
      <c r="Z424" s="196"/>
      <c r="AA424" s="203"/>
      <c r="AB424" s="198"/>
      <c r="AC424" s="199"/>
      <c r="AD424" s="200"/>
      <c r="AE424" s="182"/>
      <c r="AF424" s="201"/>
      <c r="AG424" s="201"/>
    </row>
    <row r="425" spans="1:33" ht="27.75" customHeight="1" thickTop="1" thickBot="1">
      <c r="A425" s="217" t="str">
        <f t="shared" si="13"/>
        <v>#BL25-0002</v>
      </c>
      <c r="B425" s="181"/>
      <c r="C425" s="181"/>
      <c r="D425" s="184"/>
      <c r="E425" s="183"/>
      <c r="F425" s="184" t="str">
        <f t="shared" si="12"/>
        <v>Construction Exemplaire Inc.</v>
      </c>
      <c r="G425" s="184"/>
      <c r="H425" s="183"/>
      <c r="I425" s="182"/>
      <c r="J425" s="185"/>
      <c r="K425" s="185"/>
      <c r="L425" s="185"/>
      <c r="M425" s="187"/>
      <c r="N425" s="185"/>
      <c r="O425" s="188"/>
      <c r="P425" s="188"/>
      <c r="Q425" s="189"/>
      <c r="R425" s="190"/>
      <c r="S425" s="190"/>
      <c r="T425" s="190"/>
      <c r="U425" s="191"/>
      <c r="V425" s="192"/>
      <c r="W425" s="193"/>
      <c r="X425" s="194"/>
      <c r="Y425" s="195"/>
      <c r="Z425" s="196"/>
      <c r="AA425" s="203"/>
      <c r="AB425" s="198"/>
      <c r="AC425" s="199"/>
      <c r="AD425" s="200"/>
      <c r="AE425" s="182"/>
      <c r="AF425" s="201"/>
      <c r="AG425" s="201"/>
    </row>
    <row r="426" spans="1:33" ht="27.75" customHeight="1" thickTop="1" thickBot="1">
      <c r="A426" s="217" t="str">
        <f t="shared" si="13"/>
        <v>#BL25-0002</v>
      </c>
      <c r="B426" s="181"/>
      <c r="C426" s="181"/>
      <c r="D426" s="184"/>
      <c r="E426" s="183"/>
      <c r="F426" s="184" t="str">
        <f t="shared" si="12"/>
        <v>Construction Exemplaire Inc.</v>
      </c>
      <c r="G426" s="184"/>
      <c r="H426" s="183"/>
      <c r="I426" s="182"/>
      <c r="J426" s="185"/>
      <c r="K426" s="185"/>
      <c r="L426" s="185"/>
      <c r="M426" s="187"/>
      <c r="N426" s="185"/>
      <c r="O426" s="188"/>
      <c r="P426" s="188"/>
      <c r="Q426" s="189"/>
      <c r="R426" s="190"/>
      <c r="S426" s="190"/>
      <c r="T426" s="190"/>
      <c r="U426" s="191"/>
      <c r="V426" s="192"/>
      <c r="W426" s="193"/>
      <c r="X426" s="194"/>
      <c r="Y426" s="195"/>
      <c r="Z426" s="196"/>
      <c r="AA426" s="203"/>
      <c r="AB426" s="198"/>
      <c r="AC426" s="199"/>
      <c r="AD426" s="200"/>
      <c r="AE426" s="182"/>
      <c r="AF426" s="201"/>
      <c r="AG426" s="201"/>
    </row>
    <row r="427" spans="1:33" ht="27.75" customHeight="1" thickTop="1" thickBot="1">
      <c r="A427" s="217" t="str">
        <f t="shared" si="13"/>
        <v>#BL25-0002</v>
      </c>
      <c r="B427" s="181"/>
      <c r="C427" s="181"/>
      <c r="D427" s="184"/>
      <c r="E427" s="183"/>
      <c r="F427" s="184" t="str">
        <f t="shared" si="12"/>
        <v>Construction Exemplaire Inc.</v>
      </c>
      <c r="G427" s="184"/>
      <c r="H427" s="183"/>
      <c r="I427" s="182"/>
      <c r="J427" s="185"/>
      <c r="K427" s="185"/>
      <c r="L427" s="185"/>
      <c r="M427" s="187"/>
      <c r="N427" s="185"/>
      <c r="O427" s="188"/>
      <c r="P427" s="188"/>
      <c r="Q427" s="189"/>
      <c r="R427" s="190"/>
      <c r="S427" s="190"/>
      <c r="T427" s="190"/>
      <c r="U427" s="191"/>
      <c r="V427" s="192"/>
      <c r="W427" s="193"/>
      <c r="X427" s="194"/>
      <c r="Y427" s="195"/>
      <c r="Z427" s="196"/>
      <c r="AA427" s="203"/>
      <c r="AB427" s="198"/>
      <c r="AC427" s="199"/>
      <c r="AD427" s="200"/>
      <c r="AE427" s="182"/>
      <c r="AF427" s="201"/>
      <c r="AG427" s="201"/>
    </row>
    <row r="428" spans="1:33" ht="27.75" customHeight="1" thickTop="1" thickBot="1">
      <c r="A428" s="217" t="str">
        <f t="shared" si="13"/>
        <v>#BL25-0002</v>
      </c>
      <c r="B428" s="181"/>
      <c r="C428" s="181"/>
      <c r="D428" s="184"/>
      <c r="E428" s="183"/>
      <c r="F428" s="184" t="str">
        <f t="shared" si="12"/>
        <v>Construction Exemplaire Inc.</v>
      </c>
      <c r="G428" s="184"/>
      <c r="H428" s="183"/>
      <c r="I428" s="182"/>
      <c r="J428" s="185"/>
      <c r="K428" s="185"/>
      <c r="L428" s="185"/>
      <c r="M428" s="187"/>
      <c r="N428" s="185"/>
      <c r="O428" s="188"/>
      <c r="P428" s="188"/>
      <c r="Q428" s="189"/>
      <c r="R428" s="190"/>
      <c r="S428" s="190"/>
      <c r="T428" s="190"/>
      <c r="U428" s="191"/>
      <c r="V428" s="192"/>
      <c r="W428" s="193"/>
      <c r="X428" s="194"/>
      <c r="Y428" s="195"/>
      <c r="Z428" s="196"/>
      <c r="AA428" s="203"/>
      <c r="AB428" s="198"/>
      <c r="AC428" s="199"/>
      <c r="AD428" s="200"/>
      <c r="AE428" s="182"/>
      <c r="AF428" s="201"/>
      <c r="AG428" s="201"/>
    </row>
    <row r="429" spans="1:33" ht="27.75" customHeight="1" thickTop="1" thickBot="1">
      <c r="A429" s="217" t="str">
        <f t="shared" si="13"/>
        <v>#BL25-0002</v>
      </c>
      <c r="B429" s="181"/>
      <c r="C429" s="181"/>
      <c r="D429" s="184"/>
      <c r="E429" s="183"/>
      <c r="F429" s="184" t="str">
        <f t="shared" si="12"/>
        <v>Construction Exemplaire Inc.</v>
      </c>
      <c r="G429" s="184"/>
      <c r="H429" s="183"/>
      <c r="I429" s="182"/>
      <c r="J429" s="185"/>
      <c r="K429" s="185"/>
      <c r="L429" s="185"/>
      <c r="M429" s="187"/>
      <c r="N429" s="185"/>
      <c r="O429" s="188"/>
      <c r="P429" s="188"/>
      <c r="Q429" s="189"/>
      <c r="R429" s="190"/>
      <c r="S429" s="190"/>
      <c r="T429" s="190"/>
      <c r="U429" s="191"/>
      <c r="V429" s="192"/>
      <c r="W429" s="193"/>
      <c r="X429" s="194"/>
      <c r="Y429" s="195"/>
      <c r="Z429" s="196"/>
      <c r="AA429" s="203"/>
      <c r="AB429" s="198"/>
      <c r="AC429" s="199"/>
      <c r="AD429" s="200"/>
      <c r="AE429" s="182"/>
      <c r="AF429" s="201"/>
      <c r="AG429" s="201"/>
    </row>
    <row r="430" spans="1:33" ht="27.75" customHeight="1" thickTop="1" thickBot="1">
      <c r="A430" s="217" t="str">
        <f t="shared" si="13"/>
        <v>#BL25-0002</v>
      </c>
      <c r="B430" s="181"/>
      <c r="C430" s="181"/>
      <c r="D430" s="184"/>
      <c r="E430" s="183"/>
      <c r="F430" s="184" t="str">
        <f t="shared" si="12"/>
        <v>Construction Exemplaire Inc.</v>
      </c>
      <c r="G430" s="184"/>
      <c r="H430" s="183"/>
      <c r="I430" s="182"/>
      <c r="J430" s="185"/>
      <c r="K430" s="185"/>
      <c r="L430" s="185"/>
      <c r="M430" s="187"/>
      <c r="N430" s="185"/>
      <c r="O430" s="188"/>
      <c r="P430" s="188"/>
      <c r="Q430" s="189"/>
      <c r="R430" s="190"/>
      <c r="S430" s="190"/>
      <c r="T430" s="190"/>
      <c r="U430" s="191"/>
      <c r="V430" s="192"/>
      <c r="W430" s="193"/>
      <c r="X430" s="194"/>
      <c r="Y430" s="195"/>
      <c r="Z430" s="196"/>
      <c r="AA430" s="203"/>
      <c r="AB430" s="198"/>
      <c r="AC430" s="199"/>
      <c r="AD430" s="200"/>
      <c r="AE430" s="182"/>
      <c r="AF430" s="201"/>
      <c r="AG430" s="201"/>
    </row>
    <row r="431" spans="1:33" ht="27.75" customHeight="1" thickTop="1" thickBot="1">
      <c r="A431" s="217" t="str">
        <f t="shared" si="13"/>
        <v>#BL25-0002</v>
      </c>
      <c r="B431" s="181"/>
      <c r="C431" s="181"/>
      <c r="D431" s="184"/>
      <c r="E431" s="183"/>
      <c r="F431" s="184" t="str">
        <f t="shared" si="12"/>
        <v>Construction Exemplaire Inc.</v>
      </c>
      <c r="G431" s="184"/>
      <c r="H431" s="183"/>
      <c r="I431" s="182"/>
      <c r="J431" s="185"/>
      <c r="K431" s="185"/>
      <c r="L431" s="185"/>
      <c r="M431" s="187"/>
      <c r="N431" s="185"/>
      <c r="O431" s="188"/>
      <c r="P431" s="188"/>
      <c r="Q431" s="189"/>
      <c r="R431" s="190"/>
      <c r="S431" s="190"/>
      <c r="T431" s="190"/>
      <c r="U431" s="191"/>
      <c r="V431" s="192"/>
      <c r="W431" s="193"/>
      <c r="X431" s="194"/>
      <c r="Y431" s="195"/>
      <c r="Z431" s="196"/>
      <c r="AA431" s="203"/>
      <c r="AB431" s="198"/>
      <c r="AC431" s="199"/>
      <c r="AD431" s="200"/>
      <c r="AE431" s="182"/>
      <c r="AF431" s="201"/>
      <c r="AG431" s="201"/>
    </row>
    <row r="432" spans="1:33" ht="27.75" customHeight="1" thickTop="1" thickBot="1">
      <c r="A432" s="217" t="str">
        <f t="shared" si="13"/>
        <v>#BL25-0002</v>
      </c>
      <c r="B432" s="181"/>
      <c r="C432" s="181"/>
      <c r="D432" s="184"/>
      <c r="E432" s="183"/>
      <c r="F432" s="184" t="str">
        <f t="shared" si="12"/>
        <v>Construction Exemplaire Inc.</v>
      </c>
      <c r="G432" s="184"/>
      <c r="H432" s="183"/>
      <c r="I432" s="182"/>
      <c r="J432" s="185"/>
      <c r="K432" s="185"/>
      <c r="L432" s="185"/>
      <c r="M432" s="187"/>
      <c r="N432" s="185"/>
      <c r="O432" s="188"/>
      <c r="P432" s="188"/>
      <c r="Q432" s="189"/>
      <c r="R432" s="190"/>
      <c r="S432" s="190"/>
      <c r="T432" s="190"/>
      <c r="U432" s="191"/>
      <c r="V432" s="192"/>
      <c r="W432" s="193"/>
      <c r="X432" s="194"/>
      <c r="Y432" s="195"/>
      <c r="Z432" s="196"/>
      <c r="AA432" s="203"/>
      <c r="AB432" s="198"/>
      <c r="AC432" s="199"/>
      <c r="AD432" s="200"/>
      <c r="AE432" s="182"/>
      <c r="AF432" s="201"/>
      <c r="AG432" s="201"/>
    </row>
    <row r="433" spans="1:33" ht="27" customHeight="1" thickTop="1" thickBot="1">
      <c r="A433" s="217" t="str">
        <f t="shared" si="13"/>
        <v>#BL25-0002</v>
      </c>
      <c r="B433" s="181"/>
      <c r="C433" s="181"/>
      <c r="D433" s="184"/>
      <c r="E433" s="183"/>
      <c r="F433" s="184" t="str">
        <f t="shared" si="12"/>
        <v>Construction Exemplaire Inc.</v>
      </c>
      <c r="G433" s="184"/>
      <c r="H433" s="183"/>
      <c r="I433" s="182"/>
      <c r="J433" s="185"/>
      <c r="K433" s="185"/>
      <c r="L433" s="185"/>
      <c r="M433" s="187"/>
      <c r="N433" s="185"/>
      <c r="O433" s="188"/>
      <c r="P433" s="188"/>
      <c r="Q433" s="189"/>
      <c r="R433" s="190"/>
      <c r="S433" s="190"/>
      <c r="T433" s="190"/>
      <c r="U433" s="191"/>
      <c r="V433" s="192"/>
      <c r="W433" s="193"/>
      <c r="X433" s="194"/>
      <c r="Y433" s="195"/>
      <c r="Z433" s="196"/>
      <c r="AA433" s="203"/>
      <c r="AB433" s="198"/>
      <c r="AC433" s="199"/>
      <c r="AD433" s="200"/>
      <c r="AE433" s="182"/>
      <c r="AF433" s="201"/>
      <c r="AG433" s="201"/>
    </row>
    <row r="434" spans="1:33" ht="27" customHeight="1" thickTop="1" thickBot="1">
      <c r="A434" s="217" t="str">
        <f t="shared" si="13"/>
        <v>#BL25-0002</v>
      </c>
      <c r="B434" s="181"/>
      <c r="C434" s="181"/>
      <c r="D434" s="207"/>
      <c r="E434" s="183"/>
      <c r="F434" s="184" t="str">
        <f t="shared" si="12"/>
        <v>Construction Exemplaire Inc.</v>
      </c>
      <c r="G434" s="184"/>
      <c r="H434" s="183"/>
      <c r="I434" s="182"/>
      <c r="J434" s="185"/>
      <c r="K434" s="185"/>
      <c r="L434" s="185"/>
      <c r="M434" s="187"/>
      <c r="N434" s="185"/>
      <c r="O434" s="188"/>
      <c r="P434" s="188"/>
      <c r="Q434" s="189"/>
      <c r="R434" s="190"/>
      <c r="S434" s="190"/>
      <c r="T434" s="190"/>
      <c r="U434" s="191"/>
      <c r="V434" s="192"/>
      <c r="W434" s="193"/>
      <c r="X434" s="194"/>
      <c r="Y434" s="195"/>
      <c r="Z434" s="196"/>
      <c r="AA434" s="203"/>
      <c r="AB434" s="198"/>
      <c r="AC434" s="199"/>
      <c r="AD434" s="200"/>
      <c r="AE434" s="182"/>
      <c r="AF434" s="201"/>
      <c r="AG434" s="201"/>
    </row>
    <row r="435" spans="1:33" ht="27" customHeight="1" thickTop="1" thickBot="1">
      <c r="A435" s="217" t="str">
        <f t="shared" si="13"/>
        <v>#BL25-0002</v>
      </c>
      <c r="B435" s="181"/>
      <c r="C435" s="181"/>
      <c r="D435" s="207"/>
      <c r="E435" s="183"/>
      <c r="F435" s="184" t="str">
        <f t="shared" si="12"/>
        <v>Construction Exemplaire Inc.</v>
      </c>
      <c r="G435" s="184"/>
      <c r="H435" s="183"/>
      <c r="I435" s="182"/>
      <c r="J435" s="185"/>
      <c r="K435" s="185"/>
      <c r="L435" s="185"/>
      <c r="M435" s="187"/>
      <c r="N435" s="185"/>
      <c r="O435" s="188"/>
      <c r="P435" s="188"/>
      <c r="Q435" s="189"/>
      <c r="R435" s="190"/>
      <c r="S435" s="190"/>
      <c r="T435" s="190"/>
      <c r="U435" s="191"/>
      <c r="V435" s="192"/>
      <c r="W435" s="193"/>
      <c r="X435" s="194"/>
      <c r="Y435" s="195"/>
      <c r="Z435" s="196"/>
      <c r="AA435" s="203"/>
      <c r="AB435" s="198"/>
      <c r="AC435" s="199"/>
      <c r="AD435" s="200"/>
      <c r="AE435" s="182"/>
      <c r="AF435" s="201"/>
      <c r="AG435" s="201"/>
    </row>
    <row r="436" spans="1:33" ht="27" customHeight="1" thickTop="1" thickBot="1">
      <c r="A436" s="217" t="str">
        <f t="shared" si="13"/>
        <v>#BL25-0002</v>
      </c>
      <c r="B436" s="181"/>
      <c r="C436" s="181"/>
      <c r="D436" s="207"/>
      <c r="E436" s="183"/>
      <c r="F436" s="184" t="str">
        <f t="shared" si="12"/>
        <v>Construction Exemplaire Inc.</v>
      </c>
      <c r="G436" s="184"/>
      <c r="H436" s="183"/>
      <c r="I436" s="182"/>
      <c r="J436" s="185"/>
      <c r="K436" s="185"/>
      <c r="L436" s="185"/>
      <c r="M436" s="187"/>
      <c r="N436" s="185"/>
      <c r="O436" s="188"/>
      <c r="P436" s="188"/>
      <c r="Q436" s="189"/>
      <c r="R436" s="190"/>
      <c r="S436" s="190"/>
      <c r="T436" s="190"/>
      <c r="U436" s="191"/>
      <c r="V436" s="192"/>
      <c r="W436" s="193"/>
      <c r="X436" s="194"/>
      <c r="Y436" s="195"/>
      <c r="Z436" s="196"/>
      <c r="AA436" s="203"/>
      <c r="AB436" s="198"/>
      <c r="AC436" s="199"/>
      <c r="AD436" s="200"/>
      <c r="AE436" s="182"/>
      <c r="AF436" s="201"/>
      <c r="AG436" s="201"/>
    </row>
    <row r="437" spans="1:33" ht="27" customHeight="1" thickTop="1" thickBot="1">
      <c r="A437" s="217" t="str">
        <f t="shared" si="13"/>
        <v>#BL25-0002</v>
      </c>
      <c r="B437" s="181"/>
      <c r="C437" s="181"/>
      <c r="D437" s="207"/>
      <c r="E437" s="183"/>
      <c r="F437" s="184" t="str">
        <f t="shared" si="12"/>
        <v>Construction Exemplaire Inc.</v>
      </c>
      <c r="G437" s="184"/>
      <c r="H437" s="183"/>
      <c r="I437" s="182"/>
      <c r="J437" s="185"/>
      <c r="K437" s="185"/>
      <c r="L437" s="185"/>
      <c r="M437" s="187"/>
      <c r="N437" s="185"/>
      <c r="O437" s="188"/>
      <c r="P437" s="188"/>
      <c r="Q437" s="189"/>
      <c r="R437" s="190"/>
      <c r="S437" s="190"/>
      <c r="T437" s="190"/>
      <c r="U437" s="191"/>
      <c r="V437" s="192"/>
      <c r="W437" s="193"/>
      <c r="X437" s="194"/>
      <c r="Y437" s="195"/>
      <c r="Z437" s="196"/>
      <c r="AA437" s="203"/>
      <c r="AB437" s="198"/>
      <c r="AC437" s="199"/>
      <c r="AD437" s="200"/>
      <c r="AE437" s="182"/>
      <c r="AF437" s="201"/>
      <c r="AG437" s="201"/>
    </row>
    <row r="438" spans="1:33" ht="27" customHeight="1" thickTop="1" thickBot="1">
      <c r="A438" s="217" t="str">
        <f t="shared" si="13"/>
        <v>#BL25-0002</v>
      </c>
      <c r="B438" s="181"/>
      <c r="C438" s="181"/>
      <c r="D438" s="207"/>
      <c r="E438" s="183"/>
      <c r="F438" s="184" t="str">
        <f t="shared" si="12"/>
        <v>Construction Exemplaire Inc.</v>
      </c>
      <c r="G438" s="184"/>
      <c r="H438" s="183"/>
      <c r="I438" s="182"/>
      <c r="J438" s="185"/>
      <c r="K438" s="185"/>
      <c r="L438" s="185"/>
      <c r="M438" s="187"/>
      <c r="N438" s="185"/>
      <c r="O438" s="188"/>
      <c r="P438" s="188"/>
      <c r="Q438" s="189"/>
      <c r="R438" s="190"/>
      <c r="S438" s="190"/>
      <c r="T438" s="190"/>
      <c r="U438" s="191"/>
      <c r="V438" s="192"/>
      <c r="W438" s="193"/>
      <c r="X438" s="194"/>
      <c r="Y438" s="195"/>
      <c r="Z438" s="196"/>
      <c r="AA438" s="203"/>
      <c r="AB438" s="198"/>
      <c r="AC438" s="199"/>
      <c r="AD438" s="200"/>
      <c r="AE438" s="182"/>
      <c r="AF438" s="201"/>
      <c r="AG438" s="201"/>
    </row>
    <row r="439" spans="1:33" ht="27" customHeight="1" thickTop="1" thickBot="1">
      <c r="A439" s="217" t="str">
        <f t="shared" si="13"/>
        <v>#BL25-0002</v>
      </c>
      <c r="B439" s="181"/>
      <c r="C439" s="181"/>
      <c r="D439" s="207"/>
      <c r="E439" s="183"/>
      <c r="F439" s="184" t="str">
        <f t="shared" si="12"/>
        <v>Construction Exemplaire Inc.</v>
      </c>
      <c r="G439" s="184"/>
      <c r="H439" s="183"/>
      <c r="I439" s="182"/>
      <c r="J439" s="185"/>
      <c r="K439" s="185"/>
      <c r="L439" s="185"/>
      <c r="M439" s="187"/>
      <c r="N439" s="185"/>
      <c r="O439" s="188"/>
      <c r="P439" s="188"/>
      <c r="Q439" s="189"/>
      <c r="R439" s="190"/>
      <c r="S439" s="190"/>
      <c r="T439" s="190"/>
      <c r="U439" s="191"/>
      <c r="V439" s="192"/>
      <c r="W439" s="193"/>
      <c r="X439" s="194"/>
      <c r="Y439" s="195"/>
      <c r="Z439" s="196"/>
      <c r="AA439" s="203"/>
      <c r="AB439" s="198"/>
      <c r="AC439" s="199"/>
      <c r="AD439" s="200"/>
      <c r="AE439" s="182"/>
      <c r="AF439" s="201"/>
      <c r="AG439" s="201"/>
    </row>
    <row r="440" spans="1:33" ht="27" customHeight="1" thickTop="1" thickBot="1">
      <c r="A440" s="217" t="str">
        <f t="shared" si="13"/>
        <v>#BL25-0002</v>
      </c>
      <c r="B440" s="181"/>
      <c r="C440" s="181"/>
      <c r="D440" s="207"/>
      <c r="E440" s="183"/>
      <c r="F440" s="184" t="str">
        <f t="shared" si="12"/>
        <v>Construction Exemplaire Inc.</v>
      </c>
      <c r="G440" s="184"/>
      <c r="H440" s="183"/>
      <c r="I440" s="182"/>
      <c r="J440" s="185"/>
      <c r="K440" s="185"/>
      <c r="L440" s="185"/>
      <c r="M440" s="187"/>
      <c r="N440" s="185"/>
      <c r="O440" s="188"/>
      <c r="P440" s="188"/>
      <c r="Q440" s="189"/>
      <c r="R440" s="190"/>
      <c r="S440" s="190"/>
      <c r="T440" s="190"/>
      <c r="U440" s="191"/>
      <c r="V440" s="192"/>
      <c r="W440" s="193"/>
      <c r="X440" s="194"/>
      <c r="Y440" s="195"/>
      <c r="Z440" s="196"/>
      <c r="AA440" s="203"/>
      <c r="AB440" s="198"/>
      <c r="AC440" s="199"/>
      <c r="AD440" s="200"/>
      <c r="AE440" s="182"/>
      <c r="AF440" s="201"/>
      <c r="AG440" s="201"/>
    </row>
    <row r="441" spans="1:33" ht="27" customHeight="1" thickTop="1" thickBot="1">
      <c r="A441" s="217" t="str">
        <f t="shared" si="13"/>
        <v>#BL25-0002</v>
      </c>
      <c r="B441" s="181"/>
      <c r="C441" s="181"/>
      <c r="D441" s="207"/>
      <c r="E441" s="183"/>
      <c r="F441" s="184" t="str">
        <f t="shared" si="12"/>
        <v>Construction Exemplaire Inc.</v>
      </c>
      <c r="G441" s="184"/>
      <c r="H441" s="183"/>
      <c r="I441" s="182"/>
      <c r="J441" s="185"/>
      <c r="K441" s="185"/>
      <c r="L441" s="185"/>
      <c r="M441" s="187"/>
      <c r="N441" s="185"/>
      <c r="O441" s="188"/>
      <c r="P441" s="188"/>
      <c r="Q441" s="189"/>
      <c r="R441" s="190"/>
      <c r="S441" s="190"/>
      <c r="T441" s="190"/>
      <c r="U441" s="191"/>
      <c r="V441" s="192"/>
      <c r="W441" s="193"/>
      <c r="X441" s="194"/>
      <c r="Y441" s="195"/>
      <c r="Z441" s="196"/>
      <c r="AA441" s="203"/>
      <c r="AB441" s="198"/>
      <c r="AC441" s="199"/>
      <c r="AD441" s="200"/>
      <c r="AE441" s="182"/>
      <c r="AF441" s="201"/>
      <c r="AG441" s="201"/>
    </row>
    <row r="442" spans="1:33" ht="27" customHeight="1" thickTop="1" thickBot="1">
      <c r="A442" s="217" t="str">
        <f t="shared" si="13"/>
        <v>#BL25-0002</v>
      </c>
      <c r="B442" s="181"/>
      <c r="C442" s="181"/>
      <c r="D442" s="207"/>
      <c r="E442" s="183"/>
      <c r="F442" s="184" t="str">
        <f t="shared" si="12"/>
        <v>Construction Exemplaire Inc.</v>
      </c>
      <c r="G442" s="184"/>
      <c r="H442" s="183"/>
      <c r="I442" s="182"/>
      <c r="J442" s="185"/>
      <c r="K442" s="185"/>
      <c r="L442" s="185"/>
      <c r="M442" s="187"/>
      <c r="N442" s="185"/>
      <c r="O442" s="188"/>
      <c r="P442" s="188"/>
      <c r="Q442" s="189"/>
      <c r="R442" s="190"/>
      <c r="S442" s="190"/>
      <c r="T442" s="190"/>
      <c r="U442" s="191"/>
      <c r="V442" s="192"/>
      <c r="W442" s="193"/>
      <c r="X442" s="194"/>
      <c r="Y442" s="195"/>
      <c r="Z442" s="196"/>
      <c r="AA442" s="203"/>
      <c r="AB442" s="198"/>
      <c r="AC442" s="199"/>
      <c r="AD442" s="200"/>
      <c r="AE442" s="182"/>
      <c r="AF442" s="201"/>
      <c r="AG442" s="201"/>
    </row>
    <row r="443" spans="1:33" ht="27" customHeight="1" thickTop="1" thickBot="1">
      <c r="A443" s="217" t="str">
        <f t="shared" si="13"/>
        <v>#BL25-0002</v>
      </c>
      <c r="B443" s="181"/>
      <c r="C443" s="181"/>
      <c r="D443" s="207"/>
      <c r="E443" s="183"/>
      <c r="F443" s="184" t="str">
        <f t="shared" si="12"/>
        <v>Construction Exemplaire Inc.</v>
      </c>
      <c r="G443" s="184"/>
      <c r="H443" s="183"/>
      <c r="I443" s="182"/>
      <c r="J443" s="185"/>
      <c r="K443" s="185"/>
      <c r="L443" s="185"/>
      <c r="M443" s="187"/>
      <c r="N443" s="185"/>
      <c r="O443" s="188"/>
      <c r="P443" s="188"/>
      <c r="Q443" s="189"/>
      <c r="R443" s="190"/>
      <c r="S443" s="190"/>
      <c r="T443" s="190"/>
      <c r="U443" s="191"/>
      <c r="V443" s="192"/>
      <c r="W443" s="193"/>
      <c r="X443" s="194"/>
      <c r="Y443" s="195"/>
      <c r="Z443" s="196"/>
      <c r="AA443" s="203"/>
      <c r="AB443" s="198"/>
      <c r="AC443" s="199"/>
      <c r="AD443" s="200"/>
      <c r="AE443" s="182"/>
      <c r="AF443" s="201"/>
      <c r="AG443" s="201"/>
    </row>
    <row r="444" spans="1:33" ht="27" customHeight="1" thickTop="1" thickBot="1">
      <c r="A444" s="217" t="str">
        <f t="shared" si="13"/>
        <v>#BL25-0002</v>
      </c>
      <c r="B444" s="181"/>
      <c r="C444" s="181"/>
      <c r="D444" s="207"/>
      <c r="E444" s="183"/>
      <c r="F444" s="184" t="str">
        <f t="shared" si="12"/>
        <v>Construction Exemplaire Inc.</v>
      </c>
      <c r="G444" s="184"/>
      <c r="H444" s="183"/>
      <c r="I444" s="182"/>
      <c r="J444" s="185"/>
      <c r="K444" s="185"/>
      <c r="L444" s="185"/>
      <c r="M444" s="187"/>
      <c r="N444" s="185"/>
      <c r="O444" s="188"/>
      <c r="P444" s="188"/>
      <c r="Q444" s="189"/>
      <c r="R444" s="190"/>
      <c r="S444" s="190"/>
      <c r="T444" s="190"/>
      <c r="U444" s="191"/>
      <c r="V444" s="192"/>
      <c r="W444" s="193"/>
      <c r="X444" s="194"/>
      <c r="Y444" s="195"/>
      <c r="Z444" s="196"/>
      <c r="AA444" s="203"/>
      <c r="AB444" s="198"/>
      <c r="AC444" s="199"/>
      <c r="AD444" s="200"/>
      <c r="AE444" s="182"/>
      <c r="AF444" s="201"/>
      <c r="AG444" s="201"/>
    </row>
    <row r="445" spans="1:33" ht="27" customHeight="1" thickTop="1" thickBot="1">
      <c r="A445" s="217" t="str">
        <f t="shared" si="13"/>
        <v>#BL25-0002</v>
      </c>
      <c r="B445" s="181"/>
      <c r="C445" s="181"/>
      <c r="D445" s="207"/>
      <c r="E445" s="183"/>
      <c r="F445" s="184" t="str">
        <f t="shared" si="12"/>
        <v>Construction Exemplaire Inc.</v>
      </c>
      <c r="G445" s="184"/>
      <c r="H445" s="183"/>
      <c r="I445" s="182"/>
      <c r="J445" s="185"/>
      <c r="K445" s="185"/>
      <c r="L445" s="185"/>
      <c r="M445" s="187"/>
      <c r="N445" s="185"/>
      <c r="O445" s="188"/>
      <c r="P445" s="188"/>
      <c r="Q445" s="189"/>
      <c r="R445" s="190"/>
      <c r="S445" s="190"/>
      <c r="T445" s="190"/>
      <c r="U445" s="191"/>
      <c r="V445" s="192"/>
      <c r="W445" s="193"/>
      <c r="X445" s="194"/>
      <c r="Y445" s="195"/>
      <c r="Z445" s="196"/>
      <c r="AA445" s="203"/>
      <c r="AB445" s="198"/>
      <c r="AC445" s="199"/>
      <c r="AD445" s="200"/>
      <c r="AE445" s="182"/>
      <c r="AF445" s="201"/>
      <c r="AG445" s="201"/>
    </row>
    <row r="446" spans="1:33" ht="27" customHeight="1" thickTop="1" thickBot="1">
      <c r="A446" s="217" t="str">
        <f t="shared" si="13"/>
        <v>#BL25-0002</v>
      </c>
      <c r="B446" s="181"/>
      <c r="C446" s="181"/>
      <c r="D446" s="207"/>
      <c r="E446" s="183"/>
      <c r="F446" s="184" t="str">
        <f t="shared" si="12"/>
        <v>Construction Exemplaire Inc.</v>
      </c>
      <c r="G446" s="184"/>
      <c r="H446" s="183"/>
      <c r="I446" s="182"/>
      <c r="J446" s="185"/>
      <c r="K446" s="185"/>
      <c r="L446" s="185"/>
      <c r="M446" s="187"/>
      <c r="N446" s="185"/>
      <c r="O446" s="188"/>
      <c r="P446" s="188"/>
      <c r="Q446" s="189"/>
      <c r="R446" s="190"/>
      <c r="S446" s="190"/>
      <c r="T446" s="190"/>
      <c r="U446" s="191"/>
      <c r="V446" s="192"/>
      <c r="W446" s="193"/>
      <c r="X446" s="194"/>
      <c r="Y446" s="195"/>
      <c r="Z446" s="196"/>
      <c r="AA446" s="203"/>
      <c r="AB446" s="198"/>
      <c r="AC446" s="199"/>
      <c r="AD446" s="200"/>
      <c r="AE446" s="182"/>
      <c r="AF446" s="201"/>
      <c r="AG446" s="201"/>
    </row>
    <row r="447" spans="1:33" ht="27" customHeight="1" thickTop="1" thickBot="1">
      <c r="A447" s="217" t="str">
        <f t="shared" si="13"/>
        <v>#BL25-0002</v>
      </c>
      <c r="B447" s="181"/>
      <c r="C447" s="181"/>
      <c r="D447" s="207"/>
      <c r="E447" s="183"/>
      <c r="F447" s="184" t="str">
        <f t="shared" si="12"/>
        <v>Construction Exemplaire Inc.</v>
      </c>
      <c r="G447" s="184"/>
      <c r="H447" s="183"/>
      <c r="I447" s="182"/>
      <c r="J447" s="185"/>
      <c r="K447" s="185"/>
      <c r="L447" s="185"/>
      <c r="M447" s="187"/>
      <c r="N447" s="185"/>
      <c r="O447" s="188"/>
      <c r="P447" s="188"/>
      <c r="Q447" s="189"/>
      <c r="R447" s="190"/>
      <c r="S447" s="190"/>
      <c r="T447" s="190"/>
      <c r="U447" s="191"/>
      <c r="V447" s="192"/>
      <c r="W447" s="193"/>
      <c r="X447" s="194"/>
      <c r="Y447" s="195"/>
      <c r="Z447" s="196"/>
      <c r="AA447" s="203"/>
      <c r="AB447" s="198"/>
      <c r="AC447" s="199"/>
      <c r="AD447" s="200"/>
      <c r="AE447" s="182"/>
      <c r="AF447" s="201"/>
      <c r="AG447" s="201"/>
    </row>
    <row r="448" spans="1:33" ht="27" customHeight="1" thickTop="1" thickBot="1">
      <c r="A448" s="217" t="str">
        <f t="shared" si="13"/>
        <v>#BL25-0002</v>
      </c>
      <c r="B448" s="181"/>
      <c r="C448" s="181"/>
      <c r="D448" s="208"/>
      <c r="E448" s="183"/>
      <c r="F448" s="184" t="str">
        <f t="shared" si="12"/>
        <v>Construction Exemplaire Inc.</v>
      </c>
      <c r="G448" s="184"/>
      <c r="H448" s="183"/>
      <c r="I448" s="182"/>
      <c r="J448" s="185"/>
      <c r="K448" s="185"/>
      <c r="L448" s="185"/>
      <c r="M448" s="187"/>
      <c r="N448" s="185"/>
      <c r="O448" s="188"/>
      <c r="P448" s="188"/>
      <c r="Q448" s="189"/>
      <c r="R448" s="190"/>
      <c r="S448" s="190"/>
      <c r="T448" s="190"/>
      <c r="U448" s="191"/>
      <c r="V448" s="192"/>
      <c r="W448" s="193"/>
      <c r="X448" s="194"/>
      <c r="Y448" s="195"/>
      <c r="Z448" s="196"/>
      <c r="AA448" s="203"/>
      <c r="AB448" s="198"/>
      <c r="AC448" s="199"/>
      <c r="AD448" s="200"/>
      <c r="AE448" s="182"/>
      <c r="AF448" s="201"/>
      <c r="AG448" s="201"/>
    </row>
    <row r="449" spans="1:33" ht="27" customHeight="1" thickTop="1" thickBot="1">
      <c r="A449" s="217" t="str">
        <f t="shared" si="13"/>
        <v>#BL25-0002</v>
      </c>
      <c r="B449" s="181"/>
      <c r="C449" s="181"/>
      <c r="D449" s="208"/>
      <c r="E449" s="183"/>
      <c r="F449" s="184" t="str">
        <f t="shared" si="12"/>
        <v>Construction Exemplaire Inc.</v>
      </c>
      <c r="G449" s="184"/>
      <c r="H449" s="183"/>
      <c r="I449" s="182"/>
      <c r="J449" s="185"/>
      <c r="K449" s="185"/>
      <c r="L449" s="185"/>
      <c r="M449" s="187"/>
      <c r="N449" s="185"/>
      <c r="O449" s="188"/>
      <c r="P449" s="188"/>
      <c r="Q449" s="189"/>
      <c r="R449" s="190"/>
      <c r="S449" s="190"/>
      <c r="T449" s="190"/>
      <c r="U449" s="191"/>
      <c r="V449" s="192"/>
      <c r="W449" s="193"/>
      <c r="X449" s="194"/>
      <c r="Y449" s="195"/>
      <c r="Z449" s="196"/>
      <c r="AA449" s="203"/>
      <c r="AB449" s="198"/>
      <c r="AC449" s="199"/>
      <c r="AD449" s="200"/>
      <c r="AE449" s="182"/>
      <c r="AF449" s="201"/>
      <c r="AG449" s="201"/>
    </row>
    <row r="450" spans="1:33" ht="27" customHeight="1" thickTop="1" thickBot="1">
      <c r="A450" s="217" t="str">
        <f t="shared" si="13"/>
        <v>#BL25-0002</v>
      </c>
      <c r="B450" s="181"/>
      <c r="C450" s="181"/>
      <c r="D450" s="184"/>
      <c r="E450" s="183"/>
      <c r="F450" s="184" t="str">
        <f t="shared" si="12"/>
        <v>Construction Exemplaire Inc.</v>
      </c>
      <c r="G450" s="184"/>
      <c r="H450" s="183"/>
      <c r="I450" s="182"/>
      <c r="J450" s="185"/>
      <c r="K450" s="185"/>
      <c r="L450" s="185"/>
      <c r="M450" s="187"/>
      <c r="N450" s="185"/>
      <c r="O450" s="188"/>
      <c r="P450" s="188"/>
      <c r="Q450" s="189"/>
      <c r="R450" s="190"/>
      <c r="S450" s="190"/>
      <c r="T450" s="190"/>
      <c r="U450" s="191"/>
      <c r="V450" s="192"/>
      <c r="W450" s="193"/>
      <c r="X450" s="194"/>
      <c r="Y450" s="195"/>
      <c r="Z450" s="196"/>
      <c r="AA450" s="203"/>
      <c r="AB450" s="198"/>
      <c r="AC450" s="199"/>
      <c r="AD450" s="200"/>
      <c r="AE450" s="182"/>
      <c r="AF450" s="201"/>
      <c r="AG450" s="201"/>
    </row>
    <row r="451" spans="1:33" ht="27" customHeight="1" thickTop="1" thickBot="1">
      <c r="A451" s="217" t="str">
        <f t="shared" si="13"/>
        <v>#BL25-0002</v>
      </c>
      <c r="B451" s="181"/>
      <c r="C451" s="181"/>
      <c r="D451" s="184"/>
      <c r="E451" s="183"/>
      <c r="F451" s="184" t="str">
        <f t="shared" si="12"/>
        <v>Construction Exemplaire Inc.</v>
      </c>
      <c r="G451" s="184"/>
      <c r="H451" s="183"/>
      <c r="I451" s="182"/>
      <c r="J451" s="185"/>
      <c r="K451" s="185"/>
      <c r="L451" s="185"/>
      <c r="M451" s="187"/>
      <c r="N451" s="185"/>
      <c r="O451" s="188"/>
      <c r="P451" s="188"/>
      <c r="Q451" s="189"/>
      <c r="R451" s="190"/>
      <c r="S451" s="190"/>
      <c r="T451" s="190"/>
      <c r="U451" s="191"/>
      <c r="V451" s="192"/>
      <c r="W451" s="193"/>
      <c r="X451" s="194"/>
      <c r="Y451" s="195"/>
      <c r="Z451" s="196"/>
      <c r="AA451" s="203"/>
      <c r="AB451" s="198"/>
      <c r="AC451" s="199"/>
      <c r="AD451" s="200"/>
      <c r="AE451" s="182"/>
      <c r="AF451" s="201"/>
      <c r="AG451" s="201"/>
    </row>
    <row r="452" spans="1:33" ht="27" customHeight="1" thickTop="1" thickBot="1">
      <c r="A452" s="217" t="str">
        <f t="shared" si="13"/>
        <v>#BL25-0002</v>
      </c>
      <c r="B452" s="181"/>
      <c r="C452" s="181"/>
      <c r="D452" s="184"/>
      <c r="E452" s="183"/>
      <c r="F452" s="184" t="str">
        <f t="shared" si="12"/>
        <v>Construction Exemplaire Inc.</v>
      </c>
      <c r="G452" s="184"/>
      <c r="H452" s="183"/>
      <c r="I452" s="182"/>
      <c r="J452" s="185"/>
      <c r="K452" s="185"/>
      <c r="L452" s="185"/>
      <c r="M452" s="187"/>
      <c r="N452" s="185"/>
      <c r="O452" s="188"/>
      <c r="P452" s="188"/>
      <c r="Q452" s="189"/>
      <c r="R452" s="190"/>
      <c r="S452" s="190"/>
      <c r="T452" s="190"/>
      <c r="U452" s="191"/>
      <c r="V452" s="192"/>
      <c r="W452" s="193"/>
      <c r="X452" s="194"/>
      <c r="Y452" s="195"/>
      <c r="Z452" s="196"/>
      <c r="AA452" s="203"/>
      <c r="AB452" s="198"/>
      <c r="AC452" s="199"/>
      <c r="AD452" s="200"/>
      <c r="AE452" s="182"/>
      <c r="AF452" s="201"/>
      <c r="AG452" s="201"/>
    </row>
    <row r="453" spans="1:33" ht="27" customHeight="1" thickTop="1" thickBot="1">
      <c r="A453" s="217" t="str">
        <f t="shared" si="13"/>
        <v>#BL25-0002</v>
      </c>
      <c r="B453" s="181"/>
      <c r="C453" s="181"/>
      <c r="D453" s="184"/>
      <c r="E453" s="183"/>
      <c r="F453" s="184" t="str">
        <f t="shared" si="12"/>
        <v>Construction Exemplaire Inc.</v>
      </c>
      <c r="G453" s="184"/>
      <c r="H453" s="183"/>
      <c r="I453" s="182"/>
      <c r="J453" s="185"/>
      <c r="K453" s="185"/>
      <c r="L453" s="185"/>
      <c r="M453" s="187"/>
      <c r="N453" s="185"/>
      <c r="O453" s="188"/>
      <c r="P453" s="188"/>
      <c r="Q453" s="189"/>
      <c r="R453" s="190"/>
      <c r="S453" s="190"/>
      <c r="T453" s="190"/>
      <c r="U453" s="191"/>
      <c r="V453" s="192"/>
      <c r="W453" s="193"/>
      <c r="X453" s="194"/>
      <c r="Y453" s="195"/>
      <c r="Z453" s="196"/>
      <c r="AA453" s="203"/>
      <c r="AB453" s="198"/>
      <c r="AC453" s="199"/>
      <c r="AD453" s="200"/>
      <c r="AE453" s="182"/>
      <c r="AF453" s="201"/>
      <c r="AG453" s="201"/>
    </row>
    <row r="454" spans="1:33" ht="27" customHeight="1" thickTop="1" thickBot="1">
      <c r="A454" s="217" t="str">
        <f t="shared" si="13"/>
        <v>#BL25-0002</v>
      </c>
      <c r="B454" s="181"/>
      <c r="C454" s="181"/>
      <c r="D454" s="184"/>
      <c r="E454" s="183"/>
      <c r="F454" s="184" t="str">
        <f t="shared" si="12"/>
        <v>Construction Exemplaire Inc.</v>
      </c>
      <c r="G454" s="184"/>
      <c r="H454" s="183"/>
      <c r="I454" s="182"/>
      <c r="J454" s="185"/>
      <c r="K454" s="185"/>
      <c r="L454" s="185"/>
      <c r="M454" s="187"/>
      <c r="N454" s="185"/>
      <c r="O454" s="188"/>
      <c r="P454" s="188"/>
      <c r="Q454" s="189"/>
      <c r="R454" s="190"/>
      <c r="S454" s="190"/>
      <c r="T454" s="190"/>
      <c r="U454" s="191"/>
      <c r="V454" s="192"/>
      <c r="W454" s="193"/>
      <c r="X454" s="194"/>
      <c r="Y454" s="195"/>
      <c r="Z454" s="196"/>
      <c r="AA454" s="203"/>
      <c r="AB454" s="198"/>
      <c r="AC454" s="199"/>
      <c r="AD454" s="200"/>
      <c r="AE454" s="182"/>
      <c r="AF454" s="201"/>
      <c r="AG454" s="201"/>
    </row>
    <row r="455" spans="1:33" ht="27" customHeight="1" thickTop="1" thickBot="1">
      <c r="A455" s="217" t="str">
        <f t="shared" si="13"/>
        <v>#BL25-0002</v>
      </c>
      <c r="B455" s="181"/>
      <c r="C455" s="181"/>
      <c r="D455" s="184"/>
      <c r="E455" s="183"/>
      <c r="F455" s="184" t="str">
        <f t="shared" si="12"/>
        <v>Construction Exemplaire Inc.</v>
      </c>
      <c r="G455" s="184"/>
      <c r="H455" s="183"/>
      <c r="I455" s="182"/>
      <c r="J455" s="185"/>
      <c r="K455" s="185"/>
      <c r="L455" s="185"/>
      <c r="M455" s="187"/>
      <c r="N455" s="185"/>
      <c r="O455" s="188"/>
      <c r="P455" s="188"/>
      <c r="Q455" s="189"/>
      <c r="R455" s="190"/>
      <c r="S455" s="190"/>
      <c r="T455" s="190"/>
      <c r="U455" s="191"/>
      <c r="V455" s="192"/>
      <c r="W455" s="193"/>
      <c r="X455" s="194"/>
      <c r="Y455" s="195"/>
      <c r="Z455" s="196"/>
      <c r="AA455" s="203"/>
      <c r="AB455" s="198"/>
      <c r="AC455" s="199"/>
      <c r="AD455" s="200"/>
      <c r="AE455" s="182"/>
      <c r="AF455" s="201"/>
      <c r="AG455" s="201"/>
    </row>
    <row r="456" spans="1:33" ht="39.75" customHeight="1" thickTop="1" thickBot="1">
      <c r="A456" s="217" t="str">
        <f t="shared" si="13"/>
        <v>#BL25-0002</v>
      </c>
      <c r="B456" s="181"/>
      <c r="C456" s="181"/>
      <c r="D456" s="184"/>
      <c r="E456" s="183"/>
      <c r="F456" s="184" t="str">
        <f t="shared" ref="F456:F519" si="14">nomClient</f>
        <v>Construction Exemplaire Inc.</v>
      </c>
      <c r="G456" s="184"/>
      <c r="H456" s="183"/>
      <c r="I456" s="182"/>
      <c r="J456" s="185"/>
      <c r="K456" s="185"/>
      <c r="L456" s="185"/>
      <c r="M456" s="187"/>
      <c r="N456" s="185"/>
      <c r="O456" s="188"/>
      <c r="P456" s="188"/>
      <c r="Q456" s="189"/>
      <c r="R456" s="190"/>
      <c r="S456" s="190"/>
      <c r="T456" s="190"/>
      <c r="U456" s="191"/>
      <c r="V456" s="192"/>
      <c r="W456" s="193"/>
      <c r="X456" s="194"/>
      <c r="Y456" s="195"/>
      <c r="Z456" s="196"/>
      <c r="AA456" s="203"/>
      <c r="AB456" s="198"/>
      <c r="AC456" s="199"/>
      <c r="AD456" s="200"/>
      <c r="AE456" s="182"/>
      <c r="AF456" s="201"/>
      <c r="AG456" s="201"/>
    </row>
    <row r="457" spans="1:33" ht="31.5" customHeight="1" thickTop="1" thickBot="1">
      <c r="A457" s="217" t="str">
        <f t="shared" ref="A457:A520" si="15">Ligne1</f>
        <v>#BL25-0002</v>
      </c>
      <c r="B457" s="181"/>
      <c r="C457" s="181"/>
      <c r="D457" s="184"/>
      <c r="E457" s="183"/>
      <c r="F457" s="184" t="str">
        <f t="shared" si="14"/>
        <v>Construction Exemplaire Inc.</v>
      </c>
      <c r="G457" s="184"/>
      <c r="H457" s="183"/>
      <c r="I457" s="182"/>
      <c r="J457" s="185"/>
      <c r="K457" s="185"/>
      <c r="L457" s="185"/>
      <c r="M457" s="187"/>
      <c r="N457" s="185"/>
      <c r="O457" s="188"/>
      <c r="P457" s="188"/>
      <c r="Q457" s="189"/>
      <c r="R457" s="190"/>
      <c r="S457" s="190"/>
      <c r="T457" s="190"/>
      <c r="U457" s="191"/>
      <c r="V457" s="192"/>
      <c r="W457" s="193"/>
      <c r="X457" s="194"/>
      <c r="Y457" s="195"/>
      <c r="Z457" s="196"/>
      <c r="AA457" s="203"/>
      <c r="AB457" s="198"/>
      <c r="AC457" s="199"/>
      <c r="AD457" s="200"/>
      <c r="AE457" s="182"/>
      <c r="AF457" s="201"/>
      <c r="AG457" s="201"/>
    </row>
    <row r="458" spans="1:33" ht="31.5" customHeight="1" thickTop="1" thickBot="1">
      <c r="A458" s="217" t="str">
        <f t="shared" si="15"/>
        <v>#BL25-0002</v>
      </c>
      <c r="B458" s="181"/>
      <c r="C458" s="181"/>
      <c r="D458" s="184"/>
      <c r="E458" s="183"/>
      <c r="F458" s="184" t="str">
        <f t="shared" si="14"/>
        <v>Construction Exemplaire Inc.</v>
      </c>
      <c r="G458" s="184"/>
      <c r="H458" s="183"/>
      <c r="I458" s="182"/>
      <c r="J458" s="185"/>
      <c r="K458" s="185"/>
      <c r="L458" s="185"/>
      <c r="M458" s="187"/>
      <c r="N458" s="185"/>
      <c r="O458" s="188"/>
      <c r="P458" s="188"/>
      <c r="Q458" s="189"/>
      <c r="R458" s="190"/>
      <c r="S458" s="190"/>
      <c r="T458" s="190"/>
      <c r="U458" s="191"/>
      <c r="V458" s="192"/>
      <c r="W458" s="193"/>
      <c r="X458" s="194"/>
      <c r="Y458" s="195"/>
      <c r="Z458" s="196"/>
      <c r="AA458" s="203"/>
      <c r="AB458" s="198"/>
      <c r="AC458" s="199"/>
      <c r="AD458" s="200"/>
      <c r="AE458" s="182"/>
      <c r="AF458" s="201"/>
      <c r="AG458" s="201"/>
    </row>
    <row r="459" spans="1:33" ht="31.5" customHeight="1" thickTop="1" thickBot="1">
      <c r="A459" s="217" t="str">
        <f t="shared" si="15"/>
        <v>#BL25-0002</v>
      </c>
      <c r="B459" s="181"/>
      <c r="C459" s="181"/>
      <c r="D459" s="184"/>
      <c r="E459" s="183"/>
      <c r="F459" s="184" t="str">
        <f t="shared" si="14"/>
        <v>Construction Exemplaire Inc.</v>
      </c>
      <c r="G459" s="184"/>
      <c r="H459" s="183"/>
      <c r="I459" s="182"/>
      <c r="J459" s="185"/>
      <c r="K459" s="185"/>
      <c r="L459" s="185"/>
      <c r="M459" s="187"/>
      <c r="N459" s="185"/>
      <c r="O459" s="188"/>
      <c r="P459" s="188"/>
      <c r="Q459" s="189"/>
      <c r="R459" s="190"/>
      <c r="S459" s="190"/>
      <c r="T459" s="190"/>
      <c r="U459" s="191"/>
      <c r="V459" s="192"/>
      <c r="W459" s="193"/>
      <c r="X459" s="194"/>
      <c r="Y459" s="195"/>
      <c r="Z459" s="196"/>
      <c r="AA459" s="203"/>
      <c r="AB459" s="198"/>
      <c r="AC459" s="199"/>
      <c r="AD459" s="200"/>
      <c r="AE459" s="182"/>
      <c r="AF459" s="201"/>
      <c r="AG459" s="201"/>
    </row>
    <row r="460" spans="1:33" ht="31.5" customHeight="1" thickTop="1" thickBot="1">
      <c r="A460" s="217" t="str">
        <f t="shared" si="15"/>
        <v>#BL25-0002</v>
      </c>
      <c r="B460" s="181"/>
      <c r="C460" s="181"/>
      <c r="D460" s="184"/>
      <c r="E460" s="183"/>
      <c r="F460" s="184" t="str">
        <f t="shared" si="14"/>
        <v>Construction Exemplaire Inc.</v>
      </c>
      <c r="G460" s="184"/>
      <c r="H460" s="183"/>
      <c r="I460" s="182"/>
      <c r="J460" s="185"/>
      <c r="K460" s="185"/>
      <c r="L460" s="185"/>
      <c r="M460" s="187"/>
      <c r="N460" s="185"/>
      <c r="O460" s="188"/>
      <c r="P460" s="188"/>
      <c r="Q460" s="189"/>
      <c r="R460" s="190"/>
      <c r="S460" s="190"/>
      <c r="T460" s="190"/>
      <c r="U460" s="191"/>
      <c r="V460" s="192"/>
      <c r="W460" s="193"/>
      <c r="X460" s="194"/>
      <c r="Y460" s="195"/>
      <c r="Z460" s="196"/>
      <c r="AA460" s="203"/>
      <c r="AB460" s="198"/>
      <c r="AC460" s="199"/>
      <c r="AD460" s="200"/>
      <c r="AE460" s="182"/>
      <c r="AF460" s="201"/>
      <c r="AG460" s="201"/>
    </row>
    <row r="461" spans="1:33" ht="31.5" customHeight="1" thickTop="1" thickBot="1">
      <c r="A461" s="217" t="str">
        <f t="shared" si="15"/>
        <v>#BL25-0002</v>
      </c>
      <c r="B461" s="181"/>
      <c r="C461" s="181"/>
      <c r="D461" s="208"/>
      <c r="E461" s="183"/>
      <c r="F461" s="184" t="str">
        <f t="shared" si="14"/>
        <v>Construction Exemplaire Inc.</v>
      </c>
      <c r="G461" s="184"/>
      <c r="H461" s="183"/>
      <c r="I461" s="182"/>
      <c r="J461" s="185"/>
      <c r="K461" s="185"/>
      <c r="L461" s="185"/>
      <c r="M461" s="187"/>
      <c r="N461" s="185"/>
      <c r="O461" s="188"/>
      <c r="P461" s="188"/>
      <c r="Q461" s="189"/>
      <c r="R461" s="190"/>
      <c r="S461" s="190"/>
      <c r="T461" s="190"/>
      <c r="U461" s="191"/>
      <c r="V461" s="192"/>
      <c r="W461" s="193"/>
      <c r="X461" s="194"/>
      <c r="Y461" s="195"/>
      <c r="Z461" s="196"/>
      <c r="AA461" s="203"/>
      <c r="AB461" s="198"/>
      <c r="AC461" s="199"/>
      <c r="AD461" s="200"/>
      <c r="AE461" s="182"/>
      <c r="AF461" s="201"/>
      <c r="AG461" s="201"/>
    </row>
    <row r="462" spans="1:33" ht="31.5" customHeight="1" thickTop="1" thickBot="1">
      <c r="A462" s="217" t="str">
        <f t="shared" si="15"/>
        <v>#BL25-0002</v>
      </c>
      <c r="B462" s="181"/>
      <c r="C462" s="181"/>
      <c r="D462" s="208"/>
      <c r="E462" s="183"/>
      <c r="F462" s="184" t="str">
        <f t="shared" si="14"/>
        <v>Construction Exemplaire Inc.</v>
      </c>
      <c r="G462" s="184"/>
      <c r="H462" s="183"/>
      <c r="I462" s="182"/>
      <c r="J462" s="185"/>
      <c r="K462" s="185"/>
      <c r="L462" s="185"/>
      <c r="M462" s="187"/>
      <c r="N462" s="185"/>
      <c r="O462" s="188"/>
      <c r="P462" s="188"/>
      <c r="Q462" s="189"/>
      <c r="R462" s="190"/>
      <c r="S462" s="190"/>
      <c r="T462" s="190"/>
      <c r="U462" s="191"/>
      <c r="V462" s="192"/>
      <c r="W462" s="193"/>
      <c r="X462" s="194"/>
      <c r="Y462" s="195"/>
      <c r="Z462" s="196"/>
      <c r="AA462" s="203"/>
      <c r="AB462" s="198"/>
      <c r="AC462" s="199"/>
      <c r="AD462" s="200"/>
      <c r="AE462" s="182"/>
      <c r="AF462" s="201"/>
      <c r="AG462" s="201"/>
    </row>
    <row r="463" spans="1:33" ht="31.5" customHeight="1" thickTop="1" thickBot="1">
      <c r="A463" s="217" t="str">
        <f t="shared" si="15"/>
        <v>#BL25-0002</v>
      </c>
      <c r="B463" s="181"/>
      <c r="C463" s="181"/>
      <c r="D463" s="184"/>
      <c r="E463" s="183"/>
      <c r="F463" s="184" t="str">
        <f t="shared" si="14"/>
        <v>Construction Exemplaire Inc.</v>
      </c>
      <c r="G463" s="184"/>
      <c r="H463" s="183"/>
      <c r="I463" s="182"/>
      <c r="J463" s="185"/>
      <c r="K463" s="185"/>
      <c r="L463" s="185"/>
      <c r="M463" s="187"/>
      <c r="N463" s="185"/>
      <c r="O463" s="188"/>
      <c r="P463" s="188"/>
      <c r="Q463" s="189"/>
      <c r="R463" s="190"/>
      <c r="S463" s="190"/>
      <c r="T463" s="190"/>
      <c r="U463" s="191"/>
      <c r="V463" s="192"/>
      <c r="W463" s="193"/>
      <c r="X463" s="194"/>
      <c r="Y463" s="195"/>
      <c r="Z463" s="196"/>
      <c r="AA463" s="203"/>
      <c r="AB463" s="198"/>
      <c r="AC463" s="199"/>
      <c r="AD463" s="200"/>
      <c r="AE463" s="182"/>
      <c r="AF463" s="201"/>
      <c r="AG463" s="201"/>
    </row>
    <row r="464" spans="1:33" ht="31.5" customHeight="1" thickTop="1" thickBot="1">
      <c r="A464" s="217" t="str">
        <f t="shared" si="15"/>
        <v>#BL25-0002</v>
      </c>
      <c r="B464" s="181"/>
      <c r="C464" s="181"/>
      <c r="D464" s="184"/>
      <c r="E464" s="183"/>
      <c r="F464" s="184" t="str">
        <f t="shared" si="14"/>
        <v>Construction Exemplaire Inc.</v>
      </c>
      <c r="G464" s="184"/>
      <c r="H464" s="183"/>
      <c r="I464" s="182"/>
      <c r="J464" s="185"/>
      <c r="K464" s="185"/>
      <c r="L464" s="185"/>
      <c r="M464" s="187"/>
      <c r="N464" s="185"/>
      <c r="O464" s="188"/>
      <c r="P464" s="188"/>
      <c r="Q464" s="189"/>
      <c r="R464" s="190"/>
      <c r="S464" s="190"/>
      <c r="T464" s="190"/>
      <c r="U464" s="191"/>
      <c r="V464" s="192"/>
      <c r="W464" s="193"/>
      <c r="X464" s="194"/>
      <c r="Y464" s="195"/>
      <c r="Z464" s="196"/>
      <c r="AA464" s="203"/>
      <c r="AB464" s="198"/>
      <c r="AC464" s="199"/>
      <c r="AD464" s="200"/>
      <c r="AE464" s="182"/>
      <c r="AF464" s="201"/>
      <c r="AG464" s="201"/>
    </row>
    <row r="465" spans="1:33" ht="31.5" customHeight="1" thickTop="1" thickBot="1">
      <c r="A465" s="217" t="str">
        <f t="shared" si="15"/>
        <v>#BL25-0002</v>
      </c>
      <c r="B465" s="181"/>
      <c r="C465" s="181"/>
      <c r="D465" s="184"/>
      <c r="E465" s="183"/>
      <c r="F465" s="184" t="str">
        <f t="shared" si="14"/>
        <v>Construction Exemplaire Inc.</v>
      </c>
      <c r="G465" s="184"/>
      <c r="H465" s="183"/>
      <c r="I465" s="182"/>
      <c r="J465" s="185"/>
      <c r="K465" s="185"/>
      <c r="L465" s="185"/>
      <c r="M465" s="187"/>
      <c r="N465" s="185"/>
      <c r="O465" s="188"/>
      <c r="P465" s="188"/>
      <c r="Q465" s="189"/>
      <c r="R465" s="190"/>
      <c r="S465" s="190"/>
      <c r="T465" s="190"/>
      <c r="U465" s="191"/>
      <c r="V465" s="192"/>
      <c r="W465" s="193"/>
      <c r="X465" s="194"/>
      <c r="Y465" s="195"/>
      <c r="Z465" s="196"/>
      <c r="AA465" s="203"/>
      <c r="AB465" s="198"/>
      <c r="AC465" s="199"/>
      <c r="AD465" s="200"/>
      <c r="AE465" s="182"/>
      <c r="AF465" s="201"/>
      <c r="AG465" s="201"/>
    </row>
    <row r="466" spans="1:33" ht="31.5" customHeight="1" thickTop="1" thickBot="1">
      <c r="A466" s="217" t="str">
        <f t="shared" si="15"/>
        <v>#BL25-0002</v>
      </c>
      <c r="B466" s="181"/>
      <c r="C466" s="181"/>
      <c r="D466" s="184"/>
      <c r="E466" s="183"/>
      <c r="F466" s="184" t="str">
        <f t="shared" si="14"/>
        <v>Construction Exemplaire Inc.</v>
      </c>
      <c r="G466" s="184"/>
      <c r="H466" s="183"/>
      <c r="I466" s="182"/>
      <c r="J466" s="185"/>
      <c r="K466" s="185"/>
      <c r="L466" s="185"/>
      <c r="M466" s="187"/>
      <c r="N466" s="185"/>
      <c r="O466" s="188"/>
      <c r="P466" s="188"/>
      <c r="Q466" s="189"/>
      <c r="R466" s="190"/>
      <c r="S466" s="190"/>
      <c r="T466" s="190"/>
      <c r="U466" s="191"/>
      <c r="V466" s="192"/>
      <c r="W466" s="193"/>
      <c r="X466" s="194"/>
      <c r="Y466" s="195"/>
      <c r="Z466" s="196"/>
      <c r="AA466" s="203"/>
      <c r="AB466" s="198"/>
      <c r="AC466" s="199"/>
      <c r="AD466" s="200"/>
      <c r="AE466" s="182"/>
      <c r="AF466" s="201"/>
      <c r="AG466" s="201"/>
    </row>
    <row r="467" spans="1:33" ht="31.5" customHeight="1" thickTop="1" thickBot="1">
      <c r="A467" s="217" t="str">
        <f t="shared" si="15"/>
        <v>#BL25-0002</v>
      </c>
      <c r="B467" s="181"/>
      <c r="C467" s="181"/>
      <c r="D467" s="184"/>
      <c r="E467" s="183"/>
      <c r="F467" s="184" t="str">
        <f t="shared" si="14"/>
        <v>Construction Exemplaire Inc.</v>
      </c>
      <c r="G467" s="184"/>
      <c r="H467" s="183"/>
      <c r="I467" s="182"/>
      <c r="J467" s="185"/>
      <c r="K467" s="185"/>
      <c r="L467" s="185"/>
      <c r="M467" s="187"/>
      <c r="N467" s="185"/>
      <c r="O467" s="188"/>
      <c r="P467" s="188"/>
      <c r="Q467" s="189"/>
      <c r="R467" s="190"/>
      <c r="S467" s="190"/>
      <c r="T467" s="190"/>
      <c r="U467" s="191"/>
      <c r="V467" s="192"/>
      <c r="W467" s="193"/>
      <c r="X467" s="194"/>
      <c r="Y467" s="195"/>
      <c r="Z467" s="196"/>
      <c r="AA467" s="203"/>
      <c r="AB467" s="198"/>
      <c r="AC467" s="199"/>
      <c r="AD467" s="200"/>
      <c r="AE467" s="182"/>
      <c r="AF467" s="201"/>
      <c r="AG467" s="201"/>
    </row>
    <row r="468" spans="1:33" ht="31.5" customHeight="1" thickTop="1" thickBot="1">
      <c r="A468" s="217" t="str">
        <f t="shared" si="15"/>
        <v>#BL25-0002</v>
      </c>
      <c r="B468" s="181"/>
      <c r="C468" s="181"/>
      <c r="D468" s="184"/>
      <c r="E468" s="183"/>
      <c r="F468" s="184" t="str">
        <f t="shared" si="14"/>
        <v>Construction Exemplaire Inc.</v>
      </c>
      <c r="G468" s="184"/>
      <c r="H468" s="183"/>
      <c r="I468" s="182"/>
      <c r="J468" s="185"/>
      <c r="K468" s="185"/>
      <c r="L468" s="185"/>
      <c r="M468" s="187"/>
      <c r="N468" s="185"/>
      <c r="O468" s="188"/>
      <c r="P468" s="188"/>
      <c r="Q468" s="189"/>
      <c r="R468" s="190"/>
      <c r="S468" s="190"/>
      <c r="T468" s="190"/>
      <c r="U468" s="191"/>
      <c r="V468" s="192"/>
      <c r="W468" s="193"/>
      <c r="X468" s="194"/>
      <c r="Y468" s="195"/>
      <c r="Z468" s="196"/>
      <c r="AA468" s="203"/>
      <c r="AB468" s="198"/>
      <c r="AC468" s="199"/>
      <c r="AD468" s="200"/>
      <c r="AE468" s="182"/>
      <c r="AF468" s="201"/>
      <c r="AG468" s="201"/>
    </row>
    <row r="469" spans="1:33" ht="31.5" customHeight="1" thickTop="1" thickBot="1">
      <c r="A469" s="217" t="str">
        <f t="shared" si="15"/>
        <v>#BL25-0002</v>
      </c>
      <c r="B469" s="181"/>
      <c r="C469" s="181"/>
      <c r="D469" s="184"/>
      <c r="E469" s="183"/>
      <c r="F469" s="184" t="str">
        <f t="shared" si="14"/>
        <v>Construction Exemplaire Inc.</v>
      </c>
      <c r="G469" s="184"/>
      <c r="H469" s="183"/>
      <c r="I469" s="182"/>
      <c r="J469" s="185"/>
      <c r="K469" s="185"/>
      <c r="L469" s="185"/>
      <c r="M469" s="187"/>
      <c r="N469" s="185"/>
      <c r="O469" s="188"/>
      <c r="P469" s="188"/>
      <c r="Q469" s="189"/>
      <c r="R469" s="190"/>
      <c r="S469" s="190"/>
      <c r="T469" s="190"/>
      <c r="U469" s="191"/>
      <c r="V469" s="192"/>
      <c r="W469" s="193"/>
      <c r="X469" s="194"/>
      <c r="Y469" s="195"/>
      <c r="Z469" s="196"/>
      <c r="AA469" s="203"/>
      <c r="AB469" s="198"/>
      <c r="AC469" s="199"/>
      <c r="AD469" s="200"/>
      <c r="AE469" s="182"/>
      <c r="AF469" s="201"/>
      <c r="AG469" s="201"/>
    </row>
    <row r="470" spans="1:33" ht="31.5" customHeight="1" thickTop="1" thickBot="1">
      <c r="A470" s="217" t="str">
        <f t="shared" si="15"/>
        <v>#BL25-0002</v>
      </c>
      <c r="B470" s="181"/>
      <c r="C470" s="181"/>
      <c r="D470" s="184"/>
      <c r="E470" s="183"/>
      <c r="F470" s="184" t="str">
        <f t="shared" si="14"/>
        <v>Construction Exemplaire Inc.</v>
      </c>
      <c r="G470" s="184"/>
      <c r="H470" s="183"/>
      <c r="I470" s="182"/>
      <c r="J470" s="185"/>
      <c r="K470" s="185"/>
      <c r="L470" s="185"/>
      <c r="M470" s="187"/>
      <c r="N470" s="185"/>
      <c r="O470" s="188"/>
      <c r="P470" s="188"/>
      <c r="Q470" s="189"/>
      <c r="R470" s="190"/>
      <c r="S470" s="190"/>
      <c r="T470" s="190"/>
      <c r="U470" s="191"/>
      <c r="V470" s="192"/>
      <c r="W470" s="193"/>
      <c r="X470" s="194"/>
      <c r="Y470" s="195"/>
      <c r="Z470" s="196"/>
      <c r="AA470" s="203"/>
      <c r="AB470" s="198"/>
      <c r="AC470" s="199"/>
      <c r="AD470" s="200"/>
      <c r="AE470" s="182"/>
      <c r="AF470" s="201"/>
      <c r="AG470" s="201"/>
    </row>
    <row r="471" spans="1:33" ht="31.5" customHeight="1" thickTop="1" thickBot="1">
      <c r="A471" s="217" t="str">
        <f t="shared" si="15"/>
        <v>#BL25-0002</v>
      </c>
      <c r="B471" s="181"/>
      <c r="C471" s="181"/>
      <c r="D471" s="184"/>
      <c r="E471" s="183"/>
      <c r="F471" s="184" t="str">
        <f t="shared" si="14"/>
        <v>Construction Exemplaire Inc.</v>
      </c>
      <c r="G471" s="184"/>
      <c r="H471" s="183"/>
      <c r="I471" s="182"/>
      <c r="J471" s="185"/>
      <c r="K471" s="185"/>
      <c r="L471" s="185"/>
      <c r="M471" s="187"/>
      <c r="N471" s="185"/>
      <c r="O471" s="206"/>
      <c r="P471" s="188"/>
      <c r="Q471" s="189"/>
      <c r="R471" s="190"/>
      <c r="S471" s="190"/>
      <c r="T471" s="190"/>
      <c r="U471" s="191"/>
      <c r="V471" s="192"/>
      <c r="W471" s="193"/>
      <c r="X471" s="194"/>
      <c r="Y471" s="195"/>
      <c r="Z471" s="196"/>
      <c r="AA471" s="203"/>
      <c r="AB471" s="198"/>
      <c r="AC471" s="199"/>
      <c r="AD471" s="200"/>
      <c r="AE471" s="182"/>
      <c r="AF471" s="201"/>
      <c r="AG471" s="201"/>
    </row>
    <row r="472" spans="1:33" ht="31.5" customHeight="1" thickTop="1" thickBot="1">
      <c r="A472" s="217" t="str">
        <f t="shared" si="15"/>
        <v>#BL25-0002</v>
      </c>
      <c r="B472" s="181"/>
      <c r="C472" s="181"/>
      <c r="D472" s="184"/>
      <c r="E472" s="183"/>
      <c r="F472" s="184" t="str">
        <f t="shared" si="14"/>
        <v>Construction Exemplaire Inc.</v>
      </c>
      <c r="G472" s="184"/>
      <c r="H472" s="183"/>
      <c r="I472" s="182"/>
      <c r="J472" s="185"/>
      <c r="K472" s="185"/>
      <c r="L472" s="185"/>
      <c r="M472" s="187"/>
      <c r="N472" s="185"/>
      <c r="O472" s="206"/>
      <c r="P472" s="188"/>
      <c r="Q472" s="189"/>
      <c r="R472" s="190"/>
      <c r="S472" s="190"/>
      <c r="T472" s="190"/>
      <c r="U472" s="191"/>
      <c r="V472" s="192"/>
      <c r="W472" s="193"/>
      <c r="X472" s="194"/>
      <c r="Y472" s="195"/>
      <c r="Z472" s="196"/>
      <c r="AA472" s="203"/>
      <c r="AB472" s="198"/>
      <c r="AC472" s="199"/>
      <c r="AD472" s="200"/>
      <c r="AE472" s="182"/>
      <c r="AF472" s="201"/>
      <c r="AG472" s="201"/>
    </row>
    <row r="473" spans="1:33" ht="31.5" customHeight="1" thickTop="1" thickBot="1">
      <c r="A473" s="217" t="str">
        <f t="shared" si="15"/>
        <v>#BL25-0002</v>
      </c>
      <c r="B473" s="181"/>
      <c r="C473" s="181"/>
      <c r="D473" s="184"/>
      <c r="E473" s="183"/>
      <c r="F473" s="184" t="str">
        <f t="shared" si="14"/>
        <v>Construction Exemplaire Inc.</v>
      </c>
      <c r="G473" s="184"/>
      <c r="H473" s="183"/>
      <c r="I473" s="182"/>
      <c r="J473" s="185"/>
      <c r="K473" s="185"/>
      <c r="L473" s="185"/>
      <c r="M473" s="187"/>
      <c r="N473" s="185"/>
      <c r="O473" s="206"/>
      <c r="P473" s="188"/>
      <c r="Q473" s="189"/>
      <c r="R473" s="190"/>
      <c r="S473" s="190"/>
      <c r="T473" s="190"/>
      <c r="U473" s="191"/>
      <c r="V473" s="192"/>
      <c r="W473" s="193"/>
      <c r="X473" s="194"/>
      <c r="Y473" s="195"/>
      <c r="Z473" s="196"/>
      <c r="AA473" s="203"/>
      <c r="AB473" s="198"/>
      <c r="AC473" s="199"/>
      <c r="AD473" s="200"/>
      <c r="AE473" s="182"/>
      <c r="AF473" s="201"/>
      <c r="AG473" s="201"/>
    </row>
    <row r="474" spans="1:33" ht="31.5" customHeight="1" thickTop="1" thickBot="1">
      <c r="A474" s="217" t="str">
        <f t="shared" si="15"/>
        <v>#BL25-0002</v>
      </c>
      <c r="B474" s="181"/>
      <c r="C474" s="181"/>
      <c r="D474" s="184"/>
      <c r="E474" s="183"/>
      <c r="F474" s="184" t="str">
        <f t="shared" si="14"/>
        <v>Construction Exemplaire Inc.</v>
      </c>
      <c r="G474" s="184"/>
      <c r="H474" s="183"/>
      <c r="I474" s="182"/>
      <c r="J474" s="185"/>
      <c r="K474" s="185"/>
      <c r="L474" s="185"/>
      <c r="M474" s="187"/>
      <c r="N474" s="185"/>
      <c r="O474" s="206"/>
      <c r="P474" s="188"/>
      <c r="Q474" s="189"/>
      <c r="R474" s="190"/>
      <c r="S474" s="190"/>
      <c r="T474" s="190"/>
      <c r="U474" s="191"/>
      <c r="V474" s="192"/>
      <c r="W474" s="193"/>
      <c r="X474" s="194"/>
      <c r="Y474" s="195"/>
      <c r="Z474" s="196"/>
      <c r="AA474" s="203"/>
      <c r="AB474" s="198"/>
      <c r="AC474" s="199"/>
      <c r="AD474" s="200"/>
      <c r="AE474" s="182"/>
      <c r="AF474" s="201"/>
      <c r="AG474" s="201"/>
    </row>
    <row r="475" spans="1:33" ht="31.5" customHeight="1" thickTop="1" thickBot="1">
      <c r="A475" s="217" t="str">
        <f t="shared" si="15"/>
        <v>#BL25-0002</v>
      </c>
      <c r="B475" s="181"/>
      <c r="C475" s="181"/>
      <c r="D475" s="184"/>
      <c r="E475" s="183"/>
      <c r="F475" s="184" t="str">
        <f t="shared" si="14"/>
        <v>Construction Exemplaire Inc.</v>
      </c>
      <c r="G475" s="184"/>
      <c r="H475" s="183"/>
      <c r="I475" s="182"/>
      <c r="J475" s="185"/>
      <c r="K475" s="185"/>
      <c r="L475" s="185"/>
      <c r="M475" s="187"/>
      <c r="N475" s="185"/>
      <c r="O475" s="206"/>
      <c r="P475" s="188"/>
      <c r="Q475" s="189"/>
      <c r="R475" s="190"/>
      <c r="S475" s="190"/>
      <c r="T475" s="190"/>
      <c r="U475" s="191"/>
      <c r="V475" s="192"/>
      <c r="W475" s="193"/>
      <c r="X475" s="194"/>
      <c r="Y475" s="195"/>
      <c r="Z475" s="196"/>
      <c r="AA475" s="203"/>
      <c r="AB475" s="198"/>
      <c r="AC475" s="199"/>
      <c r="AD475" s="200"/>
      <c r="AE475" s="182"/>
      <c r="AF475" s="201"/>
      <c r="AG475" s="201"/>
    </row>
    <row r="476" spans="1:33" ht="40.5" customHeight="1" thickTop="1" thickBot="1">
      <c r="A476" s="217" t="str">
        <f t="shared" si="15"/>
        <v>#BL25-0002</v>
      </c>
      <c r="B476" s="181"/>
      <c r="C476" s="181"/>
      <c r="D476" s="184"/>
      <c r="E476" s="183"/>
      <c r="F476" s="184" t="str">
        <f t="shared" si="14"/>
        <v>Construction Exemplaire Inc.</v>
      </c>
      <c r="G476" s="184"/>
      <c r="H476" s="183"/>
      <c r="I476" s="182"/>
      <c r="J476" s="185"/>
      <c r="K476" s="185"/>
      <c r="L476" s="185"/>
      <c r="M476" s="187"/>
      <c r="N476" s="185"/>
      <c r="O476" s="188"/>
      <c r="P476" s="188"/>
      <c r="Q476" s="189"/>
      <c r="R476" s="190"/>
      <c r="S476" s="190"/>
      <c r="T476" s="190"/>
      <c r="U476" s="191"/>
      <c r="V476" s="192"/>
      <c r="W476" s="193"/>
      <c r="X476" s="194"/>
      <c r="Y476" s="195"/>
      <c r="Z476" s="196"/>
      <c r="AA476" s="203"/>
      <c r="AB476" s="198"/>
      <c r="AC476" s="199"/>
      <c r="AD476" s="200"/>
      <c r="AE476" s="182"/>
      <c r="AF476" s="201"/>
      <c r="AG476" s="201"/>
    </row>
    <row r="477" spans="1:33" ht="40.5" customHeight="1" thickTop="1" thickBot="1">
      <c r="A477" s="217" t="str">
        <f t="shared" si="15"/>
        <v>#BL25-0002</v>
      </c>
      <c r="B477" s="181"/>
      <c r="C477" s="181"/>
      <c r="D477" s="184"/>
      <c r="E477" s="183"/>
      <c r="F477" s="184" t="str">
        <f t="shared" si="14"/>
        <v>Construction Exemplaire Inc.</v>
      </c>
      <c r="G477" s="184"/>
      <c r="H477" s="183"/>
      <c r="I477" s="182"/>
      <c r="J477" s="185"/>
      <c r="K477" s="185"/>
      <c r="L477" s="185"/>
      <c r="M477" s="187"/>
      <c r="N477" s="185"/>
      <c r="O477" s="188"/>
      <c r="P477" s="188"/>
      <c r="Q477" s="189"/>
      <c r="R477" s="190"/>
      <c r="S477" s="190"/>
      <c r="T477" s="190"/>
      <c r="U477" s="191"/>
      <c r="V477" s="192"/>
      <c r="W477" s="193"/>
      <c r="X477" s="194"/>
      <c r="Y477" s="195"/>
      <c r="Z477" s="196"/>
      <c r="AA477" s="203"/>
      <c r="AB477" s="198"/>
      <c r="AC477" s="199"/>
      <c r="AD477" s="200"/>
      <c r="AE477" s="182"/>
      <c r="AF477" s="201"/>
      <c r="AG477" s="201"/>
    </row>
    <row r="478" spans="1:33" ht="40.5" customHeight="1" thickTop="1" thickBot="1">
      <c r="A478" s="217" t="str">
        <f t="shared" si="15"/>
        <v>#BL25-0002</v>
      </c>
      <c r="B478" s="181"/>
      <c r="C478" s="181"/>
      <c r="D478" s="184"/>
      <c r="E478" s="183"/>
      <c r="F478" s="184" t="str">
        <f t="shared" si="14"/>
        <v>Construction Exemplaire Inc.</v>
      </c>
      <c r="G478" s="184"/>
      <c r="H478" s="183"/>
      <c r="I478" s="182"/>
      <c r="J478" s="185"/>
      <c r="K478" s="185"/>
      <c r="L478" s="185"/>
      <c r="M478" s="187"/>
      <c r="N478" s="185"/>
      <c r="O478" s="188"/>
      <c r="P478" s="188"/>
      <c r="Q478" s="189"/>
      <c r="R478" s="190"/>
      <c r="S478" s="190"/>
      <c r="T478" s="190"/>
      <c r="U478" s="191"/>
      <c r="V478" s="192"/>
      <c r="W478" s="193"/>
      <c r="X478" s="194"/>
      <c r="Y478" s="195"/>
      <c r="Z478" s="196"/>
      <c r="AA478" s="203"/>
      <c r="AB478" s="198"/>
      <c r="AC478" s="199"/>
      <c r="AD478" s="200"/>
      <c r="AE478" s="182"/>
      <c r="AF478" s="201"/>
      <c r="AG478" s="201"/>
    </row>
    <row r="479" spans="1:33" ht="40.5" customHeight="1" thickTop="1" thickBot="1">
      <c r="A479" s="217" t="str">
        <f t="shared" si="15"/>
        <v>#BL25-0002</v>
      </c>
      <c r="B479" s="181"/>
      <c r="C479" s="181"/>
      <c r="D479" s="184"/>
      <c r="E479" s="183"/>
      <c r="F479" s="184" t="str">
        <f t="shared" si="14"/>
        <v>Construction Exemplaire Inc.</v>
      </c>
      <c r="G479" s="184"/>
      <c r="H479" s="183"/>
      <c r="I479" s="182"/>
      <c r="J479" s="185"/>
      <c r="K479" s="185"/>
      <c r="L479" s="185"/>
      <c r="M479" s="187"/>
      <c r="N479" s="185"/>
      <c r="O479" s="188"/>
      <c r="P479" s="188"/>
      <c r="Q479" s="189"/>
      <c r="R479" s="190"/>
      <c r="S479" s="190"/>
      <c r="T479" s="190"/>
      <c r="U479" s="191"/>
      <c r="V479" s="192"/>
      <c r="W479" s="193"/>
      <c r="X479" s="194"/>
      <c r="Y479" s="195"/>
      <c r="Z479" s="196"/>
      <c r="AA479" s="203"/>
      <c r="AB479" s="198"/>
      <c r="AC479" s="199"/>
      <c r="AD479" s="200"/>
      <c r="AE479" s="182"/>
      <c r="AF479" s="201"/>
      <c r="AG479" s="201"/>
    </row>
    <row r="480" spans="1:33" ht="25.5" customHeight="1" thickTop="1" thickBot="1">
      <c r="A480" s="217" t="str">
        <f t="shared" si="15"/>
        <v>#BL25-0002</v>
      </c>
      <c r="B480" s="181"/>
      <c r="C480" s="181"/>
      <c r="D480" s="184"/>
      <c r="E480" s="183"/>
      <c r="F480" s="184" t="str">
        <f t="shared" si="14"/>
        <v>Construction Exemplaire Inc.</v>
      </c>
      <c r="G480" s="184"/>
      <c r="H480" s="183"/>
      <c r="I480" s="182"/>
      <c r="J480" s="185"/>
      <c r="K480" s="185"/>
      <c r="L480" s="185"/>
      <c r="M480" s="187"/>
      <c r="N480" s="185"/>
      <c r="O480" s="188"/>
      <c r="P480" s="188"/>
      <c r="Q480" s="189"/>
      <c r="R480" s="190"/>
      <c r="S480" s="190"/>
      <c r="T480" s="190"/>
      <c r="U480" s="191"/>
      <c r="V480" s="192"/>
      <c r="W480" s="193"/>
      <c r="X480" s="194"/>
      <c r="Y480" s="195"/>
      <c r="Z480" s="196"/>
      <c r="AA480" s="203"/>
      <c r="AB480" s="198"/>
      <c r="AC480" s="199"/>
      <c r="AD480" s="200"/>
      <c r="AE480" s="182"/>
      <c r="AF480" s="201"/>
      <c r="AG480" s="201"/>
    </row>
    <row r="481" spans="1:33" ht="25.5" customHeight="1" thickTop="1" thickBot="1">
      <c r="A481" s="217" t="str">
        <f t="shared" si="15"/>
        <v>#BL25-0002</v>
      </c>
      <c r="B481" s="181"/>
      <c r="C481" s="181"/>
      <c r="D481" s="207"/>
      <c r="E481" s="183"/>
      <c r="F481" s="184" t="str">
        <f t="shared" si="14"/>
        <v>Construction Exemplaire Inc.</v>
      </c>
      <c r="G481" s="184"/>
      <c r="H481" s="183"/>
      <c r="I481" s="182"/>
      <c r="J481" s="185"/>
      <c r="K481" s="185"/>
      <c r="L481" s="185"/>
      <c r="M481" s="187"/>
      <c r="N481" s="185"/>
      <c r="O481" s="188"/>
      <c r="P481" s="188"/>
      <c r="Q481" s="189"/>
      <c r="R481" s="190"/>
      <c r="S481" s="190"/>
      <c r="T481" s="190"/>
      <c r="U481" s="191"/>
      <c r="V481" s="192"/>
      <c r="W481" s="193"/>
      <c r="X481" s="194"/>
      <c r="Y481" s="195"/>
      <c r="Z481" s="196"/>
      <c r="AA481" s="203"/>
      <c r="AB481" s="198"/>
      <c r="AC481" s="199"/>
      <c r="AD481" s="200"/>
      <c r="AE481" s="182"/>
      <c r="AF481" s="201"/>
      <c r="AG481" s="201"/>
    </row>
    <row r="482" spans="1:33" ht="25.5" customHeight="1" thickTop="1" thickBot="1">
      <c r="A482" s="217" t="str">
        <f t="shared" si="15"/>
        <v>#BL25-0002</v>
      </c>
      <c r="B482" s="181"/>
      <c r="C482" s="181"/>
      <c r="D482" s="210"/>
      <c r="E482" s="183"/>
      <c r="F482" s="184" t="str">
        <f t="shared" si="14"/>
        <v>Construction Exemplaire Inc.</v>
      </c>
      <c r="G482" s="184"/>
      <c r="H482" s="183"/>
      <c r="I482" s="182"/>
      <c r="J482" s="185"/>
      <c r="K482" s="185"/>
      <c r="L482" s="185"/>
      <c r="M482" s="187"/>
      <c r="N482" s="185"/>
      <c r="O482" s="188"/>
      <c r="P482" s="188"/>
      <c r="Q482" s="189"/>
      <c r="R482" s="190"/>
      <c r="S482" s="190"/>
      <c r="T482" s="190"/>
      <c r="U482" s="191"/>
      <c r="V482" s="192"/>
      <c r="W482" s="193"/>
      <c r="X482" s="194"/>
      <c r="Y482" s="195"/>
      <c r="Z482" s="196"/>
      <c r="AA482" s="203"/>
      <c r="AB482" s="198"/>
      <c r="AC482" s="199"/>
      <c r="AD482" s="200"/>
      <c r="AE482" s="182"/>
      <c r="AF482" s="201"/>
      <c r="AG482" s="201"/>
    </row>
    <row r="483" spans="1:33" ht="25.5" customHeight="1" thickTop="1" thickBot="1">
      <c r="A483" s="217" t="str">
        <f t="shared" si="15"/>
        <v>#BL25-0002</v>
      </c>
      <c r="B483" s="181"/>
      <c r="C483" s="181"/>
      <c r="D483" s="210"/>
      <c r="E483" s="183"/>
      <c r="F483" s="184" t="str">
        <f t="shared" si="14"/>
        <v>Construction Exemplaire Inc.</v>
      </c>
      <c r="G483" s="184"/>
      <c r="H483" s="183"/>
      <c r="I483" s="182"/>
      <c r="J483" s="185"/>
      <c r="K483" s="185"/>
      <c r="L483" s="185"/>
      <c r="M483" s="187"/>
      <c r="N483" s="185"/>
      <c r="O483" s="188"/>
      <c r="P483" s="188"/>
      <c r="Q483" s="189"/>
      <c r="R483" s="190"/>
      <c r="S483" s="190"/>
      <c r="T483" s="190"/>
      <c r="U483" s="191"/>
      <c r="V483" s="192"/>
      <c r="W483" s="193"/>
      <c r="X483" s="194"/>
      <c r="Y483" s="195"/>
      <c r="Z483" s="196"/>
      <c r="AA483" s="203"/>
      <c r="AB483" s="198"/>
      <c r="AC483" s="199"/>
      <c r="AD483" s="200"/>
      <c r="AE483" s="182"/>
      <c r="AF483" s="201"/>
      <c r="AG483" s="201"/>
    </row>
    <row r="484" spans="1:33" ht="25.5" customHeight="1" thickTop="1" thickBot="1">
      <c r="A484" s="217" t="str">
        <f t="shared" si="15"/>
        <v>#BL25-0002</v>
      </c>
      <c r="B484" s="181"/>
      <c r="C484" s="181"/>
      <c r="D484" s="210"/>
      <c r="E484" s="183"/>
      <c r="F484" s="184" t="str">
        <f t="shared" si="14"/>
        <v>Construction Exemplaire Inc.</v>
      </c>
      <c r="G484" s="184"/>
      <c r="H484" s="183"/>
      <c r="I484" s="182"/>
      <c r="J484" s="185"/>
      <c r="K484" s="185"/>
      <c r="L484" s="185"/>
      <c r="M484" s="187"/>
      <c r="N484" s="185"/>
      <c r="O484" s="188"/>
      <c r="P484" s="188"/>
      <c r="Q484" s="189"/>
      <c r="R484" s="190"/>
      <c r="S484" s="190"/>
      <c r="T484" s="190"/>
      <c r="U484" s="191"/>
      <c r="V484" s="192"/>
      <c r="W484" s="193"/>
      <c r="X484" s="194"/>
      <c r="Y484" s="195"/>
      <c r="Z484" s="196"/>
      <c r="AA484" s="203"/>
      <c r="AB484" s="198"/>
      <c r="AC484" s="199"/>
      <c r="AD484" s="200"/>
      <c r="AE484" s="182"/>
      <c r="AF484" s="201"/>
      <c r="AG484" s="201"/>
    </row>
    <row r="485" spans="1:33" ht="25.5" customHeight="1" thickTop="1" thickBot="1">
      <c r="A485" s="217" t="str">
        <f t="shared" si="15"/>
        <v>#BL25-0002</v>
      </c>
      <c r="B485" s="181"/>
      <c r="C485" s="181"/>
      <c r="D485" s="210"/>
      <c r="E485" s="183"/>
      <c r="F485" s="184" t="str">
        <f t="shared" si="14"/>
        <v>Construction Exemplaire Inc.</v>
      </c>
      <c r="G485" s="184"/>
      <c r="H485" s="183"/>
      <c r="I485" s="182"/>
      <c r="J485" s="185"/>
      <c r="K485" s="185"/>
      <c r="L485" s="185"/>
      <c r="M485" s="187"/>
      <c r="N485" s="185"/>
      <c r="O485" s="188"/>
      <c r="P485" s="188"/>
      <c r="Q485" s="189"/>
      <c r="R485" s="190"/>
      <c r="S485" s="190"/>
      <c r="T485" s="190"/>
      <c r="U485" s="191"/>
      <c r="V485" s="192"/>
      <c r="W485" s="193"/>
      <c r="X485" s="194"/>
      <c r="Y485" s="195"/>
      <c r="Z485" s="196"/>
      <c r="AA485" s="203"/>
      <c r="AB485" s="198"/>
      <c r="AC485" s="199"/>
      <c r="AD485" s="200"/>
      <c r="AE485" s="182"/>
      <c r="AF485" s="201"/>
      <c r="AG485" s="201"/>
    </row>
    <row r="486" spans="1:33" ht="25.5" customHeight="1" thickTop="1" thickBot="1">
      <c r="A486" s="217" t="str">
        <f t="shared" si="15"/>
        <v>#BL25-0002</v>
      </c>
      <c r="B486" s="181"/>
      <c r="C486" s="181"/>
      <c r="D486" s="210"/>
      <c r="E486" s="183"/>
      <c r="F486" s="184" t="str">
        <f t="shared" si="14"/>
        <v>Construction Exemplaire Inc.</v>
      </c>
      <c r="G486" s="184"/>
      <c r="H486" s="183"/>
      <c r="I486" s="182"/>
      <c r="J486" s="185"/>
      <c r="K486" s="185"/>
      <c r="L486" s="185"/>
      <c r="M486" s="187"/>
      <c r="N486" s="185"/>
      <c r="O486" s="188"/>
      <c r="P486" s="188"/>
      <c r="Q486" s="189"/>
      <c r="R486" s="190"/>
      <c r="S486" s="190"/>
      <c r="T486" s="190"/>
      <c r="U486" s="191"/>
      <c r="V486" s="192"/>
      <c r="W486" s="193"/>
      <c r="X486" s="194"/>
      <c r="Y486" s="195"/>
      <c r="Z486" s="196"/>
      <c r="AA486" s="203"/>
      <c r="AB486" s="198"/>
      <c r="AC486" s="199"/>
      <c r="AD486" s="200"/>
      <c r="AE486" s="182"/>
      <c r="AF486" s="201"/>
      <c r="AG486" s="201"/>
    </row>
    <row r="487" spans="1:33" ht="25.5" customHeight="1" thickTop="1" thickBot="1">
      <c r="A487" s="217" t="str">
        <f t="shared" si="15"/>
        <v>#BL25-0002</v>
      </c>
      <c r="B487" s="181"/>
      <c r="C487" s="181"/>
      <c r="D487" s="210"/>
      <c r="E487" s="183"/>
      <c r="F487" s="184" t="str">
        <f t="shared" si="14"/>
        <v>Construction Exemplaire Inc.</v>
      </c>
      <c r="G487" s="184"/>
      <c r="H487" s="183"/>
      <c r="I487" s="182"/>
      <c r="J487" s="185"/>
      <c r="K487" s="185"/>
      <c r="L487" s="185"/>
      <c r="M487" s="187"/>
      <c r="N487" s="185"/>
      <c r="O487" s="188"/>
      <c r="P487" s="188"/>
      <c r="Q487" s="189"/>
      <c r="R487" s="190"/>
      <c r="S487" s="190"/>
      <c r="T487" s="190"/>
      <c r="U487" s="191"/>
      <c r="V487" s="192"/>
      <c r="W487" s="193"/>
      <c r="X487" s="194"/>
      <c r="Y487" s="195"/>
      <c r="Z487" s="196"/>
      <c r="AA487" s="203"/>
      <c r="AB487" s="198"/>
      <c r="AC487" s="199"/>
      <c r="AD487" s="200"/>
      <c r="AE487" s="182"/>
      <c r="AF487" s="201"/>
      <c r="AG487" s="201"/>
    </row>
    <row r="488" spans="1:33" ht="25.5" customHeight="1" thickTop="1" thickBot="1">
      <c r="A488" s="217" t="str">
        <f t="shared" si="15"/>
        <v>#BL25-0002</v>
      </c>
      <c r="B488" s="181"/>
      <c r="C488" s="181"/>
      <c r="D488" s="210"/>
      <c r="E488" s="183"/>
      <c r="F488" s="184" t="str">
        <f t="shared" si="14"/>
        <v>Construction Exemplaire Inc.</v>
      </c>
      <c r="G488" s="184"/>
      <c r="H488" s="183"/>
      <c r="I488" s="182"/>
      <c r="J488" s="185"/>
      <c r="K488" s="185"/>
      <c r="L488" s="185"/>
      <c r="M488" s="187"/>
      <c r="N488" s="185"/>
      <c r="O488" s="188"/>
      <c r="P488" s="188"/>
      <c r="Q488" s="189"/>
      <c r="R488" s="190"/>
      <c r="S488" s="190"/>
      <c r="T488" s="190"/>
      <c r="U488" s="191"/>
      <c r="V488" s="192"/>
      <c r="W488" s="193"/>
      <c r="X488" s="194"/>
      <c r="Y488" s="195"/>
      <c r="Z488" s="196"/>
      <c r="AA488" s="203"/>
      <c r="AB488" s="198"/>
      <c r="AC488" s="199"/>
      <c r="AD488" s="200"/>
      <c r="AE488" s="182"/>
      <c r="AF488" s="201"/>
      <c r="AG488" s="201"/>
    </row>
    <row r="489" spans="1:33" ht="25.5" customHeight="1" thickTop="1" thickBot="1">
      <c r="A489" s="217" t="str">
        <f t="shared" si="15"/>
        <v>#BL25-0002</v>
      </c>
      <c r="B489" s="181"/>
      <c r="C489" s="181"/>
      <c r="D489" s="208"/>
      <c r="E489" s="183"/>
      <c r="F489" s="184" t="str">
        <f t="shared" si="14"/>
        <v>Construction Exemplaire Inc.</v>
      </c>
      <c r="G489" s="184"/>
      <c r="H489" s="183"/>
      <c r="I489" s="182"/>
      <c r="J489" s="185"/>
      <c r="K489" s="185"/>
      <c r="L489" s="185"/>
      <c r="M489" s="187"/>
      <c r="N489" s="185"/>
      <c r="O489" s="188"/>
      <c r="P489" s="188"/>
      <c r="Q489" s="189"/>
      <c r="R489" s="190"/>
      <c r="S489" s="190"/>
      <c r="T489" s="190"/>
      <c r="U489" s="191"/>
      <c r="V489" s="192"/>
      <c r="W489" s="193"/>
      <c r="X489" s="194"/>
      <c r="Y489" s="195"/>
      <c r="Z489" s="196"/>
      <c r="AA489" s="203"/>
      <c r="AB489" s="198"/>
      <c r="AC489" s="199"/>
      <c r="AD489" s="200"/>
      <c r="AE489" s="182"/>
      <c r="AF489" s="201"/>
      <c r="AG489" s="201"/>
    </row>
    <row r="490" spans="1:33" ht="25.5" customHeight="1" thickTop="1" thickBot="1">
      <c r="A490" s="217" t="str">
        <f t="shared" si="15"/>
        <v>#BL25-0002</v>
      </c>
      <c r="B490" s="181"/>
      <c r="C490" s="181"/>
      <c r="D490" s="208"/>
      <c r="E490" s="183"/>
      <c r="F490" s="184" t="str">
        <f t="shared" si="14"/>
        <v>Construction Exemplaire Inc.</v>
      </c>
      <c r="G490" s="184"/>
      <c r="H490" s="183"/>
      <c r="I490" s="182"/>
      <c r="J490" s="185"/>
      <c r="K490" s="185"/>
      <c r="L490" s="185"/>
      <c r="M490" s="187"/>
      <c r="N490" s="185"/>
      <c r="O490" s="188"/>
      <c r="P490" s="188"/>
      <c r="Q490" s="189"/>
      <c r="R490" s="190"/>
      <c r="S490" s="190"/>
      <c r="T490" s="190"/>
      <c r="U490" s="191"/>
      <c r="V490" s="192"/>
      <c r="W490" s="193"/>
      <c r="X490" s="194"/>
      <c r="Y490" s="195"/>
      <c r="Z490" s="196"/>
      <c r="AA490" s="203"/>
      <c r="AB490" s="198"/>
      <c r="AC490" s="199"/>
      <c r="AD490" s="200"/>
      <c r="AE490" s="182"/>
      <c r="AF490" s="201"/>
      <c r="AG490" s="201"/>
    </row>
    <row r="491" spans="1:33" ht="25.5" customHeight="1" thickTop="1" thickBot="1">
      <c r="A491" s="217" t="str">
        <f t="shared" si="15"/>
        <v>#BL25-0002</v>
      </c>
      <c r="B491" s="181"/>
      <c r="C491" s="181"/>
      <c r="D491" s="208"/>
      <c r="E491" s="183"/>
      <c r="F491" s="184" t="str">
        <f t="shared" si="14"/>
        <v>Construction Exemplaire Inc.</v>
      </c>
      <c r="G491" s="184"/>
      <c r="H491" s="183"/>
      <c r="I491" s="182"/>
      <c r="J491" s="185"/>
      <c r="K491" s="185"/>
      <c r="L491" s="185"/>
      <c r="M491" s="187"/>
      <c r="N491" s="185"/>
      <c r="O491" s="188"/>
      <c r="P491" s="188"/>
      <c r="Q491" s="189"/>
      <c r="R491" s="190"/>
      <c r="S491" s="190"/>
      <c r="T491" s="190"/>
      <c r="U491" s="191"/>
      <c r="V491" s="192"/>
      <c r="W491" s="193"/>
      <c r="X491" s="194"/>
      <c r="Y491" s="195"/>
      <c r="Z491" s="196"/>
      <c r="AA491" s="203"/>
      <c r="AB491" s="198"/>
      <c r="AC491" s="199"/>
      <c r="AD491" s="200"/>
      <c r="AE491" s="182"/>
      <c r="AF491" s="201"/>
      <c r="AG491" s="201"/>
    </row>
    <row r="492" spans="1:33" ht="25.5" customHeight="1" thickTop="1" thickBot="1">
      <c r="A492" s="217" t="str">
        <f t="shared" si="15"/>
        <v>#BL25-0002</v>
      </c>
      <c r="B492" s="181"/>
      <c r="C492" s="181"/>
      <c r="D492" s="207"/>
      <c r="E492" s="183"/>
      <c r="F492" s="184" t="str">
        <f t="shared" si="14"/>
        <v>Construction Exemplaire Inc.</v>
      </c>
      <c r="G492" s="184"/>
      <c r="H492" s="183"/>
      <c r="I492" s="182"/>
      <c r="J492" s="185"/>
      <c r="K492" s="185"/>
      <c r="L492" s="185"/>
      <c r="M492" s="187"/>
      <c r="N492" s="185"/>
      <c r="O492" s="188"/>
      <c r="P492" s="188"/>
      <c r="Q492" s="189"/>
      <c r="R492" s="190"/>
      <c r="S492" s="190"/>
      <c r="T492" s="190"/>
      <c r="U492" s="191"/>
      <c r="V492" s="192"/>
      <c r="W492" s="193"/>
      <c r="X492" s="194"/>
      <c r="Y492" s="195"/>
      <c r="Z492" s="196"/>
      <c r="AA492" s="203"/>
      <c r="AB492" s="198"/>
      <c r="AC492" s="199"/>
      <c r="AD492" s="200"/>
      <c r="AE492" s="182"/>
      <c r="AF492" s="201"/>
      <c r="AG492" s="201"/>
    </row>
    <row r="493" spans="1:33" ht="25.5" customHeight="1" thickTop="1" thickBot="1">
      <c r="A493" s="217" t="str">
        <f t="shared" si="15"/>
        <v>#BL25-0002</v>
      </c>
      <c r="B493" s="181"/>
      <c r="C493" s="181"/>
      <c r="D493" s="207"/>
      <c r="E493" s="183"/>
      <c r="F493" s="184" t="str">
        <f t="shared" si="14"/>
        <v>Construction Exemplaire Inc.</v>
      </c>
      <c r="G493" s="184"/>
      <c r="H493" s="183"/>
      <c r="I493" s="182"/>
      <c r="J493" s="185"/>
      <c r="K493" s="185"/>
      <c r="L493" s="185"/>
      <c r="M493" s="187"/>
      <c r="N493" s="185"/>
      <c r="O493" s="188"/>
      <c r="P493" s="188"/>
      <c r="Q493" s="189"/>
      <c r="R493" s="190"/>
      <c r="S493" s="190"/>
      <c r="T493" s="190"/>
      <c r="U493" s="191"/>
      <c r="V493" s="192"/>
      <c r="W493" s="193"/>
      <c r="X493" s="194"/>
      <c r="Y493" s="195"/>
      <c r="Z493" s="196"/>
      <c r="AA493" s="203"/>
      <c r="AB493" s="198"/>
      <c r="AC493" s="199"/>
      <c r="AD493" s="200"/>
      <c r="AE493" s="182"/>
      <c r="AF493" s="201"/>
      <c r="AG493" s="201"/>
    </row>
    <row r="494" spans="1:33" ht="25.5" customHeight="1" thickTop="1" thickBot="1">
      <c r="A494" s="217" t="str">
        <f t="shared" si="15"/>
        <v>#BL25-0002</v>
      </c>
      <c r="B494" s="181"/>
      <c r="C494" s="181"/>
      <c r="D494" s="207"/>
      <c r="E494" s="183"/>
      <c r="F494" s="184" t="str">
        <f t="shared" si="14"/>
        <v>Construction Exemplaire Inc.</v>
      </c>
      <c r="G494" s="184"/>
      <c r="H494" s="183"/>
      <c r="I494" s="182"/>
      <c r="J494" s="185"/>
      <c r="K494" s="185"/>
      <c r="L494" s="185"/>
      <c r="M494" s="187"/>
      <c r="N494" s="185"/>
      <c r="O494" s="188"/>
      <c r="P494" s="188"/>
      <c r="Q494" s="189"/>
      <c r="R494" s="190"/>
      <c r="S494" s="190"/>
      <c r="T494" s="190"/>
      <c r="U494" s="191"/>
      <c r="V494" s="192"/>
      <c r="W494" s="193"/>
      <c r="X494" s="194"/>
      <c r="Y494" s="195"/>
      <c r="Z494" s="196"/>
      <c r="AA494" s="203"/>
      <c r="AB494" s="198"/>
      <c r="AC494" s="199"/>
      <c r="AD494" s="200"/>
      <c r="AE494" s="182"/>
      <c r="AF494" s="201"/>
      <c r="AG494" s="201"/>
    </row>
    <row r="495" spans="1:33" ht="25.5" customHeight="1" thickTop="1" thickBot="1">
      <c r="A495" s="217" t="str">
        <f t="shared" si="15"/>
        <v>#BL25-0002</v>
      </c>
      <c r="B495" s="181"/>
      <c r="C495" s="181"/>
      <c r="D495" s="207"/>
      <c r="E495" s="183"/>
      <c r="F495" s="184" t="str">
        <f t="shared" si="14"/>
        <v>Construction Exemplaire Inc.</v>
      </c>
      <c r="G495" s="184"/>
      <c r="H495" s="183"/>
      <c r="I495" s="182"/>
      <c r="J495" s="185"/>
      <c r="K495" s="185"/>
      <c r="L495" s="185"/>
      <c r="M495" s="187"/>
      <c r="N495" s="185"/>
      <c r="O495" s="188"/>
      <c r="P495" s="188"/>
      <c r="Q495" s="189"/>
      <c r="R495" s="190"/>
      <c r="S495" s="190"/>
      <c r="T495" s="190"/>
      <c r="U495" s="191"/>
      <c r="V495" s="192"/>
      <c r="W495" s="193"/>
      <c r="X495" s="194"/>
      <c r="Y495" s="195"/>
      <c r="Z495" s="196"/>
      <c r="AA495" s="203"/>
      <c r="AB495" s="198"/>
      <c r="AC495" s="199"/>
      <c r="AD495" s="200"/>
      <c r="AE495" s="182"/>
      <c r="AF495" s="201"/>
      <c r="AG495" s="201"/>
    </row>
    <row r="496" spans="1:33" ht="25.5" customHeight="1" thickTop="1" thickBot="1">
      <c r="A496" s="217" t="str">
        <f t="shared" si="15"/>
        <v>#BL25-0002</v>
      </c>
      <c r="B496" s="181"/>
      <c r="C496" s="181"/>
      <c r="D496" s="207"/>
      <c r="E496" s="183"/>
      <c r="F496" s="184" t="str">
        <f t="shared" si="14"/>
        <v>Construction Exemplaire Inc.</v>
      </c>
      <c r="G496" s="184"/>
      <c r="H496" s="183"/>
      <c r="I496" s="182"/>
      <c r="J496" s="185"/>
      <c r="K496" s="185"/>
      <c r="L496" s="185"/>
      <c r="M496" s="187"/>
      <c r="N496" s="185"/>
      <c r="O496" s="188"/>
      <c r="P496" s="188"/>
      <c r="Q496" s="189"/>
      <c r="R496" s="190"/>
      <c r="S496" s="190"/>
      <c r="T496" s="190"/>
      <c r="U496" s="191"/>
      <c r="V496" s="192"/>
      <c r="W496" s="193"/>
      <c r="X496" s="194"/>
      <c r="Y496" s="195"/>
      <c r="Z496" s="196"/>
      <c r="AA496" s="203"/>
      <c r="AB496" s="198"/>
      <c r="AC496" s="199"/>
      <c r="AD496" s="200"/>
      <c r="AE496" s="182"/>
      <c r="AF496" s="201"/>
      <c r="AG496" s="201"/>
    </row>
    <row r="497" spans="1:33" ht="25.5" customHeight="1" thickTop="1" thickBot="1">
      <c r="A497" s="217" t="str">
        <f t="shared" si="15"/>
        <v>#BL25-0002</v>
      </c>
      <c r="B497" s="181"/>
      <c r="C497" s="181"/>
      <c r="D497" s="207"/>
      <c r="E497" s="183"/>
      <c r="F497" s="184" t="str">
        <f t="shared" si="14"/>
        <v>Construction Exemplaire Inc.</v>
      </c>
      <c r="G497" s="184"/>
      <c r="H497" s="183"/>
      <c r="I497" s="182"/>
      <c r="J497" s="185"/>
      <c r="K497" s="185"/>
      <c r="L497" s="185"/>
      <c r="M497" s="187"/>
      <c r="N497" s="185"/>
      <c r="O497" s="188"/>
      <c r="P497" s="188"/>
      <c r="Q497" s="189"/>
      <c r="R497" s="190"/>
      <c r="S497" s="190"/>
      <c r="T497" s="190"/>
      <c r="U497" s="191"/>
      <c r="V497" s="192"/>
      <c r="W497" s="193"/>
      <c r="X497" s="194"/>
      <c r="Y497" s="195"/>
      <c r="Z497" s="196"/>
      <c r="AA497" s="203"/>
      <c r="AB497" s="198"/>
      <c r="AC497" s="199"/>
      <c r="AD497" s="200"/>
      <c r="AE497" s="182"/>
      <c r="AF497" s="201"/>
      <c r="AG497" s="201"/>
    </row>
    <row r="498" spans="1:33" ht="25.5" customHeight="1" thickTop="1" thickBot="1">
      <c r="A498" s="217" t="str">
        <f t="shared" si="15"/>
        <v>#BL25-0002</v>
      </c>
      <c r="B498" s="181"/>
      <c r="C498" s="181"/>
      <c r="D498" s="207"/>
      <c r="E498" s="183"/>
      <c r="F498" s="184" t="str">
        <f t="shared" si="14"/>
        <v>Construction Exemplaire Inc.</v>
      </c>
      <c r="G498" s="184"/>
      <c r="H498" s="183"/>
      <c r="I498" s="182"/>
      <c r="J498" s="185"/>
      <c r="K498" s="185"/>
      <c r="L498" s="185"/>
      <c r="M498" s="187"/>
      <c r="N498" s="185"/>
      <c r="O498" s="188"/>
      <c r="P498" s="188"/>
      <c r="Q498" s="189"/>
      <c r="R498" s="190"/>
      <c r="S498" s="190"/>
      <c r="T498" s="190"/>
      <c r="U498" s="191"/>
      <c r="V498" s="192"/>
      <c r="W498" s="193"/>
      <c r="X498" s="194"/>
      <c r="Y498" s="195"/>
      <c r="Z498" s="196"/>
      <c r="AA498" s="203"/>
      <c r="AB498" s="198"/>
      <c r="AC498" s="199"/>
      <c r="AD498" s="200"/>
      <c r="AE498" s="182"/>
      <c r="AF498" s="201"/>
      <c r="AG498" s="201"/>
    </row>
    <row r="499" spans="1:33" ht="25.5" customHeight="1" thickTop="1" thickBot="1">
      <c r="A499" s="217" t="str">
        <f t="shared" si="15"/>
        <v>#BL25-0002</v>
      </c>
      <c r="B499" s="181"/>
      <c r="C499" s="181"/>
      <c r="D499" s="208"/>
      <c r="E499" s="183"/>
      <c r="F499" s="184" t="str">
        <f t="shared" si="14"/>
        <v>Construction Exemplaire Inc.</v>
      </c>
      <c r="G499" s="184"/>
      <c r="H499" s="183"/>
      <c r="I499" s="182"/>
      <c r="J499" s="185"/>
      <c r="K499" s="185"/>
      <c r="L499" s="185"/>
      <c r="M499" s="187"/>
      <c r="N499" s="185"/>
      <c r="O499" s="188"/>
      <c r="P499" s="188"/>
      <c r="Q499" s="189"/>
      <c r="R499" s="190"/>
      <c r="S499" s="190"/>
      <c r="T499" s="190"/>
      <c r="U499" s="191"/>
      <c r="V499" s="192"/>
      <c r="W499" s="193"/>
      <c r="X499" s="194"/>
      <c r="Y499" s="195"/>
      <c r="Z499" s="196"/>
      <c r="AA499" s="203"/>
      <c r="AB499" s="198"/>
      <c r="AC499" s="199"/>
      <c r="AD499" s="200"/>
      <c r="AE499" s="182"/>
      <c r="AF499" s="201"/>
      <c r="AG499" s="201"/>
    </row>
    <row r="500" spans="1:33" ht="25.5" customHeight="1" thickTop="1" thickBot="1">
      <c r="A500" s="217" t="str">
        <f t="shared" si="15"/>
        <v>#BL25-0002</v>
      </c>
      <c r="B500" s="181"/>
      <c r="C500" s="181"/>
      <c r="D500" s="208"/>
      <c r="E500" s="183"/>
      <c r="F500" s="184" t="str">
        <f t="shared" si="14"/>
        <v>Construction Exemplaire Inc.</v>
      </c>
      <c r="G500" s="184"/>
      <c r="H500" s="183"/>
      <c r="I500" s="182"/>
      <c r="J500" s="185"/>
      <c r="K500" s="185"/>
      <c r="L500" s="185"/>
      <c r="M500" s="187"/>
      <c r="N500" s="185"/>
      <c r="O500" s="188"/>
      <c r="P500" s="188"/>
      <c r="Q500" s="189"/>
      <c r="R500" s="190"/>
      <c r="S500" s="190"/>
      <c r="T500" s="190"/>
      <c r="U500" s="191"/>
      <c r="V500" s="192"/>
      <c r="W500" s="193"/>
      <c r="X500" s="194"/>
      <c r="Y500" s="195"/>
      <c r="Z500" s="196"/>
      <c r="AA500" s="203"/>
      <c r="AB500" s="198"/>
      <c r="AC500" s="199"/>
      <c r="AD500" s="200"/>
      <c r="AE500" s="182"/>
      <c r="AF500" s="201"/>
      <c r="AG500" s="201"/>
    </row>
    <row r="501" spans="1:33" ht="25.5" customHeight="1" thickTop="1" thickBot="1">
      <c r="A501" s="217" t="str">
        <f t="shared" si="15"/>
        <v>#BL25-0002</v>
      </c>
      <c r="B501" s="181"/>
      <c r="C501" s="181"/>
      <c r="D501" s="208"/>
      <c r="E501" s="183"/>
      <c r="F501" s="184" t="str">
        <f t="shared" si="14"/>
        <v>Construction Exemplaire Inc.</v>
      </c>
      <c r="G501" s="184"/>
      <c r="H501" s="183"/>
      <c r="I501" s="182"/>
      <c r="J501" s="185"/>
      <c r="K501" s="185"/>
      <c r="L501" s="185"/>
      <c r="M501" s="187"/>
      <c r="N501" s="185"/>
      <c r="O501" s="188"/>
      <c r="P501" s="188"/>
      <c r="Q501" s="189"/>
      <c r="R501" s="190"/>
      <c r="S501" s="190"/>
      <c r="T501" s="190"/>
      <c r="U501" s="191"/>
      <c r="V501" s="192"/>
      <c r="W501" s="193"/>
      <c r="X501" s="194"/>
      <c r="Y501" s="195"/>
      <c r="Z501" s="196"/>
      <c r="AA501" s="203"/>
      <c r="AB501" s="198"/>
      <c r="AC501" s="199"/>
      <c r="AD501" s="200"/>
      <c r="AE501" s="182"/>
      <c r="AF501" s="201"/>
      <c r="AG501" s="201"/>
    </row>
    <row r="502" spans="1:33" ht="25.5" customHeight="1" thickTop="1" thickBot="1">
      <c r="A502" s="217" t="str">
        <f t="shared" si="15"/>
        <v>#BL25-0002</v>
      </c>
      <c r="B502" s="181"/>
      <c r="C502" s="181"/>
      <c r="D502" s="208"/>
      <c r="E502" s="183"/>
      <c r="F502" s="184" t="str">
        <f t="shared" si="14"/>
        <v>Construction Exemplaire Inc.</v>
      </c>
      <c r="G502" s="184"/>
      <c r="H502" s="183"/>
      <c r="I502" s="182"/>
      <c r="J502" s="185"/>
      <c r="K502" s="185"/>
      <c r="L502" s="185"/>
      <c r="M502" s="187"/>
      <c r="N502" s="185"/>
      <c r="O502" s="188"/>
      <c r="P502" s="188"/>
      <c r="Q502" s="189"/>
      <c r="R502" s="190"/>
      <c r="S502" s="190"/>
      <c r="T502" s="190"/>
      <c r="U502" s="191"/>
      <c r="V502" s="192"/>
      <c r="W502" s="193"/>
      <c r="X502" s="194"/>
      <c r="Y502" s="195"/>
      <c r="Z502" s="196"/>
      <c r="AA502" s="203"/>
      <c r="AB502" s="198"/>
      <c r="AC502" s="199"/>
      <c r="AD502" s="200"/>
      <c r="AE502" s="182"/>
      <c r="AF502" s="201"/>
      <c r="AG502" s="201"/>
    </row>
    <row r="503" spans="1:33" ht="25.5" customHeight="1" thickTop="1" thickBot="1">
      <c r="A503" s="217" t="str">
        <f t="shared" si="15"/>
        <v>#BL25-0002</v>
      </c>
      <c r="B503" s="181"/>
      <c r="C503" s="181"/>
      <c r="D503" s="208"/>
      <c r="E503" s="183"/>
      <c r="F503" s="184" t="str">
        <f t="shared" si="14"/>
        <v>Construction Exemplaire Inc.</v>
      </c>
      <c r="G503" s="184"/>
      <c r="H503" s="183"/>
      <c r="I503" s="182"/>
      <c r="J503" s="185"/>
      <c r="K503" s="185"/>
      <c r="L503" s="185"/>
      <c r="M503" s="187"/>
      <c r="N503" s="185"/>
      <c r="O503" s="188"/>
      <c r="P503" s="188"/>
      <c r="Q503" s="189"/>
      <c r="R503" s="190"/>
      <c r="S503" s="190"/>
      <c r="T503" s="190"/>
      <c r="U503" s="191"/>
      <c r="V503" s="192"/>
      <c r="W503" s="193"/>
      <c r="X503" s="194"/>
      <c r="Y503" s="195"/>
      <c r="Z503" s="196"/>
      <c r="AA503" s="203"/>
      <c r="AB503" s="198"/>
      <c r="AC503" s="199"/>
      <c r="AD503" s="200"/>
      <c r="AE503" s="182"/>
      <c r="AF503" s="201"/>
      <c r="AG503" s="201"/>
    </row>
    <row r="504" spans="1:33" ht="25.5" customHeight="1" thickTop="1" thickBot="1">
      <c r="A504" s="217" t="str">
        <f t="shared" si="15"/>
        <v>#BL25-0002</v>
      </c>
      <c r="B504" s="181"/>
      <c r="C504" s="181"/>
      <c r="D504" s="208"/>
      <c r="E504" s="183"/>
      <c r="F504" s="184" t="str">
        <f t="shared" si="14"/>
        <v>Construction Exemplaire Inc.</v>
      </c>
      <c r="G504" s="184"/>
      <c r="H504" s="183"/>
      <c r="I504" s="182"/>
      <c r="J504" s="185"/>
      <c r="K504" s="185"/>
      <c r="L504" s="185"/>
      <c r="M504" s="187"/>
      <c r="N504" s="185"/>
      <c r="O504" s="188"/>
      <c r="P504" s="188"/>
      <c r="Q504" s="189"/>
      <c r="R504" s="190"/>
      <c r="S504" s="190"/>
      <c r="T504" s="190"/>
      <c r="U504" s="191"/>
      <c r="V504" s="192"/>
      <c r="W504" s="193"/>
      <c r="X504" s="194"/>
      <c r="Y504" s="195"/>
      <c r="Z504" s="196"/>
      <c r="AA504" s="203"/>
      <c r="AB504" s="198"/>
      <c r="AC504" s="199"/>
      <c r="AD504" s="200"/>
      <c r="AE504" s="182"/>
      <c r="AF504" s="201"/>
      <c r="AG504" s="201"/>
    </row>
    <row r="505" spans="1:33" ht="25.5" customHeight="1" thickTop="1" thickBot="1">
      <c r="A505" s="217" t="str">
        <f t="shared" si="15"/>
        <v>#BL25-0002</v>
      </c>
      <c r="B505" s="181"/>
      <c r="C505" s="181"/>
      <c r="D505" s="208"/>
      <c r="E505" s="183"/>
      <c r="F505" s="184" t="str">
        <f t="shared" si="14"/>
        <v>Construction Exemplaire Inc.</v>
      </c>
      <c r="G505" s="184"/>
      <c r="H505" s="183"/>
      <c r="I505" s="182"/>
      <c r="J505" s="185"/>
      <c r="K505" s="185"/>
      <c r="L505" s="185"/>
      <c r="M505" s="187"/>
      <c r="N505" s="185"/>
      <c r="O505" s="188"/>
      <c r="P505" s="188"/>
      <c r="Q505" s="189"/>
      <c r="R505" s="190"/>
      <c r="S505" s="190"/>
      <c r="T505" s="190"/>
      <c r="U505" s="191"/>
      <c r="V505" s="192"/>
      <c r="W505" s="193"/>
      <c r="X505" s="194"/>
      <c r="Y505" s="195"/>
      <c r="Z505" s="196"/>
      <c r="AA505" s="203"/>
      <c r="AB505" s="198"/>
      <c r="AC505" s="199"/>
      <c r="AD505" s="200"/>
      <c r="AE505" s="182"/>
      <c r="AF505" s="201"/>
      <c r="AG505" s="201"/>
    </row>
    <row r="506" spans="1:33" ht="25.5" customHeight="1" thickTop="1" thickBot="1">
      <c r="A506" s="217" t="str">
        <f t="shared" si="15"/>
        <v>#BL25-0002</v>
      </c>
      <c r="B506" s="181"/>
      <c r="C506" s="181"/>
      <c r="D506" s="208"/>
      <c r="E506" s="183"/>
      <c r="F506" s="184" t="str">
        <f t="shared" si="14"/>
        <v>Construction Exemplaire Inc.</v>
      </c>
      <c r="G506" s="184"/>
      <c r="H506" s="183"/>
      <c r="I506" s="182"/>
      <c r="J506" s="185"/>
      <c r="K506" s="185"/>
      <c r="L506" s="185"/>
      <c r="M506" s="187"/>
      <c r="N506" s="185"/>
      <c r="O506" s="188"/>
      <c r="P506" s="188"/>
      <c r="Q506" s="189"/>
      <c r="R506" s="190"/>
      <c r="S506" s="190"/>
      <c r="T506" s="190"/>
      <c r="U506" s="191"/>
      <c r="V506" s="192"/>
      <c r="W506" s="193"/>
      <c r="X506" s="194"/>
      <c r="Y506" s="195"/>
      <c r="Z506" s="196"/>
      <c r="AA506" s="203"/>
      <c r="AB506" s="198"/>
      <c r="AC506" s="199"/>
      <c r="AD506" s="200"/>
      <c r="AE506" s="182"/>
      <c r="AF506" s="201"/>
      <c r="AG506" s="201"/>
    </row>
    <row r="507" spans="1:33" ht="25.5" customHeight="1" thickTop="1" thickBot="1">
      <c r="A507" s="217" t="str">
        <f t="shared" si="15"/>
        <v>#BL25-0002</v>
      </c>
      <c r="B507" s="181"/>
      <c r="C507" s="181"/>
      <c r="D507" s="208"/>
      <c r="E507" s="183"/>
      <c r="F507" s="184" t="str">
        <f t="shared" si="14"/>
        <v>Construction Exemplaire Inc.</v>
      </c>
      <c r="G507" s="184"/>
      <c r="H507" s="183"/>
      <c r="I507" s="182"/>
      <c r="J507" s="185"/>
      <c r="K507" s="185"/>
      <c r="L507" s="185"/>
      <c r="M507" s="187"/>
      <c r="N507" s="185"/>
      <c r="O507" s="188"/>
      <c r="P507" s="188"/>
      <c r="Q507" s="189"/>
      <c r="R507" s="190"/>
      <c r="S507" s="190"/>
      <c r="T507" s="190"/>
      <c r="U507" s="191"/>
      <c r="V507" s="192"/>
      <c r="W507" s="193"/>
      <c r="X507" s="194"/>
      <c r="Y507" s="195"/>
      <c r="Z507" s="196"/>
      <c r="AA507" s="203"/>
      <c r="AB507" s="198"/>
      <c r="AC507" s="199"/>
      <c r="AD507" s="200"/>
      <c r="AE507" s="182"/>
      <c r="AF507" s="201"/>
      <c r="AG507" s="201"/>
    </row>
    <row r="508" spans="1:33" ht="25.5" customHeight="1" thickTop="1" thickBot="1">
      <c r="A508" s="217" t="str">
        <f t="shared" si="15"/>
        <v>#BL25-0002</v>
      </c>
      <c r="B508" s="181"/>
      <c r="C508" s="181"/>
      <c r="D508" s="208"/>
      <c r="E508" s="183"/>
      <c r="F508" s="184" t="str">
        <f t="shared" si="14"/>
        <v>Construction Exemplaire Inc.</v>
      </c>
      <c r="G508" s="184"/>
      <c r="H508" s="183"/>
      <c r="I508" s="182"/>
      <c r="J508" s="185"/>
      <c r="K508" s="185"/>
      <c r="L508" s="185"/>
      <c r="M508" s="187"/>
      <c r="N508" s="185"/>
      <c r="O508" s="188"/>
      <c r="P508" s="188"/>
      <c r="Q508" s="189"/>
      <c r="R508" s="190"/>
      <c r="S508" s="190"/>
      <c r="T508" s="190"/>
      <c r="U508" s="191"/>
      <c r="V508" s="192"/>
      <c r="W508" s="193"/>
      <c r="X508" s="194"/>
      <c r="Y508" s="195"/>
      <c r="Z508" s="196"/>
      <c r="AA508" s="203"/>
      <c r="AB508" s="198"/>
      <c r="AC508" s="199"/>
      <c r="AD508" s="200"/>
      <c r="AE508" s="182"/>
      <c r="AF508" s="201"/>
      <c r="AG508" s="201"/>
    </row>
    <row r="509" spans="1:33" ht="25.5" customHeight="1" thickTop="1" thickBot="1">
      <c r="A509" s="217" t="str">
        <f t="shared" si="15"/>
        <v>#BL25-0002</v>
      </c>
      <c r="B509" s="181"/>
      <c r="C509" s="181"/>
      <c r="D509" s="208"/>
      <c r="E509" s="183"/>
      <c r="F509" s="184" t="str">
        <f t="shared" si="14"/>
        <v>Construction Exemplaire Inc.</v>
      </c>
      <c r="G509" s="184"/>
      <c r="H509" s="183"/>
      <c r="I509" s="182"/>
      <c r="J509" s="185"/>
      <c r="K509" s="185"/>
      <c r="L509" s="185"/>
      <c r="M509" s="187"/>
      <c r="N509" s="185"/>
      <c r="O509" s="188"/>
      <c r="P509" s="188"/>
      <c r="Q509" s="189"/>
      <c r="R509" s="190"/>
      <c r="S509" s="190"/>
      <c r="T509" s="190"/>
      <c r="U509" s="191"/>
      <c r="V509" s="192"/>
      <c r="W509" s="193"/>
      <c r="X509" s="194"/>
      <c r="Y509" s="195"/>
      <c r="Z509" s="196"/>
      <c r="AA509" s="203"/>
      <c r="AB509" s="198"/>
      <c r="AC509" s="199"/>
      <c r="AD509" s="200"/>
      <c r="AE509" s="182"/>
      <c r="AF509" s="201"/>
      <c r="AG509" s="201"/>
    </row>
    <row r="510" spans="1:33" ht="25.5" customHeight="1" thickTop="1" thickBot="1">
      <c r="A510" s="217" t="str">
        <f t="shared" si="15"/>
        <v>#BL25-0002</v>
      </c>
      <c r="B510" s="181"/>
      <c r="C510" s="181"/>
      <c r="D510" s="207"/>
      <c r="E510" s="183"/>
      <c r="F510" s="184" t="str">
        <f t="shared" si="14"/>
        <v>Construction Exemplaire Inc.</v>
      </c>
      <c r="G510" s="184"/>
      <c r="H510" s="183"/>
      <c r="I510" s="182"/>
      <c r="J510" s="185"/>
      <c r="K510" s="185"/>
      <c r="L510" s="185"/>
      <c r="M510" s="187"/>
      <c r="N510" s="185"/>
      <c r="O510" s="188"/>
      <c r="P510" s="188"/>
      <c r="Q510" s="189"/>
      <c r="R510" s="190"/>
      <c r="S510" s="190"/>
      <c r="T510" s="190"/>
      <c r="U510" s="191"/>
      <c r="V510" s="192"/>
      <c r="W510" s="193"/>
      <c r="X510" s="194"/>
      <c r="Y510" s="195"/>
      <c r="Z510" s="196"/>
      <c r="AA510" s="203"/>
      <c r="AB510" s="198"/>
      <c r="AC510" s="199"/>
      <c r="AD510" s="200"/>
      <c r="AE510" s="182"/>
      <c r="AF510" s="201"/>
      <c r="AG510" s="201"/>
    </row>
    <row r="511" spans="1:33" ht="25.5" customHeight="1" thickTop="1" thickBot="1">
      <c r="A511" s="217" t="str">
        <f t="shared" si="15"/>
        <v>#BL25-0002</v>
      </c>
      <c r="B511" s="181"/>
      <c r="C511" s="181"/>
      <c r="D511" s="208"/>
      <c r="E511" s="183"/>
      <c r="F511" s="184" t="str">
        <f t="shared" si="14"/>
        <v>Construction Exemplaire Inc.</v>
      </c>
      <c r="G511" s="184"/>
      <c r="H511" s="183"/>
      <c r="I511" s="182"/>
      <c r="J511" s="185"/>
      <c r="K511" s="185"/>
      <c r="L511" s="185"/>
      <c r="M511" s="187"/>
      <c r="N511" s="185"/>
      <c r="O511" s="188"/>
      <c r="P511" s="188"/>
      <c r="Q511" s="189"/>
      <c r="R511" s="190"/>
      <c r="S511" s="190"/>
      <c r="T511" s="190"/>
      <c r="U511" s="191"/>
      <c r="V511" s="192"/>
      <c r="W511" s="193"/>
      <c r="X511" s="194"/>
      <c r="Y511" s="195"/>
      <c r="Z511" s="196"/>
      <c r="AA511" s="203"/>
      <c r="AB511" s="198"/>
      <c r="AC511" s="199"/>
      <c r="AD511" s="200"/>
      <c r="AE511" s="182"/>
      <c r="AF511" s="201"/>
      <c r="AG511" s="201"/>
    </row>
    <row r="512" spans="1:33" ht="25.5" customHeight="1" thickTop="1" thickBot="1">
      <c r="A512" s="217" t="str">
        <f t="shared" si="15"/>
        <v>#BL25-0002</v>
      </c>
      <c r="B512" s="181"/>
      <c r="C512" s="181"/>
      <c r="D512" s="208"/>
      <c r="E512" s="183"/>
      <c r="F512" s="184" t="str">
        <f t="shared" si="14"/>
        <v>Construction Exemplaire Inc.</v>
      </c>
      <c r="G512" s="184"/>
      <c r="H512" s="183"/>
      <c r="I512" s="182"/>
      <c r="J512" s="185"/>
      <c r="K512" s="185"/>
      <c r="L512" s="185"/>
      <c r="M512" s="187"/>
      <c r="N512" s="185"/>
      <c r="O512" s="188"/>
      <c r="P512" s="188"/>
      <c r="Q512" s="189"/>
      <c r="R512" s="190"/>
      <c r="S512" s="190"/>
      <c r="T512" s="190"/>
      <c r="U512" s="191"/>
      <c r="V512" s="192"/>
      <c r="W512" s="193"/>
      <c r="X512" s="194"/>
      <c r="Y512" s="195"/>
      <c r="Z512" s="196"/>
      <c r="AA512" s="203"/>
      <c r="AB512" s="198"/>
      <c r="AC512" s="199"/>
      <c r="AD512" s="200"/>
      <c r="AE512" s="182"/>
      <c r="AF512" s="201"/>
      <c r="AG512" s="201"/>
    </row>
    <row r="513" spans="1:33" ht="25.5" customHeight="1" thickTop="1" thickBot="1">
      <c r="A513" s="217" t="str">
        <f t="shared" si="15"/>
        <v>#BL25-0002</v>
      </c>
      <c r="B513" s="181"/>
      <c r="C513" s="181"/>
      <c r="D513" s="207"/>
      <c r="E513" s="183"/>
      <c r="F513" s="184" t="str">
        <f t="shared" si="14"/>
        <v>Construction Exemplaire Inc.</v>
      </c>
      <c r="G513" s="184"/>
      <c r="H513" s="183"/>
      <c r="I513" s="182"/>
      <c r="J513" s="185"/>
      <c r="K513" s="185"/>
      <c r="L513" s="185"/>
      <c r="M513" s="187"/>
      <c r="N513" s="185"/>
      <c r="O513" s="188"/>
      <c r="P513" s="188"/>
      <c r="Q513" s="189"/>
      <c r="R513" s="190"/>
      <c r="S513" s="190"/>
      <c r="T513" s="190"/>
      <c r="U513" s="191"/>
      <c r="V513" s="192"/>
      <c r="W513" s="193"/>
      <c r="X513" s="194"/>
      <c r="Y513" s="195"/>
      <c r="Z513" s="196"/>
      <c r="AA513" s="203"/>
      <c r="AB513" s="198"/>
      <c r="AC513" s="199"/>
      <c r="AD513" s="200"/>
      <c r="AE513" s="182"/>
      <c r="AF513" s="201"/>
      <c r="AG513" s="201"/>
    </row>
    <row r="514" spans="1:33" ht="25.5" customHeight="1" thickTop="1" thickBot="1">
      <c r="A514" s="217" t="str">
        <f t="shared" si="15"/>
        <v>#BL25-0002</v>
      </c>
      <c r="B514" s="181"/>
      <c r="C514" s="181"/>
      <c r="D514" s="207"/>
      <c r="E514" s="183"/>
      <c r="F514" s="184" t="str">
        <f t="shared" si="14"/>
        <v>Construction Exemplaire Inc.</v>
      </c>
      <c r="G514" s="184"/>
      <c r="H514" s="183"/>
      <c r="I514" s="182"/>
      <c r="J514" s="185"/>
      <c r="K514" s="185"/>
      <c r="L514" s="185"/>
      <c r="M514" s="187"/>
      <c r="N514" s="185"/>
      <c r="O514" s="188"/>
      <c r="P514" s="188"/>
      <c r="Q514" s="189"/>
      <c r="R514" s="190"/>
      <c r="S514" s="190"/>
      <c r="T514" s="190"/>
      <c r="U514" s="191"/>
      <c r="V514" s="192"/>
      <c r="W514" s="193"/>
      <c r="X514" s="194"/>
      <c r="Y514" s="195"/>
      <c r="Z514" s="196"/>
      <c r="AA514" s="203"/>
      <c r="AB514" s="198"/>
      <c r="AC514" s="199"/>
      <c r="AD514" s="200"/>
      <c r="AE514" s="182"/>
      <c r="AF514" s="201"/>
      <c r="AG514" s="201"/>
    </row>
    <row r="515" spans="1:33" ht="25.5" customHeight="1" thickTop="1" thickBot="1">
      <c r="A515" s="217" t="str">
        <f t="shared" si="15"/>
        <v>#BL25-0002</v>
      </c>
      <c r="B515" s="181"/>
      <c r="C515" s="181"/>
      <c r="D515" s="207"/>
      <c r="E515" s="183"/>
      <c r="F515" s="184" t="str">
        <f t="shared" si="14"/>
        <v>Construction Exemplaire Inc.</v>
      </c>
      <c r="G515" s="184"/>
      <c r="H515" s="183"/>
      <c r="I515" s="182"/>
      <c r="J515" s="185"/>
      <c r="K515" s="185"/>
      <c r="L515" s="185"/>
      <c r="M515" s="187"/>
      <c r="N515" s="185"/>
      <c r="O515" s="188"/>
      <c r="P515" s="188"/>
      <c r="Q515" s="189"/>
      <c r="R515" s="190"/>
      <c r="S515" s="190"/>
      <c r="T515" s="190"/>
      <c r="U515" s="191"/>
      <c r="V515" s="192"/>
      <c r="W515" s="193"/>
      <c r="X515" s="194"/>
      <c r="Y515" s="195"/>
      <c r="Z515" s="196"/>
      <c r="AA515" s="203"/>
      <c r="AB515" s="198"/>
      <c r="AC515" s="199"/>
      <c r="AD515" s="200"/>
      <c r="AE515" s="182"/>
      <c r="AF515" s="201"/>
      <c r="AG515" s="201"/>
    </row>
    <row r="516" spans="1:33" ht="25.5" customHeight="1" thickTop="1" thickBot="1">
      <c r="A516" s="217" t="str">
        <f t="shared" si="15"/>
        <v>#BL25-0002</v>
      </c>
      <c r="B516" s="181"/>
      <c r="C516" s="181"/>
      <c r="D516" s="207"/>
      <c r="E516" s="183"/>
      <c r="F516" s="184" t="str">
        <f t="shared" si="14"/>
        <v>Construction Exemplaire Inc.</v>
      </c>
      <c r="G516" s="184"/>
      <c r="H516" s="183"/>
      <c r="I516" s="182"/>
      <c r="J516" s="185"/>
      <c r="K516" s="185"/>
      <c r="L516" s="185"/>
      <c r="M516" s="187"/>
      <c r="N516" s="185"/>
      <c r="O516" s="188"/>
      <c r="P516" s="188"/>
      <c r="Q516" s="189"/>
      <c r="R516" s="190"/>
      <c r="S516" s="190"/>
      <c r="T516" s="190"/>
      <c r="U516" s="191"/>
      <c r="V516" s="192"/>
      <c r="W516" s="193"/>
      <c r="X516" s="194"/>
      <c r="Y516" s="195"/>
      <c r="Z516" s="196"/>
      <c r="AA516" s="203"/>
      <c r="AB516" s="198"/>
      <c r="AC516" s="199"/>
      <c r="AD516" s="200"/>
      <c r="AE516" s="182"/>
      <c r="AF516" s="201"/>
      <c r="AG516" s="201"/>
    </row>
    <row r="517" spans="1:33" ht="25.5" customHeight="1" thickTop="1" thickBot="1">
      <c r="A517" s="217" t="str">
        <f t="shared" si="15"/>
        <v>#BL25-0002</v>
      </c>
      <c r="B517" s="181"/>
      <c r="C517" s="181"/>
      <c r="D517" s="208"/>
      <c r="E517" s="183"/>
      <c r="F517" s="184" t="str">
        <f t="shared" si="14"/>
        <v>Construction Exemplaire Inc.</v>
      </c>
      <c r="G517" s="184"/>
      <c r="H517" s="183"/>
      <c r="I517" s="182"/>
      <c r="J517" s="185"/>
      <c r="K517" s="185"/>
      <c r="L517" s="185"/>
      <c r="M517" s="187"/>
      <c r="N517" s="185"/>
      <c r="O517" s="188"/>
      <c r="P517" s="188"/>
      <c r="Q517" s="189"/>
      <c r="R517" s="190"/>
      <c r="S517" s="190"/>
      <c r="T517" s="190"/>
      <c r="U517" s="191"/>
      <c r="V517" s="192"/>
      <c r="W517" s="193"/>
      <c r="X517" s="194"/>
      <c r="Y517" s="195"/>
      <c r="Z517" s="196"/>
      <c r="AA517" s="203"/>
      <c r="AB517" s="198"/>
      <c r="AC517" s="199"/>
      <c r="AD517" s="200"/>
      <c r="AE517" s="182"/>
      <c r="AF517" s="201"/>
      <c r="AG517" s="201"/>
    </row>
    <row r="518" spans="1:33" ht="25.5" customHeight="1" thickTop="1" thickBot="1">
      <c r="A518" s="217" t="str">
        <f t="shared" si="15"/>
        <v>#BL25-0002</v>
      </c>
      <c r="B518" s="181"/>
      <c r="C518" s="181"/>
      <c r="D518" s="208"/>
      <c r="E518" s="183"/>
      <c r="F518" s="184" t="str">
        <f t="shared" si="14"/>
        <v>Construction Exemplaire Inc.</v>
      </c>
      <c r="G518" s="184"/>
      <c r="H518" s="183"/>
      <c r="I518" s="182"/>
      <c r="J518" s="185"/>
      <c r="K518" s="185"/>
      <c r="L518" s="185"/>
      <c r="M518" s="187"/>
      <c r="N518" s="185"/>
      <c r="O518" s="188"/>
      <c r="P518" s="188"/>
      <c r="Q518" s="189"/>
      <c r="R518" s="190"/>
      <c r="S518" s="190"/>
      <c r="T518" s="190"/>
      <c r="U518" s="191"/>
      <c r="V518" s="192"/>
      <c r="W518" s="193"/>
      <c r="X518" s="194"/>
      <c r="Y518" s="195"/>
      <c r="Z518" s="196"/>
      <c r="AA518" s="203"/>
      <c r="AB518" s="198"/>
      <c r="AC518" s="199"/>
      <c r="AD518" s="200"/>
      <c r="AE518" s="182"/>
      <c r="AF518" s="201"/>
      <c r="AG518" s="201"/>
    </row>
    <row r="519" spans="1:33" ht="25.5" customHeight="1" thickTop="1" thickBot="1">
      <c r="A519" s="217" t="str">
        <f t="shared" si="15"/>
        <v>#BL25-0002</v>
      </c>
      <c r="B519" s="181"/>
      <c r="C519" s="181"/>
      <c r="D519" s="208"/>
      <c r="E519" s="183"/>
      <c r="F519" s="184" t="str">
        <f t="shared" si="14"/>
        <v>Construction Exemplaire Inc.</v>
      </c>
      <c r="G519" s="184"/>
      <c r="H519" s="183"/>
      <c r="I519" s="182"/>
      <c r="J519" s="185"/>
      <c r="K519" s="185"/>
      <c r="L519" s="185"/>
      <c r="M519" s="187"/>
      <c r="N519" s="185"/>
      <c r="O519" s="188"/>
      <c r="P519" s="188"/>
      <c r="Q519" s="189"/>
      <c r="R519" s="190"/>
      <c r="S519" s="190"/>
      <c r="T519" s="190"/>
      <c r="U519" s="191"/>
      <c r="V519" s="192"/>
      <c r="W519" s="193"/>
      <c r="X519" s="194"/>
      <c r="Y519" s="195"/>
      <c r="Z519" s="196"/>
      <c r="AA519" s="203"/>
      <c r="AB519" s="198"/>
      <c r="AC519" s="199"/>
      <c r="AD519" s="200"/>
      <c r="AE519" s="182"/>
      <c r="AF519" s="201"/>
      <c r="AG519" s="201"/>
    </row>
    <row r="520" spans="1:33" ht="25.5" customHeight="1" thickTop="1" thickBot="1">
      <c r="A520" s="217" t="str">
        <f t="shared" si="15"/>
        <v>#BL25-0002</v>
      </c>
      <c r="B520" s="181"/>
      <c r="C520" s="181"/>
      <c r="D520" s="208"/>
      <c r="E520" s="183"/>
      <c r="F520" s="184" t="str">
        <f t="shared" ref="F520:F583" si="16">nomClient</f>
        <v>Construction Exemplaire Inc.</v>
      </c>
      <c r="G520" s="184"/>
      <c r="H520" s="183"/>
      <c r="I520" s="182"/>
      <c r="J520" s="185"/>
      <c r="K520" s="185"/>
      <c r="L520" s="185"/>
      <c r="M520" s="187"/>
      <c r="N520" s="185"/>
      <c r="O520" s="188"/>
      <c r="P520" s="188"/>
      <c r="Q520" s="189"/>
      <c r="R520" s="190"/>
      <c r="S520" s="190"/>
      <c r="T520" s="190"/>
      <c r="U520" s="191"/>
      <c r="V520" s="192"/>
      <c r="W520" s="193"/>
      <c r="X520" s="194"/>
      <c r="Y520" s="195"/>
      <c r="Z520" s="196"/>
      <c r="AA520" s="203"/>
      <c r="AB520" s="198"/>
      <c r="AC520" s="199"/>
      <c r="AD520" s="200"/>
      <c r="AE520" s="182"/>
      <c r="AF520" s="201"/>
      <c r="AG520" s="201"/>
    </row>
    <row r="521" spans="1:33" ht="25.5" customHeight="1" thickTop="1" thickBot="1">
      <c r="A521" s="217" t="str">
        <f t="shared" ref="A521:A584" si="17">Ligne1</f>
        <v>#BL25-0002</v>
      </c>
      <c r="B521" s="181"/>
      <c r="C521" s="181"/>
      <c r="D521" s="208"/>
      <c r="E521" s="183"/>
      <c r="F521" s="184" t="str">
        <f t="shared" si="16"/>
        <v>Construction Exemplaire Inc.</v>
      </c>
      <c r="G521" s="184"/>
      <c r="H521" s="183"/>
      <c r="I521" s="182"/>
      <c r="J521" s="185"/>
      <c r="K521" s="185"/>
      <c r="L521" s="185"/>
      <c r="M521" s="187"/>
      <c r="N521" s="185"/>
      <c r="O521" s="188"/>
      <c r="P521" s="188"/>
      <c r="Q521" s="189"/>
      <c r="R521" s="190"/>
      <c r="S521" s="190"/>
      <c r="T521" s="190"/>
      <c r="U521" s="191"/>
      <c r="V521" s="192"/>
      <c r="W521" s="193"/>
      <c r="X521" s="194"/>
      <c r="Y521" s="195"/>
      <c r="Z521" s="196"/>
      <c r="AA521" s="203"/>
      <c r="AB521" s="198"/>
      <c r="AC521" s="199"/>
      <c r="AD521" s="200"/>
      <c r="AE521" s="182"/>
      <c r="AF521" s="201"/>
      <c r="AG521" s="201"/>
    </row>
    <row r="522" spans="1:33" ht="25.5" customHeight="1" thickTop="1" thickBot="1">
      <c r="A522" s="217" t="str">
        <f t="shared" si="17"/>
        <v>#BL25-0002</v>
      </c>
      <c r="B522" s="181"/>
      <c r="C522" s="181"/>
      <c r="D522" s="208"/>
      <c r="E522" s="183"/>
      <c r="F522" s="184" t="str">
        <f t="shared" si="16"/>
        <v>Construction Exemplaire Inc.</v>
      </c>
      <c r="G522" s="184"/>
      <c r="H522" s="183"/>
      <c r="I522" s="182"/>
      <c r="J522" s="185"/>
      <c r="K522" s="185"/>
      <c r="L522" s="185"/>
      <c r="M522" s="187"/>
      <c r="N522" s="185"/>
      <c r="O522" s="188"/>
      <c r="P522" s="188"/>
      <c r="Q522" s="189"/>
      <c r="R522" s="190"/>
      <c r="S522" s="190"/>
      <c r="T522" s="190"/>
      <c r="U522" s="191"/>
      <c r="V522" s="192"/>
      <c r="W522" s="193"/>
      <c r="X522" s="194"/>
      <c r="Y522" s="195"/>
      <c r="Z522" s="196"/>
      <c r="AA522" s="203"/>
      <c r="AB522" s="198"/>
      <c r="AC522" s="199"/>
      <c r="AD522" s="200"/>
      <c r="AE522" s="182"/>
      <c r="AF522" s="201"/>
      <c r="AG522" s="201"/>
    </row>
    <row r="523" spans="1:33" ht="25.5" customHeight="1" thickTop="1" thickBot="1">
      <c r="A523" s="217" t="str">
        <f t="shared" si="17"/>
        <v>#BL25-0002</v>
      </c>
      <c r="B523" s="181"/>
      <c r="C523" s="181"/>
      <c r="D523" s="207"/>
      <c r="E523" s="183"/>
      <c r="F523" s="184" t="str">
        <f t="shared" si="16"/>
        <v>Construction Exemplaire Inc.</v>
      </c>
      <c r="G523" s="184"/>
      <c r="H523" s="183"/>
      <c r="I523" s="182"/>
      <c r="J523" s="185"/>
      <c r="K523" s="185"/>
      <c r="L523" s="185"/>
      <c r="M523" s="187"/>
      <c r="N523" s="185"/>
      <c r="O523" s="188"/>
      <c r="P523" s="188"/>
      <c r="Q523" s="189"/>
      <c r="R523" s="190"/>
      <c r="S523" s="190"/>
      <c r="T523" s="190"/>
      <c r="U523" s="191"/>
      <c r="V523" s="192"/>
      <c r="W523" s="193"/>
      <c r="X523" s="194"/>
      <c r="Y523" s="195"/>
      <c r="Z523" s="196"/>
      <c r="AA523" s="203"/>
      <c r="AB523" s="198"/>
      <c r="AC523" s="199"/>
      <c r="AD523" s="200"/>
      <c r="AE523" s="182"/>
      <c r="AF523" s="201"/>
      <c r="AG523" s="201"/>
    </row>
    <row r="524" spans="1:33" ht="25.5" customHeight="1" thickTop="1" thickBot="1">
      <c r="A524" s="217" t="str">
        <f t="shared" si="17"/>
        <v>#BL25-0002</v>
      </c>
      <c r="B524" s="181"/>
      <c r="C524" s="181"/>
      <c r="D524" s="207"/>
      <c r="E524" s="183"/>
      <c r="F524" s="184" t="str">
        <f t="shared" si="16"/>
        <v>Construction Exemplaire Inc.</v>
      </c>
      <c r="G524" s="184"/>
      <c r="H524" s="183"/>
      <c r="I524" s="182"/>
      <c r="J524" s="185"/>
      <c r="K524" s="185"/>
      <c r="L524" s="185"/>
      <c r="M524" s="187"/>
      <c r="N524" s="185"/>
      <c r="O524" s="188"/>
      <c r="P524" s="188"/>
      <c r="Q524" s="189"/>
      <c r="R524" s="190"/>
      <c r="S524" s="190"/>
      <c r="T524" s="190"/>
      <c r="U524" s="191"/>
      <c r="V524" s="192"/>
      <c r="W524" s="193"/>
      <c r="X524" s="194"/>
      <c r="Y524" s="195"/>
      <c r="Z524" s="196"/>
      <c r="AA524" s="203"/>
      <c r="AB524" s="198"/>
      <c r="AC524" s="199"/>
      <c r="AD524" s="200"/>
      <c r="AE524" s="182"/>
      <c r="AF524" s="201"/>
      <c r="AG524" s="201"/>
    </row>
    <row r="525" spans="1:33" ht="25.5" customHeight="1" thickTop="1" thickBot="1">
      <c r="A525" s="217" t="str">
        <f t="shared" si="17"/>
        <v>#BL25-0002</v>
      </c>
      <c r="B525" s="181"/>
      <c r="C525" s="181"/>
      <c r="D525" s="207"/>
      <c r="E525" s="183"/>
      <c r="F525" s="184" t="str">
        <f t="shared" si="16"/>
        <v>Construction Exemplaire Inc.</v>
      </c>
      <c r="G525" s="184"/>
      <c r="H525" s="183"/>
      <c r="I525" s="182"/>
      <c r="J525" s="185"/>
      <c r="K525" s="185"/>
      <c r="L525" s="185"/>
      <c r="M525" s="187"/>
      <c r="N525" s="185"/>
      <c r="O525" s="188"/>
      <c r="P525" s="188"/>
      <c r="Q525" s="189"/>
      <c r="R525" s="190"/>
      <c r="S525" s="190"/>
      <c r="T525" s="190"/>
      <c r="U525" s="191"/>
      <c r="V525" s="192"/>
      <c r="W525" s="193"/>
      <c r="X525" s="194"/>
      <c r="Y525" s="195"/>
      <c r="Z525" s="196"/>
      <c r="AA525" s="203"/>
      <c r="AB525" s="198"/>
      <c r="AC525" s="199"/>
      <c r="AD525" s="200"/>
      <c r="AE525" s="182"/>
      <c r="AF525" s="201"/>
      <c r="AG525" s="201"/>
    </row>
    <row r="526" spans="1:33" ht="25.5" customHeight="1" thickTop="1" thickBot="1">
      <c r="A526" s="217" t="str">
        <f t="shared" si="17"/>
        <v>#BL25-0002</v>
      </c>
      <c r="B526" s="181"/>
      <c r="C526" s="181"/>
      <c r="D526" s="207"/>
      <c r="E526" s="183"/>
      <c r="F526" s="184" t="str">
        <f t="shared" si="16"/>
        <v>Construction Exemplaire Inc.</v>
      </c>
      <c r="G526" s="184"/>
      <c r="H526" s="183"/>
      <c r="I526" s="182"/>
      <c r="J526" s="185"/>
      <c r="K526" s="185"/>
      <c r="L526" s="185"/>
      <c r="M526" s="187"/>
      <c r="N526" s="185"/>
      <c r="O526" s="188"/>
      <c r="P526" s="188"/>
      <c r="Q526" s="189"/>
      <c r="R526" s="190"/>
      <c r="S526" s="190"/>
      <c r="T526" s="190"/>
      <c r="U526" s="191"/>
      <c r="V526" s="192"/>
      <c r="W526" s="193"/>
      <c r="X526" s="194"/>
      <c r="Y526" s="195"/>
      <c r="Z526" s="196"/>
      <c r="AA526" s="203"/>
      <c r="AB526" s="198"/>
      <c r="AC526" s="199"/>
      <c r="AD526" s="200"/>
      <c r="AE526" s="182"/>
      <c r="AF526" s="201"/>
      <c r="AG526" s="201"/>
    </row>
    <row r="527" spans="1:33" ht="25.5" customHeight="1" thickTop="1" thickBot="1">
      <c r="A527" s="217" t="str">
        <f t="shared" si="17"/>
        <v>#BL25-0002</v>
      </c>
      <c r="B527" s="181"/>
      <c r="C527" s="181"/>
      <c r="D527" s="207"/>
      <c r="E527" s="183"/>
      <c r="F527" s="184" t="str">
        <f t="shared" si="16"/>
        <v>Construction Exemplaire Inc.</v>
      </c>
      <c r="G527" s="184"/>
      <c r="H527" s="183"/>
      <c r="I527" s="182"/>
      <c r="J527" s="185"/>
      <c r="K527" s="185"/>
      <c r="L527" s="185"/>
      <c r="M527" s="187"/>
      <c r="N527" s="185"/>
      <c r="O527" s="188"/>
      <c r="P527" s="188"/>
      <c r="Q527" s="189"/>
      <c r="R527" s="190"/>
      <c r="S527" s="190"/>
      <c r="T527" s="190"/>
      <c r="U527" s="191"/>
      <c r="V527" s="192"/>
      <c r="W527" s="193"/>
      <c r="X527" s="194"/>
      <c r="Y527" s="195"/>
      <c r="Z527" s="196"/>
      <c r="AA527" s="203"/>
      <c r="AB527" s="198"/>
      <c r="AC527" s="199"/>
      <c r="AD527" s="200"/>
      <c r="AE527" s="182"/>
      <c r="AF527" s="201"/>
      <c r="AG527" s="201"/>
    </row>
    <row r="528" spans="1:33" ht="25.5" customHeight="1" thickTop="1" thickBot="1">
      <c r="A528" s="217" t="str">
        <f t="shared" si="17"/>
        <v>#BL25-0002</v>
      </c>
      <c r="B528" s="181"/>
      <c r="C528" s="181"/>
      <c r="D528" s="208"/>
      <c r="E528" s="183"/>
      <c r="F528" s="184" t="str">
        <f t="shared" si="16"/>
        <v>Construction Exemplaire Inc.</v>
      </c>
      <c r="G528" s="184"/>
      <c r="H528" s="183"/>
      <c r="I528" s="182"/>
      <c r="J528" s="185"/>
      <c r="K528" s="185"/>
      <c r="L528" s="185"/>
      <c r="M528" s="187"/>
      <c r="N528" s="185"/>
      <c r="O528" s="188"/>
      <c r="P528" s="188"/>
      <c r="Q528" s="189"/>
      <c r="R528" s="190"/>
      <c r="S528" s="190"/>
      <c r="T528" s="190"/>
      <c r="U528" s="191"/>
      <c r="V528" s="192"/>
      <c r="W528" s="193"/>
      <c r="X528" s="194"/>
      <c r="Y528" s="195"/>
      <c r="Z528" s="196"/>
      <c r="AA528" s="203"/>
      <c r="AB528" s="198"/>
      <c r="AC528" s="199"/>
      <c r="AD528" s="200"/>
      <c r="AE528" s="182"/>
      <c r="AF528" s="201"/>
      <c r="AG528" s="201"/>
    </row>
    <row r="529" spans="1:33" ht="25.5" customHeight="1" thickTop="1" thickBot="1">
      <c r="A529" s="217" t="str">
        <f t="shared" si="17"/>
        <v>#BL25-0002</v>
      </c>
      <c r="B529" s="181"/>
      <c r="C529" s="181"/>
      <c r="D529" s="208"/>
      <c r="E529" s="183"/>
      <c r="F529" s="184" t="str">
        <f t="shared" si="16"/>
        <v>Construction Exemplaire Inc.</v>
      </c>
      <c r="G529" s="184"/>
      <c r="H529" s="183"/>
      <c r="I529" s="182"/>
      <c r="J529" s="185"/>
      <c r="K529" s="185"/>
      <c r="L529" s="185"/>
      <c r="M529" s="187"/>
      <c r="N529" s="185"/>
      <c r="O529" s="188"/>
      <c r="P529" s="188"/>
      <c r="Q529" s="189"/>
      <c r="R529" s="190"/>
      <c r="S529" s="190"/>
      <c r="T529" s="190"/>
      <c r="U529" s="191"/>
      <c r="V529" s="192"/>
      <c r="W529" s="193"/>
      <c r="X529" s="194"/>
      <c r="Y529" s="195"/>
      <c r="Z529" s="196"/>
      <c r="AA529" s="203"/>
      <c r="AB529" s="198"/>
      <c r="AC529" s="199"/>
      <c r="AD529" s="200"/>
      <c r="AE529" s="182"/>
      <c r="AF529" s="201"/>
      <c r="AG529" s="201"/>
    </row>
    <row r="530" spans="1:33" ht="25.5" customHeight="1" thickTop="1" thickBot="1">
      <c r="A530" s="217" t="str">
        <f t="shared" si="17"/>
        <v>#BL25-0002</v>
      </c>
      <c r="B530" s="181"/>
      <c r="C530" s="181"/>
      <c r="D530" s="208"/>
      <c r="E530" s="183"/>
      <c r="F530" s="184" t="str">
        <f t="shared" si="16"/>
        <v>Construction Exemplaire Inc.</v>
      </c>
      <c r="G530" s="184"/>
      <c r="H530" s="183"/>
      <c r="I530" s="182"/>
      <c r="J530" s="185"/>
      <c r="K530" s="185"/>
      <c r="L530" s="185"/>
      <c r="M530" s="187"/>
      <c r="N530" s="185"/>
      <c r="O530" s="188"/>
      <c r="P530" s="188"/>
      <c r="Q530" s="189"/>
      <c r="R530" s="190"/>
      <c r="S530" s="190"/>
      <c r="T530" s="190"/>
      <c r="U530" s="191"/>
      <c r="V530" s="192"/>
      <c r="W530" s="193"/>
      <c r="X530" s="194"/>
      <c r="Y530" s="195"/>
      <c r="Z530" s="196"/>
      <c r="AA530" s="203"/>
      <c r="AB530" s="198"/>
      <c r="AC530" s="199"/>
      <c r="AD530" s="200"/>
      <c r="AE530" s="182"/>
      <c r="AF530" s="201"/>
      <c r="AG530" s="201"/>
    </row>
    <row r="531" spans="1:33" ht="25.5" customHeight="1" thickTop="1" thickBot="1">
      <c r="A531" s="217" t="str">
        <f t="shared" si="17"/>
        <v>#BL25-0002</v>
      </c>
      <c r="B531" s="181"/>
      <c r="C531" s="181"/>
      <c r="D531" s="208"/>
      <c r="E531" s="183"/>
      <c r="F531" s="184" t="str">
        <f t="shared" si="16"/>
        <v>Construction Exemplaire Inc.</v>
      </c>
      <c r="G531" s="184"/>
      <c r="H531" s="183"/>
      <c r="I531" s="182"/>
      <c r="J531" s="185"/>
      <c r="K531" s="185"/>
      <c r="L531" s="185"/>
      <c r="M531" s="187"/>
      <c r="N531" s="185"/>
      <c r="O531" s="188"/>
      <c r="P531" s="188"/>
      <c r="Q531" s="189"/>
      <c r="R531" s="190"/>
      <c r="S531" s="190"/>
      <c r="T531" s="190"/>
      <c r="U531" s="191"/>
      <c r="V531" s="192"/>
      <c r="W531" s="193"/>
      <c r="X531" s="194"/>
      <c r="Y531" s="195"/>
      <c r="Z531" s="196"/>
      <c r="AA531" s="203"/>
      <c r="AB531" s="198"/>
      <c r="AC531" s="199"/>
      <c r="AD531" s="200"/>
      <c r="AE531" s="182"/>
      <c r="AF531" s="201"/>
      <c r="AG531" s="201"/>
    </row>
    <row r="532" spans="1:33" ht="25.5" customHeight="1" thickTop="1" thickBot="1">
      <c r="A532" s="217" t="str">
        <f t="shared" si="17"/>
        <v>#BL25-0002</v>
      </c>
      <c r="B532" s="181"/>
      <c r="C532" s="181"/>
      <c r="D532" s="208"/>
      <c r="E532" s="183"/>
      <c r="F532" s="184" t="str">
        <f t="shared" si="16"/>
        <v>Construction Exemplaire Inc.</v>
      </c>
      <c r="G532" s="184"/>
      <c r="H532" s="183"/>
      <c r="I532" s="182"/>
      <c r="J532" s="185"/>
      <c r="K532" s="185"/>
      <c r="L532" s="185"/>
      <c r="M532" s="187"/>
      <c r="N532" s="185"/>
      <c r="O532" s="188"/>
      <c r="P532" s="188"/>
      <c r="Q532" s="189"/>
      <c r="R532" s="190"/>
      <c r="S532" s="190"/>
      <c r="T532" s="190"/>
      <c r="U532" s="191"/>
      <c r="V532" s="192"/>
      <c r="W532" s="193"/>
      <c r="X532" s="194"/>
      <c r="Y532" s="195"/>
      <c r="Z532" s="196"/>
      <c r="AA532" s="203"/>
      <c r="AB532" s="198"/>
      <c r="AC532" s="199"/>
      <c r="AD532" s="200"/>
      <c r="AE532" s="182"/>
      <c r="AF532" s="201"/>
      <c r="AG532" s="201"/>
    </row>
    <row r="533" spans="1:33" ht="25.5" customHeight="1" thickTop="1" thickBot="1">
      <c r="A533" s="217" t="str">
        <f t="shared" si="17"/>
        <v>#BL25-0002</v>
      </c>
      <c r="B533" s="181"/>
      <c r="C533" s="181"/>
      <c r="D533" s="208"/>
      <c r="E533" s="183"/>
      <c r="F533" s="184" t="str">
        <f t="shared" si="16"/>
        <v>Construction Exemplaire Inc.</v>
      </c>
      <c r="G533" s="184"/>
      <c r="H533" s="183"/>
      <c r="I533" s="182"/>
      <c r="J533" s="185"/>
      <c r="K533" s="185"/>
      <c r="L533" s="185"/>
      <c r="M533" s="187"/>
      <c r="N533" s="185"/>
      <c r="O533" s="188"/>
      <c r="P533" s="188"/>
      <c r="Q533" s="189"/>
      <c r="R533" s="190"/>
      <c r="S533" s="190"/>
      <c r="T533" s="190"/>
      <c r="U533" s="191"/>
      <c r="V533" s="192"/>
      <c r="W533" s="193"/>
      <c r="X533" s="194"/>
      <c r="Y533" s="195"/>
      <c r="Z533" s="196"/>
      <c r="AA533" s="203"/>
      <c r="AB533" s="198"/>
      <c r="AC533" s="199"/>
      <c r="AD533" s="200"/>
      <c r="AE533" s="182"/>
      <c r="AF533" s="201"/>
      <c r="AG533" s="201"/>
    </row>
    <row r="534" spans="1:33" ht="25.5" customHeight="1" thickTop="1" thickBot="1">
      <c r="A534" s="217" t="str">
        <f t="shared" si="17"/>
        <v>#BL25-0002</v>
      </c>
      <c r="B534" s="181"/>
      <c r="C534" s="181"/>
      <c r="D534" s="208"/>
      <c r="E534" s="183"/>
      <c r="F534" s="184" t="str">
        <f t="shared" si="16"/>
        <v>Construction Exemplaire Inc.</v>
      </c>
      <c r="G534" s="184"/>
      <c r="H534" s="183"/>
      <c r="I534" s="182"/>
      <c r="J534" s="185"/>
      <c r="K534" s="185"/>
      <c r="L534" s="185"/>
      <c r="M534" s="187"/>
      <c r="N534" s="185"/>
      <c r="O534" s="188"/>
      <c r="P534" s="188"/>
      <c r="Q534" s="189"/>
      <c r="R534" s="190"/>
      <c r="S534" s="190"/>
      <c r="T534" s="190"/>
      <c r="U534" s="191"/>
      <c r="V534" s="192"/>
      <c r="W534" s="193"/>
      <c r="X534" s="194"/>
      <c r="Y534" s="195"/>
      <c r="Z534" s="196"/>
      <c r="AA534" s="203"/>
      <c r="AB534" s="198"/>
      <c r="AC534" s="199"/>
      <c r="AD534" s="200"/>
      <c r="AE534" s="182"/>
      <c r="AF534" s="201"/>
      <c r="AG534" s="201"/>
    </row>
    <row r="535" spans="1:33" ht="25.5" customHeight="1" thickTop="1" thickBot="1">
      <c r="A535" s="217" t="str">
        <f t="shared" si="17"/>
        <v>#BL25-0002</v>
      </c>
      <c r="B535" s="181"/>
      <c r="C535" s="181"/>
      <c r="D535" s="208"/>
      <c r="E535" s="183"/>
      <c r="F535" s="184" t="str">
        <f t="shared" si="16"/>
        <v>Construction Exemplaire Inc.</v>
      </c>
      <c r="G535" s="184"/>
      <c r="H535" s="183"/>
      <c r="I535" s="182"/>
      <c r="J535" s="185"/>
      <c r="K535" s="185"/>
      <c r="L535" s="185"/>
      <c r="M535" s="187"/>
      <c r="N535" s="185"/>
      <c r="O535" s="188"/>
      <c r="P535" s="188"/>
      <c r="Q535" s="189"/>
      <c r="R535" s="190"/>
      <c r="S535" s="190"/>
      <c r="T535" s="190"/>
      <c r="U535" s="191"/>
      <c r="V535" s="192"/>
      <c r="W535" s="193"/>
      <c r="X535" s="194"/>
      <c r="Y535" s="195"/>
      <c r="Z535" s="196"/>
      <c r="AA535" s="203"/>
      <c r="AB535" s="198"/>
      <c r="AC535" s="199"/>
      <c r="AD535" s="200"/>
      <c r="AE535" s="182"/>
      <c r="AF535" s="201"/>
      <c r="AG535" s="201"/>
    </row>
    <row r="536" spans="1:33" ht="25.5" customHeight="1" thickTop="1" thickBot="1">
      <c r="A536" s="217" t="str">
        <f t="shared" si="17"/>
        <v>#BL25-0002</v>
      </c>
      <c r="B536" s="181"/>
      <c r="C536" s="181"/>
      <c r="D536" s="208"/>
      <c r="E536" s="183"/>
      <c r="F536" s="184" t="str">
        <f t="shared" si="16"/>
        <v>Construction Exemplaire Inc.</v>
      </c>
      <c r="G536" s="184"/>
      <c r="H536" s="183"/>
      <c r="I536" s="182"/>
      <c r="J536" s="185"/>
      <c r="K536" s="185"/>
      <c r="L536" s="185"/>
      <c r="M536" s="187"/>
      <c r="N536" s="185"/>
      <c r="O536" s="188"/>
      <c r="P536" s="188"/>
      <c r="Q536" s="189"/>
      <c r="R536" s="190"/>
      <c r="S536" s="190"/>
      <c r="T536" s="190"/>
      <c r="U536" s="191"/>
      <c r="V536" s="192"/>
      <c r="W536" s="193"/>
      <c r="X536" s="194"/>
      <c r="Y536" s="195"/>
      <c r="Z536" s="196"/>
      <c r="AA536" s="203"/>
      <c r="AB536" s="198"/>
      <c r="AC536" s="199"/>
      <c r="AD536" s="200"/>
      <c r="AE536" s="182"/>
      <c r="AF536" s="201"/>
      <c r="AG536" s="201"/>
    </row>
    <row r="537" spans="1:33" ht="25.5" customHeight="1" thickTop="1" thickBot="1">
      <c r="A537" s="217" t="str">
        <f t="shared" si="17"/>
        <v>#BL25-0002</v>
      </c>
      <c r="B537" s="181"/>
      <c r="C537" s="181"/>
      <c r="D537" s="208"/>
      <c r="E537" s="183"/>
      <c r="F537" s="184" t="str">
        <f t="shared" si="16"/>
        <v>Construction Exemplaire Inc.</v>
      </c>
      <c r="G537" s="184"/>
      <c r="H537" s="183"/>
      <c r="I537" s="182"/>
      <c r="J537" s="185"/>
      <c r="K537" s="185"/>
      <c r="L537" s="185"/>
      <c r="M537" s="187"/>
      <c r="N537" s="185"/>
      <c r="O537" s="188"/>
      <c r="P537" s="188"/>
      <c r="Q537" s="189"/>
      <c r="R537" s="190"/>
      <c r="S537" s="190"/>
      <c r="T537" s="190"/>
      <c r="U537" s="191"/>
      <c r="V537" s="192"/>
      <c r="W537" s="193"/>
      <c r="X537" s="194"/>
      <c r="Y537" s="195"/>
      <c r="Z537" s="196"/>
      <c r="AA537" s="203"/>
      <c r="AB537" s="198"/>
      <c r="AC537" s="199"/>
      <c r="AD537" s="200"/>
      <c r="AE537" s="182"/>
      <c r="AF537" s="201"/>
      <c r="AG537" s="201"/>
    </row>
    <row r="538" spans="1:33" ht="25.5" customHeight="1" thickTop="1" thickBot="1">
      <c r="A538" s="217" t="str">
        <f t="shared" si="17"/>
        <v>#BL25-0002</v>
      </c>
      <c r="B538" s="181"/>
      <c r="C538" s="181"/>
      <c r="D538" s="208"/>
      <c r="E538" s="183"/>
      <c r="F538" s="184" t="str">
        <f t="shared" si="16"/>
        <v>Construction Exemplaire Inc.</v>
      </c>
      <c r="G538" s="184"/>
      <c r="H538" s="183"/>
      <c r="I538" s="182"/>
      <c r="J538" s="185"/>
      <c r="K538" s="185"/>
      <c r="L538" s="185"/>
      <c r="M538" s="187"/>
      <c r="N538" s="185"/>
      <c r="O538" s="188"/>
      <c r="P538" s="188"/>
      <c r="Q538" s="189"/>
      <c r="R538" s="190"/>
      <c r="S538" s="190"/>
      <c r="T538" s="190"/>
      <c r="U538" s="191"/>
      <c r="V538" s="192"/>
      <c r="W538" s="193"/>
      <c r="X538" s="194"/>
      <c r="Y538" s="195"/>
      <c r="Z538" s="196"/>
      <c r="AA538" s="203"/>
      <c r="AB538" s="198"/>
      <c r="AC538" s="199"/>
      <c r="AD538" s="200"/>
      <c r="AE538" s="182"/>
      <c r="AF538" s="201"/>
      <c r="AG538" s="201"/>
    </row>
    <row r="539" spans="1:33" ht="25.5" customHeight="1" thickTop="1" thickBot="1">
      <c r="A539" s="217" t="str">
        <f t="shared" si="17"/>
        <v>#BL25-0002</v>
      </c>
      <c r="B539" s="181"/>
      <c r="C539" s="181"/>
      <c r="D539" s="208"/>
      <c r="E539" s="183"/>
      <c r="F539" s="184" t="str">
        <f t="shared" si="16"/>
        <v>Construction Exemplaire Inc.</v>
      </c>
      <c r="G539" s="184"/>
      <c r="H539" s="183"/>
      <c r="I539" s="182"/>
      <c r="J539" s="185"/>
      <c r="K539" s="185"/>
      <c r="L539" s="185"/>
      <c r="M539" s="187"/>
      <c r="N539" s="185"/>
      <c r="O539" s="188"/>
      <c r="P539" s="188"/>
      <c r="Q539" s="189"/>
      <c r="R539" s="190"/>
      <c r="S539" s="190"/>
      <c r="T539" s="190"/>
      <c r="U539" s="191"/>
      <c r="V539" s="192"/>
      <c r="W539" s="193"/>
      <c r="X539" s="194"/>
      <c r="Y539" s="195"/>
      <c r="Z539" s="196"/>
      <c r="AA539" s="203"/>
      <c r="AB539" s="198"/>
      <c r="AC539" s="199"/>
      <c r="AD539" s="200"/>
      <c r="AE539" s="182"/>
      <c r="AF539" s="201"/>
      <c r="AG539" s="201"/>
    </row>
    <row r="540" spans="1:33" ht="25.5" customHeight="1" thickTop="1" thickBot="1">
      <c r="A540" s="217" t="str">
        <f t="shared" si="17"/>
        <v>#BL25-0002</v>
      </c>
      <c r="B540" s="181"/>
      <c r="C540" s="181"/>
      <c r="D540" s="208"/>
      <c r="E540" s="183"/>
      <c r="F540" s="184" t="str">
        <f t="shared" si="16"/>
        <v>Construction Exemplaire Inc.</v>
      </c>
      <c r="G540" s="184"/>
      <c r="H540" s="183"/>
      <c r="I540" s="182"/>
      <c r="J540" s="185"/>
      <c r="K540" s="185"/>
      <c r="L540" s="185"/>
      <c r="M540" s="187"/>
      <c r="N540" s="185"/>
      <c r="O540" s="188"/>
      <c r="P540" s="188"/>
      <c r="Q540" s="189"/>
      <c r="R540" s="190"/>
      <c r="S540" s="190"/>
      <c r="T540" s="190"/>
      <c r="U540" s="191"/>
      <c r="V540" s="192"/>
      <c r="W540" s="193"/>
      <c r="X540" s="194"/>
      <c r="Y540" s="195"/>
      <c r="Z540" s="196"/>
      <c r="AA540" s="203"/>
      <c r="AB540" s="198"/>
      <c r="AC540" s="199"/>
      <c r="AD540" s="200"/>
      <c r="AE540" s="182"/>
      <c r="AF540" s="201"/>
      <c r="AG540" s="201"/>
    </row>
    <row r="541" spans="1:33" ht="25.5" customHeight="1" thickTop="1" thickBot="1">
      <c r="A541" s="217" t="str">
        <f t="shared" si="17"/>
        <v>#BL25-0002</v>
      </c>
      <c r="B541" s="181"/>
      <c r="C541" s="181"/>
      <c r="D541" s="207"/>
      <c r="E541" s="183"/>
      <c r="F541" s="184" t="str">
        <f t="shared" si="16"/>
        <v>Construction Exemplaire Inc.</v>
      </c>
      <c r="G541" s="184"/>
      <c r="H541" s="183"/>
      <c r="I541" s="182"/>
      <c r="J541" s="185"/>
      <c r="K541" s="185"/>
      <c r="L541" s="185"/>
      <c r="M541" s="187"/>
      <c r="N541" s="185"/>
      <c r="O541" s="188"/>
      <c r="P541" s="188"/>
      <c r="Q541" s="189"/>
      <c r="R541" s="190"/>
      <c r="S541" s="190"/>
      <c r="T541" s="190"/>
      <c r="U541" s="191"/>
      <c r="V541" s="192"/>
      <c r="W541" s="193"/>
      <c r="X541" s="194"/>
      <c r="Y541" s="195"/>
      <c r="Z541" s="196"/>
      <c r="AA541" s="203"/>
      <c r="AB541" s="198"/>
      <c r="AC541" s="199"/>
      <c r="AD541" s="200"/>
      <c r="AE541" s="182"/>
      <c r="AF541" s="201"/>
      <c r="AG541" s="201"/>
    </row>
    <row r="542" spans="1:33" ht="25.5" customHeight="1" thickTop="1" thickBot="1">
      <c r="A542" s="217" t="str">
        <f t="shared" si="17"/>
        <v>#BL25-0002</v>
      </c>
      <c r="B542" s="181"/>
      <c r="C542" s="181"/>
      <c r="D542" s="208"/>
      <c r="E542" s="183"/>
      <c r="F542" s="184" t="str">
        <f t="shared" si="16"/>
        <v>Construction Exemplaire Inc.</v>
      </c>
      <c r="G542" s="184"/>
      <c r="H542" s="183"/>
      <c r="I542" s="182"/>
      <c r="J542" s="185"/>
      <c r="K542" s="185"/>
      <c r="L542" s="185"/>
      <c r="M542" s="187"/>
      <c r="N542" s="185"/>
      <c r="O542" s="188"/>
      <c r="P542" s="188"/>
      <c r="Q542" s="189"/>
      <c r="R542" s="190"/>
      <c r="S542" s="190"/>
      <c r="T542" s="190"/>
      <c r="U542" s="191"/>
      <c r="V542" s="192"/>
      <c r="W542" s="193"/>
      <c r="X542" s="194"/>
      <c r="Y542" s="195"/>
      <c r="Z542" s="196"/>
      <c r="AA542" s="203"/>
      <c r="AB542" s="198"/>
      <c r="AC542" s="199"/>
      <c r="AD542" s="200"/>
      <c r="AE542" s="182"/>
      <c r="AF542" s="201"/>
      <c r="AG542" s="201"/>
    </row>
    <row r="543" spans="1:33" ht="25.5" customHeight="1" thickTop="1" thickBot="1">
      <c r="A543" s="217" t="str">
        <f t="shared" si="17"/>
        <v>#BL25-0002</v>
      </c>
      <c r="B543" s="181"/>
      <c r="C543" s="181"/>
      <c r="D543" s="208"/>
      <c r="E543" s="183"/>
      <c r="F543" s="184" t="str">
        <f t="shared" si="16"/>
        <v>Construction Exemplaire Inc.</v>
      </c>
      <c r="G543" s="184"/>
      <c r="H543" s="183"/>
      <c r="I543" s="182"/>
      <c r="J543" s="185"/>
      <c r="K543" s="185"/>
      <c r="L543" s="185"/>
      <c r="M543" s="187"/>
      <c r="N543" s="185"/>
      <c r="O543" s="188"/>
      <c r="P543" s="188"/>
      <c r="Q543" s="189"/>
      <c r="R543" s="190"/>
      <c r="S543" s="190"/>
      <c r="T543" s="190"/>
      <c r="U543" s="191"/>
      <c r="V543" s="192"/>
      <c r="W543" s="193"/>
      <c r="X543" s="194"/>
      <c r="Y543" s="195"/>
      <c r="Z543" s="196"/>
      <c r="AA543" s="203"/>
      <c r="AB543" s="198"/>
      <c r="AC543" s="199"/>
      <c r="AD543" s="200"/>
      <c r="AE543" s="182"/>
      <c r="AF543" s="201"/>
      <c r="AG543" s="201"/>
    </row>
    <row r="544" spans="1:33" ht="25.5" customHeight="1" thickTop="1" thickBot="1">
      <c r="A544" s="217" t="str">
        <f t="shared" si="17"/>
        <v>#BL25-0002</v>
      </c>
      <c r="B544" s="181"/>
      <c r="C544" s="181"/>
      <c r="D544" s="208"/>
      <c r="E544" s="183"/>
      <c r="F544" s="184" t="str">
        <f t="shared" si="16"/>
        <v>Construction Exemplaire Inc.</v>
      </c>
      <c r="G544" s="184"/>
      <c r="H544" s="183"/>
      <c r="I544" s="182"/>
      <c r="J544" s="185"/>
      <c r="K544" s="185"/>
      <c r="L544" s="185"/>
      <c r="M544" s="187"/>
      <c r="N544" s="185"/>
      <c r="O544" s="188"/>
      <c r="P544" s="188"/>
      <c r="Q544" s="189"/>
      <c r="R544" s="190"/>
      <c r="S544" s="190"/>
      <c r="T544" s="190"/>
      <c r="U544" s="191"/>
      <c r="V544" s="192"/>
      <c r="W544" s="193"/>
      <c r="X544" s="194"/>
      <c r="Y544" s="195"/>
      <c r="Z544" s="196"/>
      <c r="AA544" s="203"/>
      <c r="AB544" s="198"/>
      <c r="AC544" s="199"/>
      <c r="AD544" s="200"/>
      <c r="AE544" s="182"/>
      <c r="AF544" s="201"/>
      <c r="AG544" s="201"/>
    </row>
    <row r="545" spans="1:33" ht="25.5" customHeight="1" thickTop="1" thickBot="1">
      <c r="A545" s="217" t="str">
        <f t="shared" si="17"/>
        <v>#BL25-0002</v>
      </c>
      <c r="B545" s="181"/>
      <c r="C545" s="181"/>
      <c r="D545" s="207"/>
      <c r="E545" s="183"/>
      <c r="F545" s="184" t="str">
        <f t="shared" si="16"/>
        <v>Construction Exemplaire Inc.</v>
      </c>
      <c r="G545" s="184"/>
      <c r="H545" s="183"/>
      <c r="I545" s="182"/>
      <c r="J545" s="185"/>
      <c r="K545" s="185"/>
      <c r="L545" s="185"/>
      <c r="M545" s="187"/>
      <c r="N545" s="185"/>
      <c r="O545" s="188"/>
      <c r="P545" s="188"/>
      <c r="Q545" s="189"/>
      <c r="R545" s="190"/>
      <c r="S545" s="190"/>
      <c r="T545" s="190"/>
      <c r="U545" s="191"/>
      <c r="V545" s="192"/>
      <c r="W545" s="193"/>
      <c r="X545" s="194"/>
      <c r="Y545" s="195"/>
      <c r="Z545" s="196"/>
      <c r="AA545" s="203"/>
      <c r="AB545" s="198"/>
      <c r="AC545" s="199"/>
      <c r="AD545" s="200"/>
      <c r="AE545" s="182"/>
      <c r="AF545" s="201"/>
      <c r="AG545" s="201"/>
    </row>
    <row r="546" spans="1:33" ht="25.5" customHeight="1" thickTop="1" thickBot="1">
      <c r="A546" s="217" t="str">
        <f t="shared" si="17"/>
        <v>#BL25-0002</v>
      </c>
      <c r="B546" s="181"/>
      <c r="C546" s="181"/>
      <c r="D546" s="207"/>
      <c r="E546" s="183"/>
      <c r="F546" s="184" t="str">
        <f t="shared" si="16"/>
        <v>Construction Exemplaire Inc.</v>
      </c>
      <c r="G546" s="184"/>
      <c r="H546" s="183"/>
      <c r="I546" s="182"/>
      <c r="J546" s="185"/>
      <c r="K546" s="185"/>
      <c r="L546" s="185"/>
      <c r="M546" s="187"/>
      <c r="N546" s="185"/>
      <c r="O546" s="188"/>
      <c r="P546" s="188"/>
      <c r="Q546" s="189"/>
      <c r="R546" s="190"/>
      <c r="S546" s="190"/>
      <c r="T546" s="190"/>
      <c r="U546" s="191"/>
      <c r="V546" s="192"/>
      <c r="W546" s="193"/>
      <c r="X546" s="194"/>
      <c r="Y546" s="195"/>
      <c r="Z546" s="196"/>
      <c r="AA546" s="203"/>
      <c r="AB546" s="198"/>
      <c r="AC546" s="199"/>
      <c r="AD546" s="200"/>
      <c r="AE546" s="182"/>
      <c r="AF546" s="201"/>
      <c r="AG546" s="201"/>
    </row>
    <row r="547" spans="1:33" ht="25.5" customHeight="1" thickTop="1" thickBot="1">
      <c r="A547" s="217" t="str">
        <f t="shared" si="17"/>
        <v>#BL25-0002</v>
      </c>
      <c r="B547" s="181"/>
      <c r="C547" s="181"/>
      <c r="D547" s="208"/>
      <c r="E547" s="183"/>
      <c r="F547" s="184" t="str">
        <f t="shared" si="16"/>
        <v>Construction Exemplaire Inc.</v>
      </c>
      <c r="G547" s="184"/>
      <c r="H547" s="183"/>
      <c r="I547" s="182"/>
      <c r="J547" s="185"/>
      <c r="K547" s="185"/>
      <c r="L547" s="185"/>
      <c r="M547" s="187"/>
      <c r="N547" s="185"/>
      <c r="O547" s="188"/>
      <c r="P547" s="188"/>
      <c r="Q547" s="189"/>
      <c r="R547" s="190"/>
      <c r="S547" s="190"/>
      <c r="T547" s="190"/>
      <c r="U547" s="191"/>
      <c r="V547" s="192"/>
      <c r="W547" s="193"/>
      <c r="X547" s="194"/>
      <c r="Y547" s="195"/>
      <c r="Z547" s="196"/>
      <c r="AA547" s="203"/>
      <c r="AB547" s="198"/>
      <c r="AC547" s="199"/>
      <c r="AD547" s="200"/>
      <c r="AE547" s="182"/>
      <c r="AF547" s="201"/>
      <c r="AG547" s="201"/>
    </row>
    <row r="548" spans="1:33" ht="25.5" customHeight="1" thickTop="1" thickBot="1">
      <c r="A548" s="217" t="str">
        <f t="shared" si="17"/>
        <v>#BL25-0002</v>
      </c>
      <c r="B548" s="181"/>
      <c r="C548" s="181"/>
      <c r="D548" s="208"/>
      <c r="E548" s="183"/>
      <c r="F548" s="184" t="str">
        <f t="shared" si="16"/>
        <v>Construction Exemplaire Inc.</v>
      </c>
      <c r="G548" s="184"/>
      <c r="H548" s="183"/>
      <c r="I548" s="182"/>
      <c r="J548" s="185"/>
      <c r="K548" s="185"/>
      <c r="L548" s="185"/>
      <c r="M548" s="187"/>
      <c r="N548" s="185"/>
      <c r="O548" s="188"/>
      <c r="P548" s="188"/>
      <c r="Q548" s="189"/>
      <c r="R548" s="190"/>
      <c r="S548" s="190"/>
      <c r="T548" s="190"/>
      <c r="U548" s="191"/>
      <c r="V548" s="192"/>
      <c r="W548" s="193"/>
      <c r="X548" s="194"/>
      <c r="Y548" s="195"/>
      <c r="Z548" s="196"/>
      <c r="AA548" s="203"/>
      <c r="AB548" s="198"/>
      <c r="AC548" s="199"/>
      <c r="AD548" s="200"/>
      <c r="AE548" s="182"/>
      <c r="AF548" s="201"/>
      <c r="AG548" s="201"/>
    </row>
    <row r="549" spans="1:33" ht="25.5" customHeight="1" thickTop="1" thickBot="1">
      <c r="A549" s="217" t="str">
        <f t="shared" si="17"/>
        <v>#BL25-0002</v>
      </c>
      <c r="B549" s="181"/>
      <c r="C549" s="181"/>
      <c r="D549" s="208"/>
      <c r="E549" s="183"/>
      <c r="F549" s="184" t="str">
        <f t="shared" si="16"/>
        <v>Construction Exemplaire Inc.</v>
      </c>
      <c r="G549" s="184"/>
      <c r="H549" s="183"/>
      <c r="I549" s="182"/>
      <c r="J549" s="185"/>
      <c r="K549" s="185"/>
      <c r="L549" s="185"/>
      <c r="M549" s="187"/>
      <c r="N549" s="185"/>
      <c r="O549" s="188"/>
      <c r="P549" s="188"/>
      <c r="Q549" s="189"/>
      <c r="R549" s="190"/>
      <c r="S549" s="190"/>
      <c r="T549" s="190"/>
      <c r="U549" s="191"/>
      <c r="V549" s="192"/>
      <c r="W549" s="193"/>
      <c r="X549" s="194"/>
      <c r="Y549" s="195"/>
      <c r="Z549" s="196"/>
      <c r="AA549" s="203"/>
      <c r="AB549" s="198"/>
      <c r="AC549" s="199"/>
      <c r="AD549" s="200"/>
      <c r="AE549" s="182"/>
      <c r="AF549" s="201"/>
      <c r="AG549" s="201"/>
    </row>
    <row r="550" spans="1:33" ht="25.5" customHeight="1" thickTop="1" thickBot="1">
      <c r="A550" s="217" t="str">
        <f t="shared" si="17"/>
        <v>#BL25-0002</v>
      </c>
      <c r="B550" s="181"/>
      <c r="C550" s="181"/>
      <c r="D550" s="208"/>
      <c r="E550" s="183"/>
      <c r="F550" s="184" t="str">
        <f t="shared" si="16"/>
        <v>Construction Exemplaire Inc.</v>
      </c>
      <c r="G550" s="184"/>
      <c r="H550" s="183"/>
      <c r="I550" s="182"/>
      <c r="J550" s="185"/>
      <c r="K550" s="185"/>
      <c r="L550" s="185"/>
      <c r="M550" s="187"/>
      <c r="N550" s="185"/>
      <c r="O550" s="188"/>
      <c r="P550" s="188"/>
      <c r="Q550" s="189"/>
      <c r="R550" s="190"/>
      <c r="S550" s="190"/>
      <c r="T550" s="190"/>
      <c r="U550" s="191"/>
      <c r="V550" s="192"/>
      <c r="W550" s="193"/>
      <c r="X550" s="194"/>
      <c r="Y550" s="195"/>
      <c r="Z550" s="196"/>
      <c r="AA550" s="203"/>
      <c r="AB550" s="198"/>
      <c r="AC550" s="199"/>
      <c r="AD550" s="200"/>
      <c r="AE550" s="182"/>
      <c r="AF550" s="201"/>
      <c r="AG550" s="201"/>
    </row>
    <row r="551" spans="1:33" ht="25.5" customHeight="1" thickTop="1" thickBot="1">
      <c r="A551" s="217" t="str">
        <f t="shared" si="17"/>
        <v>#BL25-0002</v>
      </c>
      <c r="B551" s="181"/>
      <c r="C551" s="181"/>
      <c r="D551" s="208"/>
      <c r="E551" s="183"/>
      <c r="F551" s="184" t="str">
        <f t="shared" si="16"/>
        <v>Construction Exemplaire Inc.</v>
      </c>
      <c r="G551" s="184"/>
      <c r="H551" s="183"/>
      <c r="I551" s="182"/>
      <c r="J551" s="185"/>
      <c r="K551" s="185"/>
      <c r="L551" s="185"/>
      <c r="M551" s="187"/>
      <c r="N551" s="185"/>
      <c r="O551" s="188"/>
      <c r="P551" s="188"/>
      <c r="Q551" s="189"/>
      <c r="R551" s="190"/>
      <c r="S551" s="190"/>
      <c r="T551" s="190"/>
      <c r="U551" s="191"/>
      <c r="V551" s="192"/>
      <c r="W551" s="193"/>
      <c r="X551" s="194"/>
      <c r="Y551" s="195"/>
      <c r="Z551" s="196"/>
      <c r="AA551" s="203"/>
      <c r="AB551" s="198"/>
      <c r="AC551" s="199"/>
      <c r="AD551" s="200"/>
      <c r="AE551" s="182"/>
      <c r="AF551" s="201"/>
      <c r="AG551" s="201"/>
    </row>
    <row r="552" spans="1:33" ht="25.5" customHeight="1" thickTop="1" thickBot="1">
      <c r="A552" s="217" t="str">
        <f t="shared" si="17"/>
        <v>#BL25-0002</v>
      </c>
      <c r="B552" s="181"/>
      <c r="C552" s="181"/>
      <c r="D552" s="208"/>
      <c r="E552" s="183"/>
      <c r="F552" s="184" t="str">
        <f t="shared" si="16"/>
        <v>Construction Exemplaire Inc.</v>
      </c>
      <c r="G552" s="184"/>
      <c r="H552" s="183"/>
      <c r="I552" s="182"/>
      <c r="J552" s="185"/>
      <c r="K552" s="185"/>
      <c r="L552" s="185"/>
      <c r="M552" s="187"/>
      <c r="N552" s="185"/>
      <c r="O552" s="188"/>
      <c r="P552" s="188"/>
      <c r="Q552" s="189"/>
      <c r="R552" s="190"/>
      <c r="S552" s="190"/>
      <c r="T552" s="190"/>
      <c r="U552" s="191"/>
      <c r="V552" s="192"/>
      <c r="W552" s="193"/>
      <c r="X552" s="194"/>
      <c r="Y552" s="195"/>
      <c r="Z552" s="196"/>
      <c r="AA552" s="203"/>
      <c r="AB552" s="198"/>
      <c r="AC552" s="199"/>
      <c r="AD552" s="200"/>
      <c r="AE552" s="182"/>
      <c r="AF552" s="201"/>
      <c r="AG552" s="201"/>
    </row>
    <row r="553" spans="1:33" ht="25.5" customHeight="1" thickTop="1" thickBot="1">
      <c r="A553" s="217" t="str">
        <f t="shared" si="17"/>
        <v>#BL25-0002</v>
      </c>
      <c r="B553" s="181"/>
      <c r="C553" s="181"/>
      <c r="D553" s="208"/>
      <c r="E553" s="183"/>
      <c r="F553" s="184" t="str">
        <f t="shared" si="16"/>
        <v>Construction Exemplaire Inc.</v>
      </c>
      <c r="G553" s="184"/>
      <c r="H553" s="183"/>
      <c r="I553" s="182"/>
      <c r="J553" s="185"/>
      <c r="K553" s="185"/>
      <c r="L553" s="185"/>
      <c r="M553" s="187"/>
      <c r="N553" s="185"/>
      <c r="O553" s="209"/>
      <c r="P553" s="209"/>
      <c r="Q553" s="209"/>
      <c r="R553" s="190"/>
      <c r="S553" s="190"/>
      <c r="T553" s="190"/>
      <c r="U553" s="191"/>
      <c r="V553" s="192"/>
      <c r="W553" s="193"/>
      <c r="X553" s="194"/>
      <c r="Y553" s="195"/>
      <c r="Z553" s="196"/>
      <c r="AA553" s="203"/>
      <c r="AB553" s="198"/>
      <c r="AC553" s="199"/>
      <c r="AD553" s="200"/>
      <c r="AE553" s="182"/>
      <c r="AF553" s="201"/>
      <c r="AG553" s="201"/>
    </row>
    <row r="554" spans="1:33" ht="25.5" customHeight="1" thickTop="1" thickBot="1">
      <c r="A554" s="217" t="str">
        <f t="shared" si="17"/>
        <v>#BL25-0002</v>
      </c>
      <c r="B554" s="181"/>
      <c r="C554" s="181"/>
      <c r="D554" s="208"/>
      <c r="E554" s="183"/>
      <c r="F554" s="184" t="str">
        <f t="shared" si="16"/>
        <v>Construction Exemplaire Inc.</v>
      </c>
      <c r="G554" s="184"/>
      <c r="H554" s="183"/>
      <c r="I554" s="182"/>
      <c r="J554" s="185"/>
      <c r="K554" s="185"/>
      <c r="L554" s="185"/>
      <c r="M554" s="187"/>
      <c r="N554" s="185"/>
      <c r="O554" s="209"/>
      <c r="P554" s="209"/>
      <c r="Q554" s="209"/>
      <c r="R554" s="190"/>
      <c r="S554" s="190"/>
      <c r="T554" s="190"/>
      <c r="U554" s="191"/>
      <c r="V554" s="192"/>
      <c r="W554" s="193"/>
      <c r="X554" s="194"/>
      <c r="Y554" s="195"/>
      <c r="Z554" s="196"/>
      <c r="AA554" s="203"/>
      <c r="AB554" s="198"/>
      <c r="AC554" s="199"/>
      <c r="AD554" s="200"/>
      <c r="AE554" s="182"/>
      <c r="AF554" s="201"/>
      <c r="AG554" s="201"/>
    </row>
    <row r="555" spans="1:33" ht="25.5" customHeight="1" thickTop="1" thickBot="1">
      <c r="A555" s="217" t="str">
        <f t="shared" si="17"/>
        <v>#BL25-0002</v>
      </c>
      <c r="B555" s="181"/>
      <c r="C555" s="181"/>
      <c r="D555" s="208"/>
      <c r="E555" s="183"/>
      <c r="F555" s="184" t="str">
        <f t="shared" si="16"/>
        <v>Construction Exemplaire Inc.</v>
      </c>
      <c r="G555" s="184"/>
      <c r="H555" s="183"/>
      <c r="I555" s="182"/>
      <c r="J555" s="185"/>
      <c r="K555" s="185"/>
      <c r="L555" s="185"/>
      <c r="M555" s="187"/>
      <c r="N555" s="185"/>
      <c r="O555" s="209"/>
      <c r="P555" s="209"/>
      <c r="Q555" s="209"/>
      <c r="R555" s="190"/>
      <c r="S555" s="190"/>
      <c r="T555" s="190"/>
      <c r="U555" s="191"/>
      <c r="V555" s="192"/>
      <c r="W555" s="193"/>
      <c r="X555" s="194"/>
      <c r="Y555" s="195"/>
      <c r="Z555" s="196"/>
      <c r="AA555" s="203"/>
      <c r="AB555" s="198"/>
      <c r="AC555" s="199"/>
      <c r="AD555" s="200"/>
      <c r="AE555" s="182"/>
      <c r="AF555" s="201"/>
      <c r="AG555" s="201"/>
    </row>
    <row r="556" spans="1:33" ht="25.5" customHeight="1" thickTop="1" thickBot="1">
      <c r="A556" s="217" t="str">
        <f t="shared" si="17"/>
        <v>#BL25-0002</v>
      </c>
      <c r="B556" s="181"/>
      <c r="C556" s="181"/>
      <c r="D556" s="208"/>
      <c r="E556" s="183"/>
      <c r="F556" s="184" t="str">
        <f t="shared" si="16"/>
        <v>Construction Exemplaire Inc.</v>
      </c>
      <c r="G556" s="184"/>
      <c r="H556" s="183"/>
      <c r="I556" s="182"/>
      <c r="J556" s="185"/>
      <c r="K556" s="185"/>
      <c r="L556" s="185"/>
      <c r="M556" s="187"/>
      <c r="N556" s="185"/>
      <c r="O556" s="209"/>
      <c r="P556" s="209"/>
      <c r="Q556" s="209"/>
      <c r="R556" s="190"/>
      <c r="S556" s="190"/>
      <c r="T556" s="190"/>
      <c r="U556" s="191"/>
      <c r="V556" s="192"/>
      <c r="W556" s="193"/>
      <c r="X556" s="194"/>
      <c r="Y556" s="195"/>
      <c r="Z556" s="196"/>
      <c r="AA556" s="203"/>
      <c r="AB556" s="198"/>
      <c r="AC556" s="199"/>
      <c r="AD556" s="200"/>
      <c r="AE556" s="182"/>
      <c r="AF556" s="201"/>
      <c r="AG556" s="201"/>
    </row>
    <row r="557" spans="1:33" ht="25.5" customHeight="1" thickTop="1" thickBot="1">
      <c r="A557" s="217" t="str">
        <f t="shared" si="17"/>
        <v>#BL25-0002</v>
      </c>
      <c r="B557" s="181"/>
      <c r="C557" s="181"/>
      <c r="D557" s="208"/>
      <c r="E557" s="183"/>
      <c r="F557" s="184" t="str">
        <f t="shared" si="16"/>
        <v>Construction Exemplaire Inc.</v>
      </c>
      <c r="G557" s="184"/>
      <c r="H557" s="183"/>
      <c r="I557" s="182"/>
      <c r="J557" s="185"/>
      <c r="K557" s="185"/>
      <c r="L557" s="185"/>
      <c r="M557" s="187"/>
      <c r="N557" s="185"/>
      <c r="O557" s="209"/>
      <c r="P557" s="209"/>
      <c r="Q557" s="209"/>
      <c r="R557" s="190"/>
      <c r="S557" s="190"/>
      <c r="T557" s="190"/>
      <c r="U557" s="191"/>
      <c r="V557" s="192"/>
      <c r="W557" s="193"/>
      <c r="X557" s="194"/>
      <c r="Y557" s="195"/>
      <c r="Z557" s="196"/>
      <c r="AA557" s="203"/>
      <c r="AB557" s="198"/>
      <c r="AC557" s="199"/>
      <c r="AD557" s="200"/>
      <c r="AE557" s="182"/>
      <c r="AF557" s="201"/>
      <c r="AG557" s="201"/>
    </row>
    <row r="558" spans="1:33" ht="25.5" customHeight="1" thickTop="1" thickBot="1">
      <c r="A558" s="217" t="str">
        <f t="shared" si="17"/>
        <v>#BL25-0002</v>
      </c>
      <c r="B558" s="181"/>
      <c r="C558" s="181"/>
      <c r="D558" s="208"/>
      <c r="E558" s="183"/>
      <c r="F558" s="184" t="str">
        <f t="shared" si="16"/>
        <v>Construction Exemplaire Inc.</v>
      </c>
      <c r="G558" s="184"/>
      <c r="H558" s="183"/>
      <c r="I558" s="182"/>
      <c r="J558" s="185"/>
      <c r="K558" s="185"/>
      <c r="L558" s="185"/>
      <c r="M558" s="187"/>
      <c r="N558" s="185"/>
      <c r="O558" s="188"/>
      <c r="P558" s="188"/>
      <c r="Q558" s="189"/>
      <c r="R558" s="190"/>
      <c r="S558" s="190"/>
      <c r="T558" s="190"/>
      <c r="U558" s="212"/>
      <c r="V558" s="213"/>
      <c r="W558" s="214"/>
      <c r="X558" s="194"/>
      <c r="Y558" s="195"/>
      <c r="Z558" s="196"/>
      <c r="AA558" s="203"/>
      <c r="AB558" s="198"/>
      <c r="AC558" s="199"/>
      <c r="AD558" s="200"/>
      <c r="AE558" s="182"/>
      <c r="AF558" s="201"/>
      <c r="AG558" s="201"/>
    </row>
    <row r="559" spans="1:33" ht="56.25" customHeight="1" thickTop="1" thickBot="1">
      <c r="A559" s="217" t="str">
        <f t="shared" si="17"/>
        <v>#BL25-0002</v>
      </c>
      <c r="B559" s="181"/>
      <c r="C559" s="181"/>
      <c r="D559" s="208"/>
      <c r="E559" s="183"/>
      <c r="F559" s="184" t="str">
        <f t="shared" si="16"/>
        <v>Construction Exemplaire Inc.</v>
      </c>
      <c r="G559" s="184"/>
      <c r="H559" s="183"/>
      <c r="I559" s="182"/>
      <c r="J559" s="185"/>
      <c r="K559" s="185"/>
      <c r="L559" s="185"/>
      <c r="M559" s="187"/>
      <c r="N559" s="185"/>
      <c r="O559" s="188"/>
      <c r="P559" s="188"/>
      <c r="Q559" s="189"/>
      <c r="R559" s="190"/>
      <c r="S559" s="190"/>
      <c r="T559" s="190"/>
      <c r="U559" s="212"/>
      <c r="V559" s="213"/>
      <c r="W559" s="214"/>
      <c r="X559" s="194"/>
      <c r="Y559" s="195"/>
      <c r="Z559" s="196"/>
      <c r="AA559" s="203"/>
      <c r="AB559" s="198"/>
      <c r="AC559" s="199"/>
      <c r="AD559" s="200"/>
      <c r="AE559" s="182"/>
      <c r="AF559" s="201"/>
      <c r="AG559" s="201"/>
    </row>
    <row r="560" spans="1:33" ht="22.5" customHeight="1" thickTop="1" thickBot="1">
      <c r="A560" s="217" t="str">
        <f t="shared" si="17"/>
        <v>#BL25-0002</v>
      </c>
      <c r="B560" s="181"/>
      <c r="C560" s="181"/>
      <c r="D560" s="208"/>
      <c r="E560" s="183"/>
      <c r="F560" s="184" t="str">
        <f t="shared" si="16"/>
        <v>Construction Exemplaire Inc.</v>
      </c>
      <c r="G560" s="184"/>
      <c r="H560" s="183"/>
      <c r="I560" s="182"/>
      <c r="J560" s="185"/>
      <c r="K560" s="185"/>
      <c r="L560" s="185"/>
      <c r="M560" s="187"/>
      <c r="N560" s="185"/>
      <c r="O560" s="188"/>
      <c r="P560" s="188"/>
      <c r="Q560" s="189"/>
      <c r="R560" s="190"/>
      <c r="S560" s="190"/>
      <c r="T560" s="190"/>
      <c r="U560" s="212"/>
      <c r="V560" s="213"/>
      <c r="W560" s="214"/>
      <c r="X560" s="194"/>
      <c r="Y560" s="195"/>
      <c r="Z560" s="196"/>
      <c r="AA560" s="203"/>
      <c r="AB560" s="198"/>
      <c r="AC560" s="199"/>
      <c r="AD560" s="200"/>
      <c r="AE560" s="182"/>
      <c r="AF560" s="201"/>
      <c r="AG560" s="201"/>
    </row>
    <row r="561" spans="1:33" ht="22.5" customHeight="1" thickTop="1" thickBot="1">
      <c r="A561" s="217" t="str">
        <f t="shared" si="17"/>
        <v>#BL25-0002</v>
      </c>
      <c r="B561" s="181"/>
      <c r="C561" s="181"/>
      <c r="D561" s="208"/>
      <c r="E561" s="183"/>
      <c r="F561" s="184" t="str">
        <f t="shared" si="16"/>
        <v>Construction Exemplaire Inc.</v>
      </c>
      <c r="G561" s="184"/>
      <c r="H561" s="183"/>
      <c r="I561" s="182"/>
      <c r="J561" s="185"/>
      <c r="K561" s="185"/>
      <c r="L561" s="185"/>
      <c r="M561" s="187"/>
      <c r="N561" s="185"/>
      <c r="O561" s="188"/>
      <c r="P561" s="188"/>
      <c r="Q561" s="189"/>
      <c r="R561" s="190"/>
      <c r="S561" s="190"/>
      <c r="T561" s="190"/>
      <c r="U561" s="212"/>
      <c r="V561" s="213"/>
      <c r="W561" s="214"/>
      <c r="X561" s="194"/>
      <c r="Y561" s="195"/>
      <c r="Z561" s="196"/>
      <c r="AA561" s="203"/>
      <c r="AB561" s="198"/>
      <c r="AC561" s="199"/>
      <c r="AD561" s="200"/>
      <c r="AE561" s="182"/>
      <c r="AF561" s="201"/>
      <c r="AG561" s="201"/>
    </row>
    <row r="562" spans="1:33" ht="22.5" customHeight="1" thickTop="1" thickBot="1">
      <c r="A562" s="217" t="str">
        <f t="shared" si="17"/>
        <v>#BL25-0002</v>
      </c>
      <c r="B562" s="181"/>
      <c r="C562" s="181"/>
      <c r="D562" s="208"/>
      <c r="E562" s="183"/>
      <c r="F562" s="184" t="str">
        <f t="shared" si="16"/>
        <v>Construction Exemplaire Inc.</v>
      </c>
      <c r="G562" s="184"/>
      <c r="H562" s="183"/>
      <c r="I562" s="182"/>
      <c r="J562" s="185"/>
      <c r="K562" s="185"/>
      <c r="L562" s="185"/>
      <c r="M562" s="187"/>
      <c r="N562" s="185"/>
      <c r="O562" s="188"/>
      <c r="P562" s="188"/>
      <c r="Q562" s="189"/>
      <c r="R562" s="190"/>
      <c r="S562" s="190"/>
      <c r="T562" s="190"/>
      <c r="U562" s="212"/>
      <c r="V562" s="213"/>
      <c r="W562" s="214"/>
      <c r="X562" s="194"/>
      <c r="Y562" s="195"/>
      <c r="Z562" s="196"/>
      <c r="AA562" s="203"/>
      <c r="AB562" s="198"/>
      <c r="AC562" s="199"/>
      <c r="AD562" s="200"/>
      <c r="AE562" s="182"/>
      <c r="AF562" s="201"/>
      <c r="AG562" s="201"/>
    </row>
    <row r="563" spans="1:33" ht="22.5" customHeight="1" thickTop="1" thickBot="1">
      <c r="A563" s="217" t="str">
        <f t="shared" si="17"/>
        <v>#BL25-0002</v>
      </c>
      <c r="B563" s="181"/>
      <c r="C563" s="181"/>
      <c r="D563" s="208"/>
      <c r="E563" s="183"/>
      <c r="F563" s="184" t="str">
        <f t="shared" si="16"/>
        <v>Construction Exemplaire Inc.</v>
      </c>
      <c r="G563" s="184"/>
      <c r="H563" s="183"/>
      <c r="I563" s="182"/>
      <c r="J563" s="185"/>
      <c r="K563" s="185"/>
      <c r="L563" s="185"/>
      <c r="M563" s="187"/>
      <c r="N563" s="185"/>
      <c r="O563" s="188"/>
      <c r="P563" s="188"/>
      <c r="Q563" s="189"/>
      <c r="R563" s="190"/>
      <c r="S563" s="190"/>
      <c r="T563" s="190"/>
      <c r="U563" s="212"/>
      <c r="V563" s="213"/>
      <c r="W563" s="214"/>
      <c r="X563" s="194"/>
      <c r="Y563" s="195"/>
      <c r="Z563" s="196"/>
      <c r="AA563" s="203"/>
      <c r="AB563" s="198"/>
      <c r="AC563" s="199"/>
      <c r="AD563" s="200"/>
      <c r="AE563" s="182"/>
      <c r="AF563" s="201"/>
      <c r="AG563" s="201"/>
    </row>
    <row r="564" spans="1:33" ht="22.5" customHeight="1" thickTop="1" thickBot="1">
      <c r="A564" s="217" t="str">
        <f t="shared" si="17"/>
        <v>#BL25-0002</v>
      </c>
      <c r="B564" s="181"/>
      <c r="C564" s="181"/>
      <c r="D564" s="208"/>
      <c r="E564" s="183"/>
      <c r="F564" s="184" t="str">
        <f t="shared" si="16"/>
        <v>Construction Exemplaire Inc.</v>
      </c>
      <c r="G564" s="184"/>
      <c r="H564" s="183"/>
      <c r="I564" s="182"/>
      <c r="J564" s="185"/>
      <c r="K564" s="185"/>
      <c r="L564" s="185"/>
      <c r="M564" s="187"/>
      <c r="N564" s="185"/>
      <c r="O564" s="188"/>
      <c r="P564" s="188"/>
      <c r="Q564" s="189"/>
      <c r="R564" s="190"/>
      <c r="S564" s="190"/>
      <c r="T564" s="190"/>
      <c r="U564" s="212"/>
      <c r="V564" s="213"/>
      <c r="W564" s="214"/>
      <c r="X564" s="194"/>
      <c r="Y564" s="195"/>
      <c r="Z564" s="196"/>
      <c r="AA564" s="203"/>
      <c r="AB564" s="198"/>
      <c r="AC564" s="199"/>
      <c r="AD564" s="200"/>
      <c r="AE564" s="182"/>
      <c r="AF564" s="201"/>
      <c r="AG564" s="201"/>
    </row>
    <row r="565" spans="1:33" ht="22.5" customHeight="1" thickTop="1" thickBot="1">
      <c r="A565" s="217" t="str">
        <f t="shared" si="17"/>
        <v>#BL25-0002</v>
      </c>
      <c r="B565" s="181"/>
      <c r="C565" s="181"/>
      <c r="D565" s="208"/>
      <c r="E565" s="183"/>
      <c r="F565" s="184" t="str">
        <f t="shared" si="16"/>
        <v>Construction Exemplaire Inc.</v>
      </c>
      <c r="G565" s="184"/>
      <c r="H565" s="183"/>
      <c r="I565" s="182"/>
      <c r="J565" s="185"/>
      <c r="K565" s="185"/>
      <c r="L565" s="185"/>
      <c r="M565" s="187"/>
      <c r="N565" s="185"/>
      <c r="O565" s="188"/>
      <c r="P565" s="188"/>
      <c r="Q565" s="189"/>
      <c r="R565" s="190"/>
      <c r="S565" s="190"/>
      <c r="T565" s="190"/>
      <c r="U565" s="212"/>
      <c r="V565" s="213"/>
      <c r="W565" s="214"/>
      <c r="X565" s="194"/>
      <c r="Y565" s="195"/>
      <c r="Z565" s="196"/>
      <c r="AA565" s="203"/>
      <c r="AB565" s="198"/>
      <c r="AC565" s="199"/>
      <c r="AD565" s="200"/>
      <c r="AE565" s="182"/>
      <c r="AF565" s="201"/>
      <c r="AG565" s="201"/>
    </row>
    <row r="566" spans="1:33" ht="22.5" customHeight="1" thickTop="1" thickBot="1">
      <c r="A566" s="217" t="str">
        <f t="shared" si="17"/>
        <v>#BL25-0002</v>
      </c>
      <c r="B566" s="181"/>
      <c r="C566" s="181"/>
      <c r="D566" s="208"/>
      <c r="E566" s="183"/>
      <c r="F566" s="184" t="str">
        <f t="shared" si="16"/>
        <v>Construction Exemplaire Inc.</v>
      </c>
      <c r="G566" s="184"/>
      <c r="H566" s="183"/>
      <c r="I566" s="182"/>
      <c r="J566" s="185"/>
      <c r="K566" s="185"/>
      <c r="L566" s="185"/>
      <c r="M566" s="187"/>
      <c r="N566" s="185"/>
      <c r="O566" s="188"/>
      <c r="P566" s="188"/>
      <c r="Q566" s="189"/>
      <c r="R566" s="190"/>
      <c r="S566" s="190"/>
      <c r="T566" s="190"/>
      <c r="U566" s="212"/>
      <c r="V566" s="213"/>
      <c r="W566" s="214"/>
      <c r="X566" s="194"/>
      <c r="Y566" s="195"/>
      <c r="Z566" s="196"/>
      <c r="AA566" s="203"/>
      <c r="AB566" s="198"/>
      <c r="AC566" s="199"/>
      <c r="AD566" s="200"/>
      <c r="AE566" s="182"/>
      <c r="AF566" s="201"/>
      <c r="AG566" s="201"/>
    </row>
    <row r="567" spans="1:33" ht="22.5" customHeight="1" thickTop="1" thickBot="1">
      <c r="A567" s="217" t="str">
        <f t="shared" si="17"/>
        <v>#BL25-0002</v>
      </c>
      <c r="B567" s="181"/>
      <c r="C567" s="181"/>
      <c r="D567" s="208"/>
      <c r="E567" s="183"/>
      <c r="F567" s="184" t="str">
        <f t="shared" si="16"/>
        <v>Construction Exemplaire Inc.</v>
      </c>
      <c r="G567" s="184"/>
      <c r="H567" s="183"/>
      <c r="I567" s="182"/>
      <c r="J567" s="185"/>
      <c r="K567" s="185"/>
      <c r="L567" s="185"/>
      <c r="M567" s="187"/>
      <c r="N567" s="185"/>
      <c r="O567" s="188"/>
      <c r="P567" s="188"/>
      <c r="Q567" s="189"/>
      <c r="R567" s="190"/>
      <c r="S567" s="190"/>
      <c r="T567" s="190"/>
      <c r="U567" s="212"/>
      <c r="V567" s="213"/>
      <c r="W567" s="214"/>
      <c r="X567" s="194"/>
      <c r="Y567" s="195"/>
      <c r="Z567" s="196"/>
      <c r="AA567" s="203"/>
      <c r="AB567" s="198"/>
      <c r="AC567" s="199"/>
      <c r="AD567" s="200"/>
      <c r="AE567" s="182"/>
      <c r="AF567" s="201"/>
      <c r="AG567" s="201"/>
    </row>
    <row r="568" spans="1:33" ht="22.5" customHeight="1" thickTop="1" thickBot="1">
      <c r="A568" s="217" t="str">
        <f t="shared" si="17"/>
        <v>#BL25-0002</v>
      </c>
      <c r="B568" s="181"/>
      <c r="C568" s="181"/>
      <c r="D568" s="208"/>
      <c r="E568" s="183"/>
      <c r="F568" s="184" t="str">
        <f t="shared" si="16"/>
        <v>Construction Exemplaire Inc.</v>
      </c>
      <c r="G568" s="184"/>
      <c r="H568" s="183"/>
      <c r="I568" s="182"/>
      <c r="J568" s="185"/>
      <c r="K568" s="185"/>
      <c r="L568" s="185"/>
      <c r="M568" s="187"/>
      <c r="N568" s="185"/>
      <c r="O568" s="188"/>
      <c r="P568" s="188"/>
      <c r="Q568" s="189"/>
      <c r="R568" s="190"/>
      <c r="S568" s="190"/>
      <c r="T568" s="190"/>
      <c r="U568" s="212"/>
      <c r="V568" s="213"/>
      <c r="W568" s="214"/>
      <c r="X568" s="194"/>
      <c r="Y568" s="195"/>
      <c r="Z568" s="196"/>
      <c r="AA568" s="203"/>
      <c r="AB568" s="198"/>
      <c r="AC568" s="199"/>
      <c r="AD568" s="200"/>
      <c r="AE568" s="182"/>
      <c r="AF568" s="201"/>
      <c r="AG568" s="201"/>
    </row>
    <row r="569" spans="1:33" ht="22.5" customHeight="1" thickTop="1" thickBot="1">
      <c r="A569" s="217" t="str">
        <f t="shared" si="17"/>
        <v>#BL25-0002</v>
      </c>
      <c r="B569" s="181"/>
      <c r="C569" s="181"/>
      <c r="D569" s="208"/>
      <c r="E569" s="183"/>
      <c r="F569" s="184" t="str">
        <f t="shared" si="16"/>
        <v>Construction Exemplaire Inc.</v>
      </c>
      <c r="G569" s="184"/>
      <c r="H569" s="183"/>
      <c r="I569" s="182"/>
      <c r="J569" s="185"/>
      <c r="K569" s="185"/>
      <c r="L569" s="185"/>
      <c r="M569" s="187"/>
      <c r="N569" s="185"/>
      <c r="O569" s="188"/>
      <c r="P569" s="188"/>
      <c r="Q569" s="189"/>
      <c r="R569" s="190"/>
      <c r="S569" s="190"/>
      <c r="T569" s="190"/>
      <c r="U569" s="212"/>
      <c r="V569" s="213"/>
      <c r="W569" s="214"/>
      <c r="X569" s="194"/>
      <c r="Y569" s="195"/>
      <c r="Z569" s="196"/>
      <c r="AA569" s="203"/>
      <c r="AB569" s="198"/>
      <c r="AC569" s="199"/>
      <c r="AD569" s="200"/>
      <c r="AE569" s="182"/>
      <c r="AF569" s="201"/>
      <c r="AG569" s="201"/>
    </row>
    <row r="570" spans="1:33" ht="22.5" customHeight="1" thickTop="1" thickBot="1">
      <c r="A570" s="217" t="str">
        <f t="shared" si="17"/>
        <v>#BL25-0002</v>
      </c>
      <c r="B570" s="181"/>
      <c r="C570" s="181"/>
      <c r="D570" s="208"/>
      <c r="E570" s="183"/>
      <c r="F570" s="184" t="str">
        <f t="shared" si="16"/>
        <v>Construction Exemplaire Inc.</v>
      </c>
      <c r="G570" s="184"/>
      <c r="H570" s="183"/>
      <c r="I570" s="182"/>
      <c r="J570" s="185"/>
      <c r="K570" s="185"/>
      <c r="L570" s="185"/>
      <c r="M570" s="187"/>
      <c r="N570" s="185"/>
      <c r="O570" s="188"/>
      <c r="P570" s="188"/>
      <c r="Q570" s="189"/>
      <c r="R570" s="190"/>
      <c r="S570" s="190"/>
      <c r="T570" s="190"/>
      <c r="U570" s="212"/>
      <c r="V570" s="213"/>
      <c r="W570" s="214"/>
      <c r="X570" s="194"/>
      <c r="Y570" s="195"/>
      <c r="Z570" s="196"/>
      <c r="AA570" s="203"/>
      <c r="AB570" s="198"/>
      <c r="AC570" s="199"/>
      <c r="AD570" s="200"/>
      <c r="AE570" s="182"/>
      <c r="AF570" s="201"/>
      <c r="AG570" s="201"/>
    </row>
    <row r="571" spans="1:33" ht="22.5" customHeight="1" thickTop="1" thickBot="1">
      <c r="A571" s="217" t="str">
        <f t="shared" si="17"/>
        <v>#BL25-0002</v>
      </c>
      <c r="B571" s="181"/>
      <c r="C571" s="181"/>
      <c r="D571" s="208"/>
      <c r="E571" s="183"/>
      <c r="F571" s="184" t="str">
        <f t="shared" si="16"/>
        <v>Construction Exemplaire Inc.</v>
      </c>
      <c r="G571" s="184"/>
      <c r="H571" s="183"/>
      <c r="I571" s="182"/>
      <c r="J571" s="185"/>
      <c r="K571" s="185"/>
      <c r="L571" s="185"/>
      <c r="M571" s="187"/>
      <c r="N571" s="185"/>
      <c r="O571" s="188"/>
      <c r="P571" s="188"/>
      <c r="Q571" s="189"/>
      <c r="R571" s="190"/>
      <c r="S571" s="190"/>
      <c r="T571" s="190"/>
      <c r="U571" s="212"/>
      <c r="V571" s="213"/>
      <c r="W571" s="214"/>
      <c r="X571" s="194"/>
      <c r="Y571" s="195"/>
      <c r="Z571" s="196"/>
      <c r="AA571" s="203"/>
      <c r="AB571" s="198"/>
      <c r="AC571" s="199"/>
      <c r="AD571" s="200"/>
      <c r="AE571" s="182"/>
      <c r="AF571" s="201"/>
      <c r="AG571" s="201"/>
    </row>
    <row r="572" spans="1:33" ht="22.5" customHeight="1" thickTop="1" thickBot="1">
      <c r="A572" s="217" t="str">
        <f t="shared" si="17"/>
        <v>#BL25-0002</v>
      </c>
      <c r="B572" s="181"/>
      <c r="C572" s="181"/>
      <c r="D572" s="208"/>
      <c r="E572" s="183"/>
      <c r="F572" s="184" t="str">
        <f t="shared" si="16"/>
        <v>Construction Exemplaire Inc.</v>
      </c>
      <c r="G572" s="184"/>
      <c r="H572" s="183"/>
      <c r="I572" s="182"/>
      <c r="J572" s="185"/>
      <c r="K572" s="185"/>
      <c r="L572" s="185"/>
      <c r="M572" s="187"/>
      <c r="N572" s="185"/>
      <c r="O572" s="188"/>
      <c r="P572" s="188"/>
      <c r="Q572" s="189"/>
      <c r="R572" s="190"/>
      <c r="S572" s="190"/>
      <c r="T572" s="190"/>
      <c r="U572" s="212"/>
      <c r="V572" s="213"/>
      <c r="W572" s="214"/>
      <c r="X572" s="194"/>
      <c r="Y572" s="195"/>
      <c r="Z572" s="196"/>
      <c r="AA572" s="203"/>
      <c r="AB572" s="198"/>
      <c r="AC572" s="199"/>
      <c r="AD572" s="200"/>
      <c r="AE572" s="182"/>
      <c r="AF572" s="201"/>
      <c r="AG572" s="201"/>
    </row>
    <row r="573" spans="1:33" ht="22.5" customHeight="1" thickTop="1" thickBot="1">
      <c r="A573" s="217" t="str">
        <f t="shared" si="17"/>
        <v>#BL25-0002</v>
      </c>
      <c r="B573" s="181"/>
      <c r="C573" s="181"/>
      <c r="D573" s="208"/>
      <c r="E573" s="183"/>
      <c r="F573" s="184" t="str">
        <f t="shared" si="16"/>
        <v>Construction Exemplaire Inc.</v>
      </c>
      <c r="G573" s="184"/>
      <c r="H573" s="183"/>
      <c r="I573" s="182"/>
      <c r="J573" s="185"/>
      <c r="K573" s="185"/>
      <c r="L573" s="185"/>
      <c r="M573" s="187"/>
      <c r="N573" s="185"/>
      <c r="O573" s="188"/>
      <c r="P573" s="188"/>
      <c r="Q573" s="189"/>
      <c r="R573" s="190"/>
      <c r="S573" s="190"/>
      <c r="T573" s="190"/>
      <c r="U573" s="212"/>
      <c r="V573" s="213"/>
      <c r="W573" s="214"/>
      <c r="X573" s="194"/>
      <c r="Y573" s="195"/>
      <c r="Z573" s="196"/>
      <c r="AA573" s="203"/>
      <c r="AB573" s="198"/>
      <c r="AC573" s="199"/>
      <c r="AD573" s="200"/>
      <c r="AE573" s="182"/>
      <c r="AF573" s="201"/>
      <c r="AG573" s="201"/>
    </row>
    <row r="574" spans="1:33" ht="28.5" customHeight="1" thickTop="1" thickBot="1">
      <c r="A574" s="217" t="str">
        <f t="shared" si="17"/>
        <v>#BL25-0002</v>
      </c>
      <c r="B574" s="181"/>
      <c r="C574" s="181"/>
      <c r="D574" s="208"/>
      <c r="E574" s="183"/>
      <c r="F574" s="184" t="str">
        <f t="shared" si="16"/>
        <v>Construction Exemplaire Inc.</v>
      </c>
      <c r="G574" s="184"/>
      <c r="H574" s="183"/>
      <c r="I574" s="182"/>
      <c r="J574" s="185"/>
      <c r="K574" s="185"/>
      <c r="L574" s="185"/>
      <c r="M574" s="187"/>
      <c r="N574" s="185"/>
      <c r="O574" s="206"/>
      <c r="P574" s="206"/>
      <c r="Q574" s="189"/>
      <c r="R574" s="190"/>
      <c r="S574" s="190"/>
      <c r="T574" s="190"/>
      <c r="U574" s="212"/>
      <c r="V574" s="213"/>
      <c r="W574" s="214"/>
      <c r="X574" s="194"/>
      <c r="Y574" s="195"/>
      <c r="Z574" s="196"/>
      <c r="AA574" s="203"/>
      <c r="AB574" s="198"/>
      <c r="AC574" s="199"/>
      <c r="AD574" s="200"/>
      <c r="AE574" s="182"/>
      <c r="AF574" s="201"/>
      <c r="AG574" s="201"/>
    </row>
    <row r="575" spans="1:33" ht="29.25" customHeight="1" thickTop="1" thickBot="1">
      <c r="A575" s="217" t="str">
        <f t="shared" si="17"/>
        <v>#BL25-0002</v>
      </c>
      <c r="B575" s="181"/>
      <c r="C575" s="181"/>
      <c r="D575" s="207"/>
      <c r="E575" s="183"/>
      <c r="F575" s="184" t="str">
        <f t="shared" si="16"/>
        <v>Construction Exemplaire Inc.</v>
      </c>
      <c r="G575" s="184"/>
      <c r="H575" s="183"/>
      <c r="I575" s="182"/>
      <c r="J575" s="185"/>
      <c r="K575" s="185"/>
      <c r="L575" s="185"/>
      <c r="M575" s="187"/>
      <c r="N575" s="185"/>
      <c r="O575" s="188"/>
      <c r="P575" s="188"/>
      <c r="Q575" s="189"/>
      <c r="R575" s="190"/>
      <c r="S575" s="190"/>
      <c r="T575" s="190"/>
      <c r="U575" s="212"/>
      <c r="V575" s="213"/>
      <c r="W575" s="214"/>
      <c r="X575" s="194"/>
      <c r="Y575" s="195"/>
      <c r="Z575" s="196"/>
      <c r="AA575" s="203"/>
      <c r="AB575" s="198"/>
      <c r="AC575" s="199"/>
      <c r="AD575" s="200"/>
      <c r="AE575" s="182"/>
      <c r="AF575" s="201"/>
      <c r="AG575" s="201"/>
    </row>
    <row r="576" spans="1:33" ht="29.25" customHeight="1" thickTop="1" thickBot="1">
      <c r="A576" s="217" t="str">
        <f t="shared" si="17"/>
        <v>#BL25-0002</v>
      </c>
      <c r="B576" s="181"/>
      <c r="C576" s="181"/>
      <c r="D576" s="207"/>
      <c r="E576" s="183"/>
      <c r="F576" s="184" t="str">
        <f t="shared" si="16"/>
        <v>Construction Exemplaire Inc.</v>
      </c>
      <c r="G576" s="184"/>
      <c r="H576" s="183"/>
      <c r="I576" s="182"/>
      <c r="J576" s="185"/>
      <c r="K576" s="185"/>
      <c r="L576" s="185"/>
      <c r="M576" s="187"/>
      <c r="N576" s="185"/>
      <c r="O576" s="188"/>
      <c r="P576" s="188"/>
      <c r="Q576" s="189"/>
      <c r="R576" s="190"/>
      <c r="S576" s="190"/>
      <c r="T576" s="190"/>
      <c r="U576" s="212"/>
      <c r="V576" s="213"/>
      <c r="W576" s="214"/>
      <c r="X576" s="194"/>
      <c r="Y576" s="195"/>
      <c r="Z576" s="196"/>
      <c r="AA576" s="203"/>
      <c r="AB576" s="198"/>
      <c r="AC576" s="199"/>
      <c r="AD576" s="200"/>
      <c r="AE576" s="182"/>
      <c r="AF576" s="201"/>
      <c r="AG576" s="201"/>
    </row>
    <row r="577" spans="1:33" ht="29.25" customHeight="1" thickTop="1" thickBot="1">
      <c r="A577" s="217" t="str">
        <f t="shared" si="17"/>
        <v>#BL25-0002</v>
      </c>
      <c r="B577" s="181"/>
      <c r="C577" s="181"/>
      <c r="D577" s="207"/>
      <c r="E577" s="183"/>
      <c r="F577" s="184" t="str">
        <f t="shared" si="16"/>
        <v>Construction Exemplaire Inc.</v>
      </c>
      <c r="G577" s="184"/>
      <c r="H577" s="183"/>
      <c r="I577" s="182"/>
      <c r="J577" s="185"/>
      <c r="K577" s="185"/>
      <c r="L577" s="185"/>
      <c r="M577" s="187"/>
      <c r="N577" s="185"/>
      <c r="O577" s="188"/>
      <c r="P577" s="188"/>
      <c r="Q577" s="189"/>
      <c r="R577" s="190"/>
      <c r="S577" s="190"/>
      <c r="T577" s="190"/>
      <c r="U577" s="212"/>
      <c r="V577" s="213"/>
      <c r="W577" s="214"/>
      <c r="X577" s="194"/>
      <c r="Y577" s="195"/>
      <c r="Z577" s="196"/>
      <c r="AA577" s="203"/>
      <c r="AB577" s="198"/>
      <c r="AC577" s="199"/>
      <c r="AD577" s="200"/>
      <c r="AE577" s="182"/>
      <c r="AF577" s="201"/>
      <c r="AG577" s="201"/>
    </row>
    <row r="578" spans="1:33" ht="29.25" customHeight="1" thickTop="1" thickBot="1">
      <c r="A578" s="217" t="str">
        <f t="shared" si="17"/>
        <v>#BL25-0002</v>
      </c>
      <c r="B578" s="181"/>
      <c r="C578" s="181"/>
      <c r="D578" s="207"/>
      <c r="E578" s="183"/>
      <c r="F578" s="184" t="str">
        <f t="shared" si="16"/>
        <v>Construction Exemplaire Inc.</v>
      </c>
      <c r="G578" s="184"/>
      <c r="H578" s="183"/>
      <c r="I578" s="182"/>
      <c r="J578" s="185"/>
      <c r="K578" s="185"/>
      <c r="L578" s="185"/>
      <c r="M578" s="187"/>
      <c r="N578" s="185"/>
      <c r="O578" s="188"/>
      <c r="P578" s="188"/>
      <c r="Q578" s="189"/>
      <c r="R578" s="190"/>
      <c r="S578" s="190"/>
      <c r="T578" s="190"/>
      <c r="U578" s="212"/>
      <c r="V578" s="213"/>
      <c r="W578" s="214"/>
      <c r="X578" s="194"/>
      <c r="Y578" s="195"/>
      <c r="Z578" s="196"/>
      <c r="AA578" s="203"/>
      <c r="AB578" s="198"/>
      <c r="AC578" s="199"/>
      <c r="AD578" s="200"/>
      <c r="AE578" s="182"/>
      <c r="AF578" s="201"/>
      <c r="AG578" s="201"/>
    </row>
    <row r="579" spans="1:33" ht="29.25" customHeight="1" thickTop="1" thickBot="1">
      <c r="A579" s="217" t="str">
        <f t="shared" si="17"/>
        <v>#BL25-0002</v>
      </c>
      <c r="B579" s="181"/>
      <c r="C579" s="181"/>
      <c r="D579" s="208"/>
      <c r="E579" s="183"/>
      <c r="F579" s="184" t="str">
        <f t="shared" si="16"/>
        <v>Construction Exemplaire Inc.</v>
      </c>
      <c r="G579" s="184"/>
      <c r="H579" s="183"/>
      <c r="I579" s="182"/>
      <c r="J579" s="185"/>
      <c r="K579" s="185"/>
      <c r="L579" s="185"/>
      <c r="M579" s="187"/>
      <c r="N579" s="185"/>
      <c r="O579" s="188"/>
      <c r="P579" s="188"/>
      <c r="Q579" s="189"/>
      <c r="R579" s="190"/>
      <c r="S579" s="190"/>
      <c r="T579" s="190"/>
      <c r="U579" s="212"/>
      <c r="V579" s="213"/>
      <c r="W579" s="214"/>
      <c r="X579" s="194"/>
      <c r="Y579" s="195"/>
      <c r="Z579" s="196"/>
      <c r="AA579" s="203"/>
      <c r="AB579" s="198"/>
      <c r="AC579" s="199"/>
      <c r="AD579" s="200"/>
      <c r="AE579" s="182"/>
      <c r="AF579" s="201"/>
      <c r="AG579" s="201"/>
    </row>
    <row r="580" spans="1:33" ht="29.25" customHeight="1" thickTop="1" thickBot="1">
      <c r="A580" s="217" t="str">
        <f t="shared" si="17"/>
        <v>#BL25-0002</v>
      </c>
      <c r="B580" s="181"/>
      <c r="C580" s="181"/>
      <c r="D580" s="208"/>
      <c r="E580" s="183"/>
      <c r="F580" s="184" t="str">
        <f t="shared" si="16"/>
        <v>Construction Exemplaire Inc.</v>
      </c>
      <c r="G580" s="184"/>
      <c r="H580" s="183"/>
      <c r="I580" s="182"/>
      <c r="J580" s="185"/>
      <c r="K580" s="185"/>
      <c r="L580" s="185"/>
      <c r="M580" s="187"/>
      <c r="N580" s="185"/>
      <c r="O580" s="188"/>
      <c r="P580" s="188"/>
      <c r="Q580" s="189"/>
      <c r="R580" s="190"/>
      <c r="S580" s="190"/>
      <c r="T580" s="190"/>
      <c r="U580" s="212"/>
      <c r="V580" s="213"/>
      <c r="W580" s="214"/>
      <c r="X580" s="194"/>
      <c r="Y580" s="195"/>
      <c r="Z580" s="196"/>
      <c r="AA580" s="203"/>
      <c r="AB580" s="198"/>
      <c r="AC580" s="199"/>
      <c r="AD580" s="200"/>
      <c r="AE580" s="182"/>
      <c r="AF580" s="201"/>
      <c r="AG580" s="201"/>
    </row>
    <row r="581" spans="1:33" ht="29.25" customHeight="1" thickTop="1" thickBot="1">
      <c r="A581" s="217" t="str">
        <f t="shared" si="17"/>
        <v>#BL25-0002</v>
      </c>
      <c r="B581" s="181"/>
      <c r="C581" s="181"/>
      <c r="D581" s="208"/>
      <c r="E581" s="183"/>
      <c r="F581" s="184" t="str">
        <f t="shared" si="16"/>
        <v>Construction Exemplaire Inc.</v>
      </c>
      <c r="G581" s="184"/>
      <c r="H581" s="183"/>
      <c r="I581" s="182"/>
      <c r="J581" s="185"/>
      <c r="K581" s="185"/>
      <c r="L581" s="185"/>
      <c r="M581" s="187"/>
      <c r="N581" s="185"/>
      <c r="O581" s="206"/>
      <c r="P581" s="188"/>
      <c r="Q581" s="189"/>
      <c r="R581" s="190"/>
      <c r="S581" s="190"/>
      <c r="T581" s="190"/>
      <c r="U581" s="212"/>
      <c r="V581" s="213"/>
      <c r="W581" s="214"/>
      <c r="X581" s="194"/>
      <c r="Y581" s="195"/>
      <c r="Z581" s="196"/>
      <c r="AA581" s="203"/>
      <c r="AB581" s="198"/>
      <c r="AC581" s="199"/>
      <c r="AD581" s="200"/>
      <c r="AE581" s="182"/>
      <c r="AF581" s="201"/>
      <c r="AG581" s="201"/>
    </row>
    <row r="582" spans="1:33" ht="29.25" customHeight="1" thickTop="1" thickBot="1">
      <c r="A582" s="217" t="str">
        <f t="shared" si="17"/>
        <v>#BL25-0002</v>
      </c>
      <c r="B582" s="181"/>
      <c r="C582" s="181"/>
      <c r="D582" s="208"/>
      <c r="E582" s="183"/>
      <c r="F582" s="184" t="str">
        <f t="shared" si="16"/>
        <v>Construction Exemplaire Inc.</v>
      </c>
      <c r="G582" s="184"/>
      <c r="H582" s="183"/>
      <c r="I582" s="182"/>
      <c r="J582" s="185"/>
      <c r="K582" s="185"/>
      <c r="L582" s="185"/>
      <c r="M582" s="187"/>
      <c r="N582" s="185"/>
      <c r="O582" s="206"/>
      <c r="P582" s="188"/>
      <c r="Q582" s="189"/>
      <c r="R582" s="190"/>
      <c r="S582" s="190"/>
      <c r="T582" s="190"/>
      <c r="U582" s="212"/>
      <c r="V582" s="213"/>
      <c r="W582" s="214"/>
      <c r="X582" s="194"/>
      <c r="Y582" s="195"/>
      <c r="Z582" s="196"/>
      <c r="AA582" s="203"/>
      <c r="AB582" s="198"/>
      <c r="AC582" s="199"/>
      <c r="AD582" s="200"/>
      <c r="AE582" s="182"/>
      <c r="AF582" s="201"/>
      <c r="AG582" s="201"/>
    </row>
    <row r="583" spans="1:33" ht="29.25" customHeight="1" thickTop="1" thickBot="1">
      <c r="A583" s="217" t="str">
        <f t="shared" si="17"/>
        <v>#BL25-0002</v>
      </c>
      <c r="B583" s="181"/>
      <c r="C583" s="181"/>
      <c r="D583" s="208"/>
      <c r="E583" s="183"/>
      <c r="F583" s="184" t="str">
        <f t="shared" si="16"/>
        <v>Construction Exemplaire Inc.</v>
      </c>
      <c r="G583" s="184"/>
      <c r="H583" s="183"/>
      <c r="I583" s="182"/>
      <c r="J583" s="185"/>
      <c r="K583" s="185"/>
      <c r="L583" s="185"/>
      <c r="M583" s="187"/>
      <c r="N583" s="185"/>
      <c r="O583" s="206"/>
      <c r="P583" s="188"/>
      <c r="Q583" s="189"/>
      <c r="R583" s="190"/>
      <c r="S583" s="190"/>
      <c r="T583" s="190"/>
      <c r="U583" s="212"/>
      <c r="V583" s="213"/>
      <c r="W583" s="214"/>
      <c r="X583" s="194"/>
      <c r="Y583" s="195"/>
      <c r="Z583" s="196"/>
      <c r="AA583" s="203"/>
      <c r="AB583" s="198"/>
      <c r="AC583" s="199"/>
      <c r="AD583" s="200"/>
      <c r="AE583" s="182"/>
      <c r="AF583" s="201"/>
      <c r="AG583" s="201"/>
    </row>
    <row r="584" spans="1:33" ht="29.25" customHeight="1" thickTop="1" thickBot="1">
      <c r="A584" s="217" t="str">
        <f t="shared" si="17"/>
        <v>#BL25-0002</v>
      </c>
      <c r="B584" s="181"/>
      <c r="C584" s="181"/>
      <c r="D584" s="208"/>
      <c r="E584" s="183"/>
      <c r="F584" s="184" t="str">
        <f t="shared" ref="F584:F606" si="18">nomClient</f>
        <v>Construction Exemplaire Inc.</v>
      </c>
      <c r="G584" s="184"/>
      <c r="H584" s="183"/>
      <c r="I584" s="182"/>
      <c r="J584" s="185"/>
      <c r="K584" s="185"/>
      <c r="L584" s="185"/>
      <c r="M584" s="187"/>
      <c r="N584" s="185"/>
      <c r="O584" s="206"/>
      <c r="P584" s="188"/>
      <c r="Q584" s="189"/>
      <c r="R584" s="190"/>
      <c r="S584" s="190"/>
      <c r="T584" s="190"/>
      <c r="U584" s="212"/>
      <c r="V584" s="213"/>
      <c r="W584" s="214"/>
      <c r="X584" s="194"/>
      <c r="Y584" s="195"/>
      <c r="Z584" s="196"/>
      <c r="AA584" s="203"/>
      <c r="AB584" s="198"/>
      <c r="AC584" s="199"/>
      <c r="AD584" s="200"/>
      <c r="AE584" s="182"/>
      <c r="AF584" s="201"/>
      <c r="AG584" s="201"/>
    </row>
    <row r="585" spans="1:33" ht="29.25" customHeight="1" thickTop="1" thickBot="1">
      <c r="A585" s="217" t="str">
        <f t="shared" ref="A585:A606" si="19">Ligne1</f>
        <v>#BL25-0002</v>
      </c>
      <c r="B585" s="181"/>
      <c r="C585" s="181"/>
      <c r="D585" s="208"/>
      <c r="E585" s="183"/>
      <c r="F585" s="184" t="str">
        <f t="shared" si="18"/>
        <v>Construction Exemplaire Inc.</v>
      </c>
      <c r="G585" s="184"/>
      <c r="H585" s="183"/>
      <c r="I585" s="182"/>
      <c r="J585" s="185"/>
      <c r="K585" s="185"/>
      <c r="L585" s="185"/>
      <c r="M585" s="187"/>
      <c r="N585" s="185"/>
      <c r="O585" s="206"/>
      <c r="P585" s="188"/>
      <c r="Q585" s="189"/>
      <c r="R585" s="190"/>
      <c r="S585" s="190"/>
      <c r="T585" s="190"/>
      <c r="U585" s="212"/>
      <c r="V585" s="213"/>
      <c r="W585" s="214"/>
      <c r="X585" s="194"/>
      <c r="Y585" s="195"/>
      <c r="Z585" s="196"/>
      <c r="AA585" s="203"/>
      <c r="AB585" s="198"/>
      <c r="AC585" s="199"/>
      <c r="AD585" s="200"/>
      <c r="AE585" s="182"/>
      <c r="AF585" s="201"/>
      <c r="AG585" s="201"/>
    </row>
    <row r="586" spans="1:33" ht="29.25" customHeight="1" thickTop="1" thickBot="1">
      <c r="A586" s="217" t="str">
        <f t="shared" si="19"/>
        <v>#BL25-0002</v>
      </c>
      <c r="B586" s="181"/>
      <c r="C586" s="181"/>
      <c r="D586" s="208"/>
      <c r="E586" s="183"/>
      <c r="F586" s="184" t="str">
        <f t="shared" si="18"/>
        <v>Construction Exemplaire Inc.</v>
      </c>
      <c r="G586" s="184"/>
      <c r="H586" s="183"/>
      <c r="I586" s="182"/>
      <c r="J586" s="185"/>
      <c r="K586" s="185"/>
      <c r="L586" s="185"/>
      <c r="M586" s="187"/>
      <c r="N586" s="185"/>
      <c r="O586" s="206"/>
      <c r="P586" s="188"/>
      <c r="Q586" s="189"/>
      <c r="R586" s="190"/>
      <c r="S586" s="190"/>
      <c r="T586" s="190"/>
      <c r="U586" s="212"/>
      <c r="V586" s="213"/>
      <c r="W586" s="214"/>
      <c r="X586" s="194"/>
      <c r="Y586" s="195"/>
      <c r="Z586" s="196"/>
      <c r="AA586" s="203"/>
      <c r="AB586" s="198"/>
      <c r="AC586" s="199"/>
      <c r="AD586" s="200"/>
      <c r="AE586" s="182"/>
      <c r="AF586" s="201"/>
      <c r="AG586" s="201"/>
    </row>
    <row r="587" spans="1:33" ht="29.25" customHeight="1" thickTop="1" thickBot="1">
      <c r="A587" s="217" t="str">
        <f t="shared" si="19"/>
        <v>#BL25-0002</v>
      </c>
      <c r="B587" s="181"/>
      <c r="C587" s="181"/>
      <c r="D587" s="208"/>
      <c r="E587" s="183"/>
      <c r="F587" s="184" t="str">
        <f t="shared" si="18"/>
        <v>Construction Exemplaire Inc.</v>
      </c>
      <c r="G587" s="184"/>
      <c r="H587" s="183"/>
      <c r="I587" s="182"/>
      <c r="J587" s="185"/>
      <c r="K587" s="185"/>
      <c r="L587" s="185"/>
      <c r="M587" s="187"/>
      <c r="N587" s="185"/>
      <c r="O587" s="206"/>
      <c r="P587" s="188"/>
      <c r="Q587" s="189"/>
      <c r="R587" s="190"/>
      <c r="S587" s="190"/>
      <c r="T587" s="190"/>
      <c r="U587" s="212"/>
      <c r="V587" s="213"/>
      <c r="W587" s="214"/>
      <c r="X587" s="194"/>
      <c r="Y587" s="195"/>
      <c r="Z587" s="196"/>
      <c r="AA587" s="203"/>
      <c r="AB587" s="198"/>
      <c r="AC587" s="199"/>
      <c r="AD587" s="200"/>
      <c r="AE587" s="182"/>
      <c r="AF587" s="201"/>
      <c r="AG587" s="201"/>
    </row>
    <row r="588" spans="1:33" ht="29.25" customHeight="1" thickTop="1" thickBot="1">
      <c r="A588" s="217" t="str">
        <f t="shared" si="19"/>
        <v>#BL25-0002</v>
      </c>
      <c r="B588" s="181"/>
      <c r="C588" s="181"/>
      <c r="D588" s="208"/>
      <c r="E588" s="183"/>
      <c r="F588" s="184" t="str">
        <f t="shared" si="18"/>
        <v>Construction Exemplaire Inc.</v>
      </c>
      <c r="G588" s="184"/>
      <c r="H588" s="183"/>
      <c r="I588" s="182"/>
      <c r="J588" s="185"/>
      <c r="K588" s="185"/>
      <c r="L588" s="185"/>
      <c r="M588" s="187"/>
      <c r="N588" s="185"/>
      <c r="O588" s="206"/>
      <c r="P588" s="188"/>
      <c r="Q588" s="189"/>
      <c r="R588" s="190"/>
      <c r="S588" s="190"/>
      <c r="T588" s="190"/>
      <c r="U588" s="212"/>
      <c r="V588" s="213"/>
      <c r="W588" s="214"/>
      <c r="X588" s="194"/>
      <c r="Y588" s="195"/>
      <c r="Z588" s="196"/>
      <c r="AA588" s="203"/>
      <c r="AB588" s="198"/>
      <c r="AC588" s="199"/>
      <c r="AD588" s="200"/>
      <c r="AE588" s="182"/>
      <c r="AF588" s="201"/>
      <c r="AG588" s="201"/>
    </row>
    <row r="589" spans="1:33" ht="29.25" customHeight="1" thickTop="1" thickBot="1">
      <c r="A589" s="217" t="str">
        <f t="shared" si="19"/>
        <v>#BL25-0002</v>
      </c>
      <c r="B589" s="181"/>
      <c r="C589" s="181"/>
      <c r="D589" s="208"/>
      <c r="E589" s="183"/>
      <c r="F589" s="184" t="str">
        <f t="shared" si="18"/>
        <v>Construction Exemplaire Inc.</v>
      </c>
      <c r="G589" s="184"/>
      <c r="H589" s="183"/>
      <c r="I589" s="182"/>
      <c r="J589" s="185"/>
      <c r="K589" s="185"/>
      <c r="L589" s="185"/>
      <c r="M589" s="187"/>
      <c r="N589" s="185"/>
      <c r="O589" s="206"/>
      <c r="P589" s="188"/>
      <c r="Q589" s="189"/>
      <c r="R589" s="190"/>
      <c r="S589" s="190"/>
      <c r="T589" s="190"/>
      <c r="U589" s="212"/>
      <c r="V589" s="213"/>
      <c r="W589" s="214"/>
      <c r="X589" s="194"/>
      <c r="Y589" s="195"/>
      <c r="Z589" s="196"/>
      <c r="AA589" s="203"/>
      <c r="AB589" s="198"/>
      <c r="AC589" s="199"/>
      <c r="AD589" s="200"/>
      <c r="AE589" s="182"/>
      <c r="AF589" s="201"/>
      <c r="AG589" s="201"/>
    </row>
    <row r="590" spans="1:33" ht="29.25" customHeight="1" thickTop="1" thickBot="1">
      <c r="A590" s="217" t="str">
        <f t="shared" si="19"/>
        <v>#BL25-0002</v>
      </c>
      <c r="B590" s="181"/>
      <c r="C590" s="181"/>
      <c r="D590" s="208"/>
      <c r="E590" s="183"/>
      <c r="F590" s="184" t="str">
        <f t="shared" si="18"/>
        <v>Construction Exemplaire Inc.</v>
      </c>
      <c r="G590" s="184"/>
      <c r="H590" s="183"/>
      <c r="I590" s="182"/>
      <c r="J590" s="185"/>
      <c r="K590" s="185"/>
      <c r="L590" s="185"/>
      <c r="M590" s="187"/>
      <c r="N590" s="185"/>
      <c r="O590" s="206"/>
      <c r="P590" s="188"/>
      <c r="Q590" s="189"/>
      <c r="R590" s="190"/>
      <c r="S590" s="190"/>
      <c r="T590" s="190"/>
      <c r="U590" s="212"/>
      <c r="V590" s="213"/>
      <c r="W590" s="214"/>
      <c r="X590" s="194"/>
      <c r="Y590" s="195"/>
      <c r="Z590" s="196"/>
      <c r="AA590" s="203"/>
      <c r="AB590" s="198"/>
      <c r="AC590" s="199"/>
      <c r="AD590" s="200"/>
      <c r="AE590" s="182"/>
      <c r="AF590" s="201"/>
      <c r="AG590" s="201"/>
    </row>
    <row r="591" spans="1:33" ht="29.25" customHeight="1" thickTop="1" thickBot="1">
      <c r="A591" s="217" t="str">
        <f t="shared" si="19"/>
        <v>#BL25-0002</v>
      </c>
      <c r="B591" s="181"/>
      <c r="C591" s="181"/>
      <c r="D591" s="208"/>
      <c r="E591" s="183"/>
      <c r="F591" s="184" t="str">
        <f t="shared" si="18"/>
        <v>Construction Exemplaire Inc.</v>
      </c>
      <c r="G591" s="184"/>
      <c r="H591" s="183"/>
      <c r="I591" s="182"/>
      <c r="J591" s="185"/>
      <c r="K591" s="185"/>
      <c r="L591" s="185"/>
      <c r="M591" s="187"/>
      <c r="N591" s="185"/>
      <c r="O591" s="206"/>
      <c r="P591" s="188"/>
      <c r="Q591" s="189"/>
      <c r="R591" s="190"/>
      <c r="S591" s="190"/>
      <c r="T591" s="190"/>
      <c r="U591" s="212"/>
      <c r="V591" s="213"/>
      <c r="W591" s="214"/>
      <c r="X591" s="194"/>
      <c r="Y591" s="195"/>
      <c r="Z591" s="196"/>
      <c r="AA591" s="203"/>
      <c r="AB591" s="198"/>
      <c r="AC591" s="199"/>
      <c r="AD591" s="200"/>
      <c r="AE591" s="182"/>
      <c r="AF591" s="201"/>
      <c r="AG591" s="201"/>
    </row>
    <row r="592" spans="1:33" ht="29.25" customHeight="1" thickTop="1" thickBot="1">
      <c r="A592" s="217" t="str">
        <f t="shared" si="19"/>
        <v>#BL25-0002</v>
      </c>
      <c r="B592" s="181"/>
      <c r="C592" s="181"/>
      <c r="D592" s="208"/>
      <c r="E592" s="183"/>
      <c r="F592" s="184" t="str">
        <f t="shared" si="18"/>
        <v>Construction Exemplaire Inc.</v>
      </c>
      <c r="G592" s="184"/>
      <c r="H592" s="183"/>
      <c r="I592" s="182"/>
      <c r="J592" s="185"/>
      <c r="K592" s="185"/>
      <c r="L592" s="185"/>
      <c r="M592" s="187"/>
      <c r="N592" s="185"/>
      <c r="O592" s="206"/>
      <c r="P592" s="188"/>
      <c r="Q592" s="189"/>
      <c r="R592" s="190"/>
      <c r="S592" s="190"/>
      <c r="T592" s="190"/>
      <c r="U592" s="212"/>
      <c r="V592" s="213"/>
      <c r="W592" s="214"/>
      <c r="X592" s="194"/>
      <c r="Y592" s="195"/>
      <c r="Z592" s="196"/>
      <c r="AA592" s="203"/>
      <c r="AB592" s="198"/>
      <c r="AC592" s="199"/>
      <c r="AD592" s="200"/>
      <c r="AE592" s="182"/>
      <c r="AF592" s="201"/>
      <c r="AG592" s="201"/>
    </row>
    <row r="593" spans="1:33" ht="29.25" customHeight="1" thickTop="1" thickBot="1">
      <c r="A593" s="217" t="str">
        <f t="shared" si="19"/>
        <v>#BL25-0002</v>
      </c>
      <c r="B593" s="181"/>
      <c r="C593" s="181"/>
      <c r="D593" s="208"/>
      <c r="E593" s="183"/>
      <c r="F593" s="184" t="str">
        <f t="shared" si="18"/>
        <v>Construction Exemplaire Inc.</v>
      </c>
      <c r="G593" s="184"/>
      <c r="H593" s="183"/>
      <c r="I593" s="182"/>
      <c r="J593" s="185"/>
      <c r="K593" s="185"/>
      <c r="L593" s="185"/>
      <c r="M593" s="187"/>
      <c r="N593" s="185"/>
      <c r="O593" s="206"/>
      <c r="P593" s="188"/>
      <c r="Q593" s="189"/>
      <c r="R593" s="190"/>
      <c r="S593" s="190"/>
      <c r="T593" s="190"/>
      <c r="U593" s="212"/>
      <c r="V593" s="213"/>
      <c r="W593" s="214"/>
      <c r="X593" s="194"/>
      <c r="Y593" s="195"/>
      <c r="Z593" s="196"/>
      <c r="AA593" s="203"/>
      <c r="AB593" s="198"/>
      <c r="AC593" s="199"/>
      <c r="AD593" s="200"/>
      <c r="AE593" s="182"/>
      <c r="AF593" s="201"/>
      <c r="AG593" s="201"/>
    </row>
    <row r="594" spans="1:33" ht="29.25" customHeight="1" thickTop="1" thickBot="1">
      <c r="A594" s="217" t="str">
        <f t="shared" si="19"/>
        <v>#BL25-0002</v>
      </c>
      <c r="B594" s="181"/>
      <c r="C594" s="181"/>
      <c r="D594" s="208"/>
      <c r="E594" s="183"/>
      <c r="F594" s="184" t="str">
        <f t="shared" si="18"/>
        <v>Construction Exemplaire Inc.</v>
      </c>
      <c r="G594" s="184"/>
      <c r="H594" s="183"/>
      <c r="I594" s="182"/>
      <c r="J594" s="185"/>
      <c r="K594" s="185"/>
      <c r="L594" s="185"/>
      <c r="M594" s="187"/>
      <c r="N594" s="185"/>
      <c r="O594" s="206"/>
      <c r="P594" s="188"/>
      <c r="Q594" s="189"/>
      <c r="R594" s="190"/>
      <c r="S594" s="190"/>
      <c r="T594" s="190"/>
      <c r="U594" s="212"/>
      <c r="V594" s="213"/>
      <c r="W594" s="214"/>
      <c r="X594" s="194"/>
      <c r="Y594" s="195"/>
      <c r="Z594" s="196"/>
      <c r="AA594" s="203"/>
      <c r="AB594" s="198"/>
      <c r="AC594" s="199"/>
      <c r="AD594" s="200"/>
      <c r="AE594" s="182"/>
      <c r="AF594" s="201"/>
      <c r="AG594" s="201"/>
    </row>
    <row r="595" spans="1:33" ht="29.25" customHeight="1" thickTop="1" thickBot="1">
      <c r="A595" s="217" t="str">
        <f t="shared" si="19"/>
        <v>#BL25-0002</v>
      </c>
      <c r="B595" s="181"/>
      <c r="C595" s="181"/>
      <c r="D595" s="208"/>
      <c r="E595" s="183"/>
      <c r="F595" s="184" t="str">
        <f t="shared" si="18"/>
        <v>Construction Exemplaire Inc.</v>
      </c>
      <c r="G595" s="184"/>
      <c r="H595" s="183"/>
      <c r="I595" s="182"/>
      <c r="J595" s="185"/>
      <c r="K595" s="185"/>
      <c r="L595" s="185"/>
      <c r="M595" s="187"/>
      <c r="N595" s="185"/>
      <c r="O595" s="206"/>
      <c r="P595" s="188"/>
      <c r="Q595" s="189"/>
      <c r="R595" s="190"/>
      <c r="S595" s="190"/>
      <c r="T595" s="190"/>
      <c r="U595" s="212"/>
      <c r="V595" s="213"/>
      <c r="W595" s="214"/>
      <c r="X595" s="194"/>
      <c r="Y595" s="195"/>
      <c r="Z595" s="196"/>
      <c r="AA595" s="203"/>
      <c r="AB595" s="198"/>
      <c r="AC595" s="199"/>
      <c r="AD595" s="200"/>
      <c r="AE595" s="182"/>
      <c r="AF595" s="201"/>
      <c r="AG595" s="201"/>
    </row>
    <row r="596" spans="1:33" ht="29.25" customHeight="1" thickTop="1" thickBot="1">
      <c r="A596" s="217" t="str">
        <f t="shared" si="19"/>
        <v>#BL25-0002</v>
      </c>
      <c r="B596" s="181"/>
      <c r="C596" s="181"/>
      <c r="D596" s="208"/>
      <c r="E596" s="183"/>
      <c r="F596" s="184" t="str">
        <f t="shared" si="18"/>
        <v>Construction Exemplaire Inc.</v>
      </c>
      <c r="G596" s="184"/>
      <c r="H596" s="183"/>
      <c r="I596" s="182"/>
      <c r="J596" s="185"/>
      <c r="K596" s="185"/>
      <c r="L596" s="185"/>
      <c r="M596" s="187"/>
      <c r="N596" s="185"/>
      <c r="O596" s="188"/>
      <c r="P596" s="188"/>
      <c r="Q596" s="189"/>
      <c r="R596" s="190"/>
      <c r="S596" s="190"/>
      <c r="T596" s="190"/>
      <c r="U596" s="212"/>
      <c r="V596" s="213"/>
      <c r="W596" s="214"/>
      <c r="X596" s="194"/>
      <c r="Y596" s="195"/>
      <c r="Z596" s="196"/>
      <c r="AA596" s="203"/>
      <c r="AB596" s="198"/>
      <c r="AC596" s="199"/>
      <c r="AD596" s="200"/>
      <c r="AE596" s="182"/>
      <c r="AF596" s="201"/>
      <c r="AG596" s="201"/>
    </row>
    <row r="597" spans="1:33" ht="29.25" customHeight="1" thickTop="1" thickBot="1">
      <c r="A597" s="217" t="str">
        <f t="shared" si="19"/>
        <v>#BL25-0002</v>
      </c>
      <c r="B597" s="181"/>
      <c r="C597" s="181"/>
      <c r="D597" s="208"/>
      <c r="E597" s="183"/>
      <c r="F597" s="184" t="str">
        <f t="shared" si="18"/>
        <v>Construction Exemplaire Inc.</v>
      </c>
      <c r="G597" s="184"/>
      <c r="H597" s="183"/>
      <c r="I597" s="182"/>
      <c r="J597" s="185"/>
      <c r="K597" s="185"/>
      <c r="L597" s="185"/>
      <c r="M597" s="187"/>
      <c r="N597" s="185"/>
      <c r="O597" s="188"/>
      <c r="P597" s="188"/>
      <c r="Q597" s="189"/>
      <c r="R597" s="190"/>
      <c r="S597" s="190"/>
      <c r="T597" s="190"/>
      <c r="U597" s="212"/>
      <c r="V597" s="213"/>
      <c r="W597" s="214"/>
      <c r="X597" s="194"/>
      <c r="Y597" s="195"/>
      <c r="Z597" s="196"/>
      <c r="AA597" s="203"/>
      <c r="AB597" s="198"/>
      <c r="AC597" s="199"/>
      <c r="AD597" s="200"/>
      <c r="AE597" s="182"/>
      <c r="AF597" s="201"/>
      <c r="AG597" s="201"/>
    </row>
    <row r="598" spans="1:33" ht="29.25" customHeight="1" thickTop="1" thickBot="1">
      <c r="A598" s="217" t="str">
        <f t="shared" si="19"/>
        <v>#BL25-0002</v>
      </c>
      <c r="B598" s="181"/>
      <c r="C598" s="181"/>
      <c r="D598" s="208"/>
      <c r="E598" s="183"/>
      <c r="F598" s="184" t="str">
        <f t="shared" si="18"/>
        <v>Construction Exemplaire Inc.</v>
      </c>
      <c r="G598" s="184"/>
      <c r="H598" s="183"/>
      <c r="I598" s="182"/>
      <c r="J598" s="185"/>
      <c r="K598" s="185"/>
      <c r="L598" s="185"/>
      <c r="M598" s="187"/>
      <c r="N598" s="185"/>
      <c r="O598" s="188"/>
      <c r="P598" s="188"/>
      <c r="Q598" s="189"/>
      <c r="R598" s="190"/>
      <c r="S598" s="190"/>
      <c r="T598" s="190"/>
      <c r="U598" s="212"/>
      <c r="V598" s="213"/>
      <c r="W598" s="214"/>
      <c r="X598" s="194"/>
      <c r="Y598" s="195"/>
      <c r="Z598" s="196"/>
      <c r="AA598" s="203"/>
      <c r="AB598" s="198"/>
      <c r="AC598" s="199"/>
      <c r="AD598" s="200"/>
      <c r="AE598" s="182"/>
      <c r="AF598" s="201"/>
      <c r="AG598" s="201"/>
    </row>
    <row r="599" spans="1:33" ht="29.25" customHeight="1" thickTop="1" thickBot="1">
      <c r="A599" s="217" t="str">
        <f t="shared" si="19"/>
        <v>#BL25-0002</v>
      </c>
      <c r="B599" s="181"/>
      <c r="C599" s="181"/>
      <c r="D599" s="208"/>
      <c r="E599" s="183"/>
      <c r="F599" s="184" t="str">
        <f t="shared" si="18"/>
        <v>Construction Exemplaire Inc.</v>
      </c>
      <c r="G599" s="184"/>
      <c r="H599" s="183"/>
      <c r="I599" s="182"/>
      <c r="J599" s="185"/>
      <c r="K599" s="185"/>
      <c r="L599" s="185"/>
      <c r="M599" s="187"/>
      <c r="N599" s="185"/>
      <c r="O599" s="188"/>
      <c r="P599" s="188"/>
      <c r="Q599" s="189"/>
      <c r="R599" s="190"/>
      <c r="S599" s="190"/>
      <c r="T599" s="190"/>
      <c r="U599" s="212"/>
      <c r="V599" s="213"/>
      <c r="W599" s="214"/>
      <c r="X599" s="194"/>
      <c r="Y599" s="195"/>
      <c r="Z599" s="196"/>
      <c r="AA599" s="203"/>
      <c r="AB599" s="198"/>
      <c r="AC599" s="199"/>
      <c r="AD599" s="200"/>
      <c r="AE599" s="182"/>
      <c r="AF599" s="201"/>
      <c r="AG599" s="201"/>
    </row>
    <row r="600" spans="1:33" ht="29.25" customHeight="1" thickTop="1" thickBot="1">
      <c r="A600" s="217" t="str">
        <f t="shared" si="19"/>
        <v>#BL25-0002</v>
      </c>
      <c r="B600" s="181"/>
      <c r="C600" s="181"/>
      <c r="D600" s="208"/>
      <c r="E600" s="183"/>
      <c r="F600" s="184" t="str">
        <f t="shared" si="18"/>
        <v>Construction Exemplaire Inc.</v>
      </c>
      <c r="G600" s="184"/>
      <c r="H600" s="183"/>
      <c r="I600" s="182"/>
      <c r="J600" s="185"/>
      <c r="K600" s="185"/>
      <c r="L600" s="185"/>
      <c r="M600" s="187"/>
      <c r="N600" s="185"/>
      <c r="O600" s="188"/>
      <c r="P600" s="188"/>
      <c r="Q600" s="189"/>
      <c r="R600" s="190"/>
      <c r="S600" s="190"/>
      <c r="T600" s="190"/>
      <c r="U600" s="212"/>
      <c r="V600" s="213"/>
      <c r="W600" s="214"/>
      <c r="X600" s="194"/>
      <c r="Y600" s="195"/>
      <c r="Z600" s="196"/>
      <c r="AA600" s="203"/>
      <c r="AB600" s="198"/>
      <c r="AC600" s="199"/>
      <c r="AD600" s="200"/>
      <c r="AE600" s="182"/>
      <c r="AF600" s="201"/>
      <c r="AG600" s="201"/>
    </row>
    <row r="601" spans="1:33" ht="29.25" customHeight="1" thickTop="1" thickBot="1">
      <c r="A601" s="217" t="str">
        <f t="shared" si="19"/>
        <v>#BL25-0002</v>
      </c>
      <c r="B601" s="181"/>
      <c r="C601" s="181"/>
      <c r="D601" s="208"/>
      <c r="E601" s="183"/>
      <c r="F601" s="184" t="str">
        <f t="shared" si="18"/>
        <v>Construction Exemplaire Inc.</v>
      </c>
      <c r="G601" s="184"/>
      <c r="H601" s="183"/>
      <c r="I601" s="182"/>
      <c r="J601" s="185"/>
      <c r="K601" s="185"/>
      <c r="L601" s="185"/>
      <c r="M601" s="187"/>
      <c r="N601" s="185"/>
      <c r="O601" s="188"/>
      <c r="P601" s="188"/>
      <c r="Q601" s="189"/>
      <c r="R601" s="190"/>
      <c r="S601" s="190"/>
      <c r="T601" s="190"/>
      <c r="U601" s="212"/>
      <c r="V601" s="213"/>
      <c r="W601" s="214"/>
      <c r="X601" s="194"/>
      <c r="Y601" s="195"/>
      <c r="Z601" s="196"/>
      <c r="AA601" s="203"/>
      <c r="AB601" s="198"/>
      <c r="AC601" s="199"/>
      <c r="AD601" s="200"/>
      <c r="AE601" s="182"/>
      <c r="AF601" s="201"/>
      <c r="AG601" s="201"/>
    </row>
    <row r="602" spans="1:33" ht="29.25" customHeight="1" thickTop="1" thickBot="1">
      <c r="A602" s="217" t="str">
        <f t="shared" si="19"/>
        <v>#BL25-0002</v>
      </c>
      <c r="B602" s="181"/>
      <c r="C602" s="181"/>
      <c r="D602" s="208"/>
      <c r="E602" s="183"/>
      <c r="F602" s="184" t="str">
        <f t="shared" si="18"/>
        <v>Construction Exemplaire Inc.</v>
      </c>
      <c r="G602" s="184"/>
      <c r="H602" s="183"/>
      <c r="I602" s="182"/>
      <c r="J602" s="185"/>
      <c r="K602" s="185"/>
      <c r="L602" s="185"/>
      <c r="M602" s="187"/>
      <c r="N602" s="185"/>
      <c r="O602" s="188"/>
      <c r="P602" s="188"/>
      <c r="Q602" s="189"/>
      <c r="R602" s="190"/>
      <c r="S602" s="190"/>
      <c r="T602" s="190"/>
      <c r="U602" s="212"/>
      <c r="V602" s="213"/>
      <c r="W602" s="214"/>
      <c r="X602" s="194"/>
      <c r="Y602" s="195"/>
      <c r="Z602" s="196"/>
      <c r="AA602" s="203"/>
      <c r="AB602" s="198"/>
      <c r="AC602" s="199"/>
      <c r="AD602" s="200"/>
      <c r="AE602" s="182"/>
      <c r="AF602" s="201"/>
      <c r="AG602" s="201"/>
    </row>
    <row r="603" spans="1:33" ht="29.25" customHeight="1" thickTop="1" thickBot="1">
      <c r="A603" s="217" t="str">
        <f t="shared" si="19"/>
        <v>#BL25-0002</v>
      </c>
      <c r="B603" s="181"/>
      <c r="C603" s="181"/>
      <c r="D603" s="208"/>
      <c r="E603" s="183"/>
      <c r="F603" s="184" t="str">
        <f t="shared" si="18"/>
        <v>Construction Exemplaire Inc.</v>
      </c>
      <c r="G603" s="184"/>
      <c r="H603" s="183"/>
      <c r="I603" s="182"/>
      <c r="J603" s="185"/>
      <c r="K603" s="185"/>
      <c r="L603" s="185"/>
      <c r="M603" s="187"/>
      <c r="N603" s="185"/>
      <c r="O603" s="188"/>
      <c r="P603" s="188"/>
      <c r="Q603" s="189"/>
      <c r="R603" s="190"/>
      <c r="S603" s="190"/>
      <c r="T603" s="190"/>
      <c r="U603" s="212"/>
      <c r="V603" s="213"/>
      <c r="W603" s="214"/>
      <c r="X603" s="194"/>
      <c r="Y603" s="195"/>
      <c r="Z603" s="196"/>
      <c r="AA603" s="203"/>
      <c r="AB603" s="198"/>
      <c r="AC603" s="199"/>
      <c r="AD603" s="200"/>
      <c r="AE603" s="182"/>
      <c r="AF603" s="201"/>
      <c r="AG603" s="201"/>
    </row>
    <row r="604" spans="1:33" ht="29.25" customHeight="1" thickTop="1" thickBot="1">
      <c r="A604" s="217" t="str">
        <f t="shared" si="19"/>
        <v>#BL25-0002</v>
      </c>
      <c r="B604" s="181"/>
      <c r="C604" s="181"/>
      <c r="D604" s="208"/>
      <c r="E604" s="183"/>
      <c r="F604" s="184" t="str">
        <f t="shared" si="18"/>
        <v>Construction Exemplaire Inc.</v>
      </c>
      <c r="G604" s="184"/>
      <c r="H604" s="183"/>
      <c r="I604" s="182"/>
      <c r="J604" s="185"/>
      <c r="K604" s="185"/>
      <c r="L604" s="185"/>
      <c r="M604" s="187"/>
      <c r="N604" s="185"/>
      <c r="O604" s="188"/>
      <c r="P604" s="188"/>
      <c r="Q604" s="189"/>
      <c r="R604" s="190"/>
      <c r="S604" s="190"/>
      <c r="T604" s="190"/>
      <c r="U604" s="212"/>
      <c r="V604" s="213"/>
      <c r="W604" s="214"/>
      <c r="X604" s="194"/>
      <c r="Y604" s="195"/>
      <c r="Z604" s="196"/>
      <c r="AA604" s="203"/>
      <c r="AB604" s="198"/>
      <c r="AC604" s="199"/>
      <c r="AD604" s="200"/>
      <c r="AE604" s="182"/>
      <c r="AF604" s="201"/>
      <c r="AG604" s="201"/>
    </row>
    <row r="605" spans="1:33" ht="29.25" customHeight="1" thickTop="1" thickBot="1">
      <c r="A605" s="217" t="str">
        <f t="shared" si="19"/>
        <v>#BL25-0002</v>
      </c>
      <c r="B605" s="181"/>
      <c r="C605" s="181"/>
      <c r="D605" s="208"/>
      <c r="E605" s="183"/>
      <c r="F605" s="184" t="str">
        <f t="shared" si="18"/>
        <v>Construction Exemplaire Inc.</v>
      </c>
      <c r="G605" s="184"/>
      <c r="H605" s="183"/>
      <c r="I605" s="182"/>
      <c r="J605" s="185"/>
      <c r="K605" s="185"/>
      <c r="L605" s="185"/>
      <c r="M605" s="187"/>
      <c r="N605" s="185"/>
      <c r="O605" s="188"/>
      <c r="P605" s="188"/>
      <c r="Q605" s="189"/>
      <c r="R605" s="190"/>
      <c r="S605" s="190"/>
      <c r="T605" s="190"/>
      <c r="U605" s="212"/>
      <c r="V605" s="213"/>
      <c r="W605" s="214"/>
      <c r="X605" s="194"/>
      <c r="Y605" s="195"/>
      <c r="Z605" s="196"/>
      <c r="AA605" s="203"/>
      <c r="AB605" s="198"/>
      <c r="AC605" s="199"/>
      <c r="AD605" s="200"/>
      <c r="AE605" s="182"/>
      <c r="AF605" s="201"/>
      <c r="AG605" s="201"/>
    </row>
    <row r="606" spans="1:33" ht="29.25" customHeight="1" thickTop="1" thickBot="1">
      <c r="A606" s="217" t="str">
        <f t="shared" si="19"/>
        <v>#BL25-0002</v>
      </c>
      <c r="B606" s="181"/>
      <c r="C606" s="181"/>
      <c r="D606" s="208"/>
      <c r="E606" s="183"/>
      <c r="F606" s="184" t="str">
        <f t="shared" si="18"/>
        <v>Construction Exemplaire Inc.</v>
      </c>
      <c r="G606" s="184"/>
      <c r="H606" s="183"/>
      <c r="I606" s="182"/>
      <c r="J606" s="185"/>
      <c r="K606" s="185"/>
      <c r="L606" s="185"/>
      <c r="M606" s="187"/>
      <c r="N606" s="185"/>
      <c r="O606" s="188"/>
      <c r="P606" s="188"/>
      <c r="Q606" s="189"/>
      <c r="R606" s="190"/>
      <c r="S606" s="190"/>
      <c r="T606" s="190"/>
      <c r="U606" s="212"/>
      <c r="V606" s="213"/>
      <c r="W606" s="214"/>
      <c r="X606" s="194"/>
      <c r="Y606" s="195"/>
      <c r="Z606" s="196"/>
      <c r="AA606" s="203"/>
      <c r="AB606" s="198"/>
      <c r="AC606" s="199"/>
      <c r="AD606" s="200"/>
      <c r="AE606" s="182"/>
      <c r="AF606" s="201"/>
      <c r="AG606" s="201"/>
    </row>
    <row r="607" spans="1:33" ht="13.5" thickTop="1">
      <c r="A607" s="211"/>
      <c r="X607" s="123"/>
    </row>
    <row r="608" spans="1:33" ht="12.75">
      <c r="A608" s="211"/>
      <c r="X608" s="123"/>
    </row>
    <row r="609" spans="1:24" ht="12.75">
      <c r="A609" s="211"/>
      <c r="X609" s="123"/>
    </row>
    <row r="610" spans="1:24" ht="12.75">
      <c r="A610" s="211"/>
      <c r="X610" s="123"/>
    </row>
    <row r="611" spans="1:24" ht="12.75">
      <c r="A611" s="211"/>
      <c r="X611" s="123"/>
    </row>
    <row r="612" spans="1:24" ht="12.75">
      <c r="A612" s="211"/>
      <c r="X612" s="123"/>
    </row>
    <row r="613" spans="1:24" ht="12.75">
      <c r="A613" s="211"/>
      <c r="X613" s="123"/>
    </row>
    <row r="614" spans="1:24" ht="12.75">
      <c r="A614" s="211"/>
      <c r="X614" s="123"/>
    </row>
    <row r="615" spans="1:24" ht="12.75">
      <c r="A615" s="211"/>
      <c r="X615" s="123"/>
    </row>
    <row r="616" spans="1:24" ht="12.75">
      <c r="A616" s="211"/>
      <c r="X616" s="123"/>
    </row>
    <row r="617" spans="1:24" ht="12.75">
      <c r="A617" s="211"/>
      <c r="X617" s="123"/>
    </row>
    <row r="618" spans="1:24" ht="12.75">
      <c r="A618" s="211"/>
      <c r="X618" s="123"/>
    </row>
    <row r="619" spans="1:24" ht="12.75">
      <c r="A619" s="211"/>
      <c r="X619" s="123"/>
    </row>
    <row r="620" spans="1:24" ht="12.75">
      <c r="A620" s="211"/>
      <c r="X620" s="123"/>
    </row>
    <row r="621" spans="1:24" ht="12.75">
      <c r="A621" s="211"/>
      <c r="X621" s="123"/>
    </row>
    <row r="622" spans="1:24" ht="12.75">
      <c r="A622" s="211"/>
      <c r="X622" s="123"/>
    </row>
    <row r="623" spans="1:24" ht="12.75">
      <c r="A623" s="211"/>
      <c r="X623" s="123"/>
    </row>
    <row r="624" spans="1:24" ht="12.75">
      <c r="A624" s="211"/>
      <c r="X624" s="123"/>
    </row>
    <row r="625" spans="1:24" ht="12.75">
      <c r="A625" s="211"/>
      <c r="X625" s="123"/>
    </row>
    <row r="626" spans="1:24" ht="12.75">
      <c r="A626" s="211"/>
      <c r="X626" s="123"/>
    </row>
    <row r="627" spans="1:24" ht="12.75">
      <c r="A627" s="211"/>
      <c r="X627" s="123"/>
    </row>
    <row r="628" spans="1:24" ht="12.75">
      <c r="A628" s="211"/>
      <c r="X628" s="123"/>
    </row>
    <row r="629" spans="1:24" ht="12.75">
      <c r="A629" s="211"/>
      <c r="X629" s="123"/>
    </row>
    <row r="630" spans="1:24" ht="12.75">
      <c r="A630" s="211"/>
      <c r="X630" s="123"/>
    </row>
    <row r="631" spans="1:24" ht="12.75">
      <c r="A631" s="211"/>
      <c r="X631" s="123"/>
    </row>
    <row r="632" spans="1:24" ht="12.75">
      <c r="A632" s="211"/>
      <c r="X632" s="123"/>
    </row>
    <row r="633" spans="1:24" ht="12.75">
      <c r="A633" s="211"/>
      <c r="X633" s="123"/>
    </row>
    <row r="634" spans="1:24" ht="12.75">
      <c r="A634" s="211"/>
      <c r="X634" s="123"/>
    </row>
    <row r="635" spans="1:24" ht="12.75">
      <c r="A635" s="211"/>
      <c r="X635" s="123"/>
    </row>
    <row r="636" spans="1:24" ht="12.75">
      <c r="A636" s="211"/>
      <c r="X636" s="123"/>
    </row>
    <row r="637" spans="1:24" ht="12.75">
      <c r="A637" s="211"/>
      <c r="X637" s="123"/>
    </row>
    <row r="638" spans="1:24" ht="12.75">
      <c r="A638" s="211"/>
      <c r="X638" s="123"/>
    </row>
    <row r="639" spans="1:24" ht="12.75">
      <c r="A639" s="211"/>
      <c r="X639" s="123"/>
    </row>
    <row r="640" spans="1:24" ht="12.75">
      <c r="A640" s="211"/>
      <c r="X640" s="123"/>
    </row>
    <row r="641" spans="1:24" ht="12.75">
      <c r="A641" s="211"/>
      <c r="X641" s="123"/>
    </row>
    <row r="642" spans="1:24" ht="12.75">
      <c r="A642" s="211"/>
      <c r="X642" s="123"/>
    </row>
    <row r="643" spans="1:24" ht="12.75">
      <c r="A643" s="211"/>
      <c r="X643" s="123"/>
    </row>
    <row r="644" spans="1:24" ht="12.75">
      <c r="A644" s="211"/>
      <c r="X644" s="123"/>
    </row>
    <row r="645" spans="1:24" ht="12.75">
      <c r="A645" s="211"/>
      <c r="X645" s="123"/>
    </row>
    <row r="646" spans="1:24" ht="12.75">
      <c r="A646" s="211"/>
      <c r="X646" s="123"/>
    </row>
    <row r="647" spans="1:24" ht="12.75">
      <c r="A647" s="211"/>
      <c r="X647" s="123"/>
    </row>
    <row r="648" spans="1:24" ht="12.75">
      <c r="A648" s="211"/>
      <c r="X648" s="123"/>
    </row>
    <row r="649" spans="1:24" ht="12.75">
      <c r="A649" s="211"/>
      <c r="X649" s="123"/>
    </row>
    <row r="650" spans="1:24" ht="12.75">
      <c r="A650" s="211"/>
      <c r="X650" s="123"/>
    </row>
    <row r="651" spans="1:24" ht="12.75">
      <c r="A651" s="211"/>
      <c r="X651" s="123"/>
    </row>
    <row r="652" spans="1:24" ht="12.75">
      <c r="A652" s="211"/>
      <c r="X652" s="123"/>
    </row>
    <row r="653" spans="1:24" ht="12.75">
      <c r="A653" s="211"/>
      <c r="X653" s="123"/>
    </row>
    <row r="654" spans="1:24" ht="12.75">
      <c r="A654" s="211"/>
      <c r="X654" s="123"/>
    </row>
    <row r="655" spans="1:24" ht="12.75">
      <c r="A655" s="211"/>
      <c r="X655" s="123"/>
    </row>
    <row r="656" spans="1:24" ht="12.75">
      <c r="A656" s="211"/>
      <c r="X656" s="123"/>
    </row>
    <row r="657" spans="1:24" ht="12.75">
      <c r="A657" s="211"/>
      <c r="X657" s="123"/>
    </row>
    <row r="658" spans="1:24" ht="12.75">
      <c r="A658" s="211"/>
      <c r="X658" s="123"/>
    </row>
    <row r="659" spans="1:24" ht="12.75">
      <c r="A659" s="211"/>
      <c r="X659" s="123"/>
    </row>
    <row r="660" spans="1:24" ht="12.75">
      <c r="A660" s="211"/>
      <c r="X660" s="123"/>
    </row>
    <row r="661" spans="1:24" ht="12.75">
      <c r="A661" s="211"/>
      <c r="X661" s="123"/>
    </row>
    <row r="662" spans="1:24" ht="12.75">
      <c r="A662" s="211"/>
      <c r="X662" s="123"/>
    </row>
    <row r="663" spans="1:24" ht="12.75">
      <c r="A663" s="211"/>
      <c r="X663" s="123"/>
    </row>
    <row r="664" spans="1:24" ht="12.75">
      <c r="A664" s="211"/>
      <c r="X664" s="123"/>
    </row>
    <row r="665" spans="1:24" ht="12.75">
      <c r="A665" s="211"/>
      <c r="X665" s="123"/>
    </row>
    <row r="666" spans="1:24" ht="12.75">
      <c r="A666" s="211"/>
      <c r="X666" s="123"/>
    </row>
    <row r="667" spans="1:24" ht="12.75">
      <c r="A667" s="211"/>
      <c r="X667" s="123"/>
    </row>
    <row r="668" spans="1:24" ht="12.75">
      <c r="A668" s="211"/>
      <c r="X668" s="123"/>
    </row>
    <row r="669" spans="1:24" ht="12.75">
      <c r="A669" s="211"/>
      <c r="X669" s="123"/>
    </row>
    <row r="670" spans="1:24" ht="12.75">
      <c r="A670" s="211"/>
      <c r="X670" s="123"/>
    </row>
    <row r="671" spans="1:24" ht="12.75">
      <c r="A671" s="211"/>
      <c r="X671" s="123"/>
    </row>
    <row r="672" spans="1:24" ht="12.75">
      <c r="A672" s="211"/>
      <c r="X672" s="123"/>
    </row>
    <row r="673" spans="1:24" ht="12.75">
      <c r="A673" s="211"/>
      <c r="X673" s="123"/>
    </row>
    <row r="674" spans="1:24" ht="12.75">
      <c r="A674" s="211"/>
      <c r="X674" s="123"/>
    </row>
    <row r="675" spans="1:24" ht="12.75">
      <c r="A675" s="211"/>
      <c r="X675" s="123"/>
    </row>
    <row r="676" spans="1:24" ht="12.75">
      <c r="A676" s="211"/>
      <c r="X676" s="123"/>
    </row>
    <row r="677" spans="1:24" ht="12.75">
      <c r="A677" s="211"/>
      <c r="X677" s="123"/>
    </row>
    <row r="678" spans="1:24" ht="12.75">
      <c r="A678" s="211"/>
      <c r="X678" s="123"/>
    </row>
    <row r="679" spans="1:24" ht="12.75">
      <c r="A679" s="211"/>
      <c r="X679" s="123"/>
    </row>
    <row r="680" spans="1:24" ht="12.75">
      <c r="A680" s="211"/>
      <c r="X680" s="123"/>
    </row>
    <row r="681" spans="1:24" ht="12.75">
      <c r="A681" s="211"/>
      <c r="X681" s="123"/>
    </row>
    <row r="682" spans="1:24" ht="12.75">
      <c r="A682" s="211"/>
      <c r="X682" s="123"/>
    </row>
    <row r="683" spans="1:24" ht="12.75">
      <c r="A683" s="211"/>
      <c r="X683" s="123"/>
    </row>
    <row r="684" spans="1:24" ht="12.75">
      <c r="A684" s="211"/>
      <c r="X684" s="123"/>
    </row>
    <row r="685" spans="1:24" ht="12.75">
      <c r="A685" s="211"/>
      <c r="X685" s="123"/>
    </row>
    <row r="686" spans="1:24" ht="12.75">
      <c r="A686" s="211"/>
      <c r="X686" s="123"/>
    </row>
    <row r="687" spans="1:24" ht="12.75">
      <c r="A687" s="211"/>
      <c r="X687" s="123"/>
    </row>
    <row r="688" spans="1:24" ht="12.75">
      <c r="A688" s="211"/>
      <c r="X688" s="123"/>
    </row>
    <row r="689" spans="1:24" ht="12.75">
      <c r="A689" s="211"/>
      <c r="X689" s="123"/>
    </row>
    <row r="690" spans="1:24" ht="12.75">
      <c r="A690" s="211"/>
      <c r="X690" s="123"/>
    </row>
    <row r="691" spans="1:24" ht="12.75">
      <c r="A691" s="211"/>
      <c r="X691" s="123"/>
    </row>
    <row r="692" spans="1:24" ht="12.75">
      <c r="A692" s="211"/>
      <c r="X692" s="123"/>
    </row>
    <row r="693" spans="1:24" ht="12.75">
      <c r="A693" s="211"/>
      <c r="X693" s="123"/>
    </row>
    <row r="694" spans="1:24" ht="12.75">
      <c r="A694" s="211"/>
      <c r="X694" s="123"/>
    </row>
    <row r="695" spans="1:24" ht="12.75">
      <c r="A695" s="211"/>
      <c r="X695" s="123"/>
    </row>
    <row r="696" spans="1:24" ht="12.75">
      <c r="A696" s="211"/>
      <c r="X696" s="123"/>
    </row>
    <row r="697" spans="1:24" ht="12.75">
      <c r="A697" s="211"/>
      <c r="X697" s="123"/>
    </row>
    <row r="698" spans="1:24" ht="12.75">
      <c r="A698" s="211"/>
      <c r="X698" s="123"/>
    </row>
    <row r="699" spans="1:24" ht="12.75">
      <c r="A699" s="211"/>
      <c r="X699" s="123"/>
    </row>
    <row r="700" spans="1:24" ht="12.75">
      <c r="A700" s="211"/>
      <c r="X700" s="123"/>
    </row>
    <row r="701" spans="1:24" ht="12.75">
      <c r="A701" s="211"/>
      <c r="X701" s="123"/>
    </row>
    <row r="702" spans="1:24" ht="12.75">
      <c r="A702" s="211"/>
      <c r="X702" s="123"/>
    </row>
    <row r="703" spans="1:24" ht="12.75">
      <c r="A703" s="211"/>
      <c r="X703" s="123"/>
    </row>
    <row r="704" spans="1:24" ht="12.75">
      <c r="A704" s="211"/>
      <c r="X704" s="123"/>
    </row>
    <row r="705" spans="1:24" ht="12.75">
      <c r="A705" s="211"/>
      <c r="X705" s="123"/>
    </row>
    <row r="706" spans="1:24" ht="12.75">
      <c r="A706" s="211"/>
      <c r="X706" s="123"/>
    </row>
    <row r="707" spans="1:24" ht="12.75">
      <c r="A707" s="211"/>
      <c r="X707" s="123"/>
    </row>
    <row r="708" spans="1:24" ht="12.75">
      <c r="A708" s="211"/>
      <c r="X708" s="123"/>
    </row>
    <row r="709" spans="1:24" ht="12.75">
      <c r="A709" s="211"/>
      <c r="X709" s="123"/>
    </row>
    <row r="710" spans="1:24" ht="12.75">
      <c r="A710" s="211"/>
      <c r="X710" s="123"/>
    </row>
    <row r="711" spans="1:24" ht="12.75">
      <c r="A711" s="211"/>
      <c r="X711" s="123"/>
    </row>
    <row r="712" spans="1:24" ht="12.75">
      <c r="A712" s="211"/>
      <c r="X712" s="123"/>
    </row>
    <row r="713" spans="1:24" ht="12.75">
      <c r="A713" s="211"/>
      <c r="X713" s="123"/>
    </row>
    <row r="714" spans="1:24" ht="12.75">
      <c r="A714" s="211"/>
      <c r="X714" s="123"/>
    </row>
    <row r="715" spans="1:24" ht="12.75">
      <c r="A715" s="211"/>
      <c r="X715" s="123"/>
    </row>
    <row r="716" spans="1:24" ht="12.75">
      <c r="A716" s="211"/>
      <c r="X716" s="123"/>
    </row>
    <row r="717" spans="1:24" ht="12.75">
      <c r="A717" s="211"/>
      <c r="X717" s="123"/>
    </row>
    <row r="718" spans="1:24" ht="12.75">
      <c r="A718" s="211"/>
      <c r="X718" s="123"/>
    </row>
    <row r="719" spans="1:24" ht="12.75">
      <c r="A719" s="211"/>
      <c r="X719" s="123"/>
    </row>
    <row r="720" spans="1:24" ht="12.75">
      <c r="A720" s="211"/>
      <c r="X720" s="123"/>
    </row>
    <row r="721" spans="1:24" ht="12.75">
      <c r="A721" s="211"/>
      <c r="X721" s="123"/>
    </row>
    <row r="722" spans="1:24" ht="12.75">
      <c r="A722" s="211"/>
      <c r="X722" s="123"/>
    </row>
    <row r="723" spans="1:24" ht="12.75">
      <c r="A723" s="211"/>
      <c r="X723" s="123"/>
    </row>
    <row r="724" spans="1:24" ht="12.75">
      <c r="A724" s="211"/>
      <c r="X724" s="123"/>
    </row>
    <row r="725" spans="1:24" ht="12.75">
      <c r="A725" s="211"/>
      <c r="X725" s="123"/>
    </row>
    <row r="726" spans="1:24" ht="12.75">
      <c r="A726" s="211"/>
      <c r="X726" s="123"/>
    </row>
    <row r="727" spans="1:24" ht="12.75">
      <c r="A727" s="211"/>
      <c r="X727" s="123"/>
    </row>
    <row r="728" spans="1:24" ht="12.75">
      <c r="A728" s="211"/>
      <c r="X728" s="123"/>
    </row>
    <row r="729" spans="1:24" ht="12.75">
      <c r="A729" s="211"/>
      <c r="X729" s="123"/>
    </row>
    <row r="730" spans="1:24" ht="12.75">
      <c r="A730" s="211"/>
      <c r="X730" s="123"/>
    </row>
    <row r="731" spans="1:24" ht="12.75">
      <c r="A731" s="211"/>
      <c r="X731" s="123"/>
    </row>
    <row r="732" spans="1:24" ht="12.75">
      <c r="A732" s="211"/>
      <c r="X732" s="123"/>
    </row>
    <row r="733" spans="1:24" ht="12.75">
      <c r="A733" s="211"/>
      <c r="X733" s="123"/>
    </row>
    <row r="734" spans="1:24" ht="12.75">
      <c r="A734" s="211"/>
      <c r="X734" s="123"/>
    </row>
    <row r="735" spans="1:24" ht="12.75">
      <c r="A735" s="211"/>
      <c r="X735" s="123"/>
    </row>
    <row r="736" spans="1:24" ht="12.75">
      <c r="A736" s="211"/>
      <c r="X736" s="123"/>
    </row>
    <row r="737" spans="1:24" ht="12.75">
      <c r="A737" s="211"/>
      <c r="X737" s="123"/>
    </row>
    <row r="738" spans="1:24" ht="12.75">
      <c r="A738" s="211"/>
      <c r="X738" s="123"/>
    </row>
    <row r="739" spans="1:24" ht="12.75">
      <c r="A739" s="211"/>
      <c r="X739" s="123"/>
    </row>
    <row r="740" spans="1:24" ht="12.75">
      <c r="A740" s="211"/>
      <c r="X740" s="123"/>
    </row>
    <row r="741" spans="1:24" ht="12.75">
      <c r="A741" s="211"/>
      <c r="X741" s="123"/>
    </row>
    <row r="742" spans="1:24" ht="12.75">
      <c r="A742" s="211"/>
      <c r="X742" s="123"/>
    </row>
    <row r="743" spans="1:24" ht="12.75">
      <c r="A743" s="211"/>
      <c r="X743" s="123"/>
    </row>
    <row r="744" spans="1:24" ht="12.75">
      <c r="A744" s="211"/>
      <c r="X744" s="123"/>
    </row>
    <row r="745" spans="1:24" ht="12.75">
      <c r="A745" s="211"/>
      <c r="X745" s="123"/>
    </row>
    <row r="746" spans="1:24" ht="12.75">
      <c r="A746" s="211"/>
      <c r="X746" s="123"/>
    </row>
    <row r="747" spans="1:24" ht="12.75">
      <c r="A747" s="211"/>
      <c r="X747" s="123"/>
    </row>
    <row r="748" spans="1:24" ht="12.75">
      <c r="A748" s="211"/>
      <c r="X748" s="123"/>
    </row>
    <row r="749" spans="1:24" ht="12.75">
      <c r="A749" s="211"/>
      <c r="X749" s="123"/>
    </row>
    <row r="750" spans="1:24" ht="12.75">
      <c r="A750" s="211"/>
      <c r="X750" s="123"/>
    </row>
    <row r="751" spans="1:24" ht="12.75">
      <c r="A751" s="211"/>
      <c r="X751" s="123"/>
    </row>
    <row r="752" spans="1:24" ht="12.75">
      <c r="A752" s="211"/>
      <c r="X752" s="123"/>
    </row>
    <row r="753" spans="1:24" ht="12.75">
      <c r="A753" s="211"/>
      <c r="X753" s="123"/>
    </row>
    <row r="754" spans="1:24" ht="12.75">
      <c r="A754" s="211"/>
      <c r="X754" s="123"/>
    </row>
    <row r="755" spans="1:24" ht="12.75">
      <c r="A755" s="211"/>
      <c r="X755" s="123"/>
    </row>
    <row r="756" spans="1:24" ht="12.75">
      <c r="A756" s="211"/>
      <c r="X756" s="123"/>
    </row>
    <row r="757" spans="1:24" ht="12.75">
      <c r="A757" s="211"/>
      <c r="X757" s="123"/>
    </row>
    <row r="758" spans="1:24" ht="12.75">
      <c r="A758" s="211"/>
      <c r="X758" s="123"/>
    </row>
    <row r="759" spans="1:24" ht="12.75">
      <c r="A759" s="211"/>
      <c r="X759" s="123"/>
    </row>
    <row r="760" spans="1:24" ht="12.75">
      <c r="A760" s="211"/>
      <c r="X760" s="123"/>
    </row>
    <row r="761" spans="1:24" ht="12.75">
      <c r="A761" s="211"/>
      <c r="X761" s="123"/>
    </row>
    <row r="762" spans="1:24" ht="12.75">
      <c r="A762" s="211"/>
      <c r="X762" s="123"/>
    </row>
    <row r="763" spans="1:24" ht="12.75">
      <c r="A763" s="211"/>
      <c r="X763" s="123"/>
    </row>
    <row r="764" spans="1:24" ht="12.75">
      <c r="A764" s="211"/>
      <c r="X764" s="123"/>
    </row>
    <row r="765" spans="1:24" ht="12.75">
      <c r="A765" s="211"/>
      <c r="X765" s="123"/>
    </row>
    <row r="766" spans="1:24" ht="12.75">
      <c r="A766" s="211"/>
      <c r="X766" s="123"/>
    </row>
    <row r="767" spans="1:24" ht="12.75">
      <c r="A767" s="211"/>
      <c r="X767" s="123"/>
    </row>
    <row r="768" spans="1:24" ht="12.75">
      <c r="A768" s="211"/>
      <c r="X768" s="123"/>
    </row>
    <row r="769" spans="1:24" ht="12.75">
      <c r="A769" s="211"/>
      <c r="X769" s="123"/>
    </row>
    <row r="770" spans="1:24" ht="12.75">
      <c r="A770" s="211"/>
      <c r="X770" s="123"/>
    </row>
    <row r="771" spans="1:24" ht="12.75">
      <c r="A771" s="211"/>
      <c r="X771" s="123"/>
    </row>
    <row r="772" spans="1:24" ht="12.75">
      <c r="A772" s="211"/>
      <c r="X772" s="123"/>
    </row>
    <row r="773" spans="1:24" ht="12.75">
      <c r="A773" s="211"/>
      <c r="X773" s="123"/>
    </row>
    <row r="774" spans="1:24" ht="12.75">
      <c r="A774" s="211"/>
      <c r="X774" s="123"/>
    </row>
    <row r="775" spans="1:24" ht="12.75">
      <c r="A775" s="211"/>
      <c r="X775" s="123"/>
    </row>
    <row r="776" spans="1:24" ht="12.75">
      <c r="A776" s="211"/>
      <c r="X776" s="123"/>
    </row>
    <row r="777" spans="1:24" ht="12.75">
      <c r="A777" s="211"/>
      <c r="X777" s="123"/>
    </row>
    <row r="778" spans="1:24" ht="12.75">
      <c r="A778" s="211"/>
      <c r="X778" s="123"/>
    </row>
    <row r="779" spans="1:24" ht="12.75">
      <c r="A779" s="211"/>
      <c r="X779" s="123"/>
    </row>
    <row r="780" spans="1:24" ht="12.75">
      <c r="A780" s="211"/>
      <c r="X780" s="123"/>
    </row>
    <row r="781" spans="1:24" ht="12.75">
      <c r="A781" s="211"/>
      <c r="X781" s="123"/>
    </row>
    <row r="782" spans="1:24" ht="12.75">
      <c r="A782" s="211"/>
      <c r="X782" s="123"/>
    </row>
    <row r="783" spans="1:24" ht="12.75">
      <c r="A783" s="211"/>
      <c r="X783" s="123"/>
    </row>
    <row r="784" spans="1:24" ht="12.75">
      <c r="A784" s="211"/>
      <c r="X784" s="123"/>
    </row>
    <row r="785" spans="1:24" ht="12.75">
      <c r="A785" s="211"/>
      <c r="X785" s="123"/>
    </row>
    <row r="786" spans="1:24" ht="12.75">
      <c r="A786" s="211"/>
      <c r="X786" s="123"/>
    </row>
    <row r="787" spans="1:24" ht="12.75">
      <c r="A787" s="211"/>
      <c r="X787" s="123"/>
    </row>
    <row r="788" spans="1:24" ht="12.75">
      <c r="A788" s="211"/>
      <c r="X788" s="123"/>
    </row>
    <row r="789" spans="1:24" ht="12.75">
      <c r="A789" s="211"/>
      <c r="X789" s="123"/>
    </row>
    <row r="790" spans="1:24" ht="12.75">
      <c r="A790" s="211"/>
      <c r="X790" s="123"/>
    </row>
    <row r="791" spans="1:24" ht="12.75">
      <c r="A791" s="211"/>
      <c r="X791" s="123"/>
    </row>
    <row r="792" spans="1:24" ht="12.75">
      <c r="A792" s="211"/>
      <c r="X792" s="123"/>
    </row>
    <row r="793" spans="1:24" ht="12.75">
      <c r="A793" s="211"/>
      <c r="X793" s="123"/>
    </row>
    <row r="794" spans="1:24" ht="12.75">
      <c r="A794" s="211"/>
      <c r="X794" s="123"/>
    </row>
    <row r="795" spans="1:24" ht="12.75">
      <c r="A795" s="211"/>
      <c r="X795" s="123"/>
    </row>
    <row r="796" spans="1:24" ht="12.75">
      <c r="A796" s="211"/>
      <c r="X796" s="123"/>
    </row>
    <row r="797" spans="1:24" ht="12.75">
      <c r="A797" s="211"/>
      <c r="X797" s="123"/>
    </row>
    <row r="798" spans="1:24" ht="12.75">
      <c r="A798" s="211"/>
      <c r="X798" s="123"/>
    </row>
    <row r="799" spans="1:24" ht="12.75">
      <c r="A799" s="211"/>
      <c r="X799" s="123"/>
    </row>
    <row r="800" spans="1:24" ht="12.75">
      <c r="A800" s="211"/>
      <c r="X800" s="123"/>
    </row>
    <row r="801" spans="1:24" ht="12.75">
      <c r="A801" s="211"/>
      <c r="X801" s="123"/>
    </row>
    <row r="802" spans="1:24" ht="12.75">
      <c r="A802" s="211"/>
      <c r="X802" s="123"/>
    </row>
    <row r="803" spans="1:24" ht="12.75">
      <c r="A803" s="211"/>
      <c r="X803" s="123"/>
    </row>
    <row r="804" spans="1:24" ht="12.75">
      <c r="A804" s="211"/>
      <c r="X804" s="123"/>
    </row>
    <row r="805" spans="1:24" ht="12.75">
      <c r="A805" s="211"/>
      <c r="X805" s="123"/>
    </row>
    <row r="806" spans="1:24" ht="12.75">
      <c r="A806" s="211"/>
      <c r="X806" s="123"/>
    </row>
    <row r="807" spans="1:24" ht="12.75">
      <c r="A807" s="211"/>
      <c r="X807" s="123"/>
    </row>
    <row r="808" spans="1:24" ht="12.75">
      <c r="A808" s="211"/>
      <c r="X808" s="123"/>
    </row>
    <row r="809" spans="1:24" ht="12.75">
      <c r="A809" s="211"/>
      <c r="X809" s="123"/>
    </row>
    <row r="810" spans="1:24" ht="12.75">
      <c r="A810" s="211"/>
      <c r="X810" s="123"/>
    </row>
    <row r="811" spans="1:24" ht="12.75">
      <c r="A811" s="211"/>
      <c r="X811" s="123"/>
    </row>
    <row r="812" spans="1:24" ht="12.75">
      <c r="A812" s="211"/>
      <c r="X812" s="123"/>
    </row>
    <row r="813" spans="1:24" ht="12.75">
      <c r="A813" s="211"/>
      <c r="X813" s="123"/>
    </row>
    <row r="814" spans="1:24" ht="12.75">
      <c r="A814" s="211"/>
      <c r="X814" s="123"/>
    </row>
    <row r="815" spans="1:24" ht="12.75">
      <c r="A815" s="211"/>
      <c r="X815" s="123"/>
    </row>
    <row r="816" spans="1:24" ht="12.75">
      <c r="A816" s="211"/>
      <c r="X816" s="123"/>
    </row>
    <row r="817" spans="1:24" ht="12.75">
      <c r="A817" s="211"/>
      <c r="X817" s="123"/>
    </row>
    <row r="818" spans="1:24" ht="12.75">
      <c r="A818" s="211"/>
      <c r="X818" s="123"/>
    </row>
    <row r="819" spans="1:24" ht="12.75">
      <c r="A819" s="211"/>
      <c r="X819" s="123"/>
    </row>
    <row r="820" spans="1:24" ht="12.75">
      <c r="A820" s="211"/>
      <c r="X820" s="123"/>
    </row>
    <row r="821" spans="1:24" ht="12.75">
      <c r="A821" s="211"/>
      <c r="X821" s="123"/>
    </row>
    <row r="822" spans="1:24" ht="12.75">
      <c r="A822" s="211"/>
      <c r="X822" s="123"/>
    </row>
    <row r="823" spans="1:24" ht="12.75">
      <c r="A823" s="211"/>
      <c r="X823" s="123"/>
    </row>
    <row r="824" spans="1:24" ht="12.75">
      <c r="A824" s="211"/>
      <c r="X824" s="123"/>
    </row>
    <row r="825" spans="1:24" ht="12.75">
      <c r="A825" s="211"/>
      <c r="X825" s="123"/>
    </row>
    <row r="826" spans="1:24" ht="12.75">
      <c r="A826" s="211"/>
      <c r="X826" s="123"/>
    </row>
    <row r="827" spans="1:24" ht="12.75">
      <c r="A827" s="211"/>
      <c r="X827" s="123"/>
    </row>
    <row r="828" spans="1:24" ht="12.75">
      <c r="A828" s="211"/>
      <c r="X828" s="123"/>
    </row>
    <row r="829" spans="1:24" ht="12.75">
      <c r="A829" s="211"/>
      <c r="X829" s="123"/>
    </row>
    <row r="830" spans="1:24" ht="12.75">
      <c r="A830" s="211"/>
      <c r="X830" s="123"/>
    </row>
    <row r="831" spans="1:24" ht="12.75">
      <c r="A831" s="211"/>
      <c r="X831" s="123"/>
    </row>
    <row r="832" spans="1:24" ht="12.75">
      <c r="A832" s="211"/>
      <c r="X832" s="123"/>
    </row>
    <row r="833" spans="1:24" ht="12.75">
      <c r="A833" s="211"/>
      <c r="X833" s="123"/>
    </row>
    <row r="834" spans="1:24" ht="12.75">
      <c r="A834" s="211"/>
      <c r="X834" s="123"/>
    </row>
    <row r="835" spans="1:24" ht="12.75">
      <c r="A835" s="211"/>
      <c r="X835" s="123"/>
    </row>
    <row r="836" spans="1:24" ht="12.75">
      <c r="A836" s="211"/>
      <c r="X836" s="123"/>
    </row>
    <row r="837" spans="1:24" ht="12.75">
      <c r="A837" s="211"/>
      <c r="X837" s="123"/>
    </row>
    <row r="838" spans="1:24" ht="12.75">
      <c r="A838" s="211"/>
      <c r="X838" s="123"/>
    </row>
    <row r="839" spans="1:24" ht="12.75">
      <c r="A839" s="211"/>
      <c r="X839" s="123"/>
    </row>
    <row r="840" spans="1:24" ht="12.75">
      <c r="A840" s="211"/>
      <c r="X840" s="123"/>
    </row>
    <row r="841" spans="1:24" ht="12.75">
      <c r="A841" s="211"/>
      <c r="X841" s="123"/>
    </row>
    <row r="842" spans="1:24" ht="12.75">
      <c r="A842" s="211"/>
      <c r="X842" s="123"/>
    </row>
    <row r="843" spans="1:24" ht="12.75">
      <c r="A843" s="211"/>
      <c r="X843" s="123"/>
    </row>
    <row r="844" spans="1:24" ht="12.75">
      <c r="A844" s="211"/>
      <c r="X844" s="123"/>
    </row>
    <row r="845" spans="1:24" ht="12.75">
      <c r="A845" s="211"/>
      <c r="X845" s="123"/>
    </row>
    <row r="846" spans="1:24" ht="12.75">
      <c r="A846" s="211"/>
      <c r="X846" s="123"/>
    </row>
    <row r="847" spans="1:24" ht="12.75">
      <c r="A847" s="211"/>
      <c r="X847" s="123"/>
    </row>
    <row r="848" spans="1:24" ht="12.75">
      <c r="A848" s="211"/>
      <c r="X848" s="123"/>
    </row>
    <row r="849" spans="1:24" ht="12.75">
      <c r="A849" s="211"/>
      <c r="X849" s="123"/>
    </row>
    <row r="850" spans="1:24" ht="12.75">
      <c r="A850" s="211"/>
      <c r="X850" s="123"/>
    </row>
    <row r="851" spans="1:24" ht="12.75">
      <c r="A851" s="211"/>
      <c r="X851" s="123"/>
    </row>
    <row r="852" spans="1:24" ht="12.75">
      <c r="A852" s="211"/>
      <c r="X852" s="123"/>
    </row>
    <row r="853" spans="1:24" ht="12.75">
      <c r="A853" s="211"/>
      <c r="X853" s="123"/>
    </row>
    <row r="854" spans="1:24" ht="12.75">
      <c r="A854" s="211"/>
      <c r="X854" s="123"/>
    </row>
    <row r="855" spans="1:24" ht="12.75">
      <c r="A855" s="211"/>
      <c r="X855" s="123"/>
    </row>
    <row r="856" spans="1:24" ht="12.75">
      <c r="A856" s="211"/>
      <c r="X856" s="123"/>
    </row>
    <row r="857" spans="1:24" ht="12.75">
      <c r="A857" s="211"/>
      <c r="X857" s="123"/>
    </row>
    <row r="858" spans="1:24" ht="12.75">
      <c r="A858" s="211"/>
      <c r="X858" s="123"/>
    </row>
    <row r="859" spans="1:24" ht="12.75">
      <c r="A859" s="211"/>
      <c r="X859" s="123"/>
    </row>
    <row r="860" spans="1:24" ht="12.75">
      <c r="A860" s="211"/>
      <c r="X860" s="123"/>
    </row>
    <row r="861" spans="1:24" ht="12.75">
      <c r="A861" s="211"/>
      <c r="X861" s="123"/>
    </row>
    <row r="862" spans="1:24" ht="12.75">
      <c r="A862" s="211"/>
      <c r="X862" s="123"/>
    </row>
    <row r="863" spans="1:24" ht="12.75">
      <c r="A863" s="211"/>
      <c r="X863" s="123"/>
    </row>
    <row r="864" spans="1:24" ht="12.75">
      <c r="A864" s="211"/>
      <c r="X864" s="123"/>
    </row>
    <row r="865" spans="1:24" ht="12.75">
      <c r="A865" s="211"/>
      <c r="X865" s="123"/>
    </row>
    <row r="866" spans="1:24" ht="12.75">
      <c r="A866" s="211"/>
      <c r="X866" s="123"/>
    </row>
    <row r="867" spans="1:24" ht="12.75">
      <c r="A867" s="211"/>
      <c r="X867" s="123"/>
    </row>
    <row r="868" spans="1:24" ht="12.75">
      <c r="A868" s="211"/>
      <c r="X868" s="123"/>
    </row>
    <row r="869" spans="1:24" ht="12.75">
      <c r="A869" s="211"/>
      <c r="X869" s="123"/>
    </row>
    <row r="870" spans="1:24" ht="12.75">
      <c r="A870" s="211"/>
      <c r="X870" s="123"/>
    </row>
    <row r="871" spans="1:24" ht="12.75">
      <c r="A871" s="211"/>
      <c r="X871" s="123"/>
    </row>
    <row r="872" spans="1:24" ht="12.75">
      <c r="A872" s="211"/>
      <c r="X872" s="123"/>
    </row>
    <row r="873" spans="1:24" ht="12.75">
      <c r="A873" s="211"/>
      <c r="X873" s="123"/>
    </row>
    <row r="874" spans="1:24" ht="12.75">
      <c r="A874" s="211"/>
      <c r="X874" s="123"/>
    </row>
    <row r="875" spans="1:24" ht="12.75">
      <c r="A875" s="211"/>
      <c r="X875" s="123"/>
    </row>
    <row r="876" spans="1:24" ht="12.75">
      <c r="A876" s="211"/>
      <c r="X876" s="123"/>
    </row>
    <row r="877" spans="1:24" ht="12.75">
      <c r="A877" s="211"/>
      <c r="X877" s="123"/>
    </row>
    <row r="878" spans="1:24" ht="12.75">
      <c r="A878" s="211"/>
      <c r="X878" s="123"/>
    </row>
    <row r="879" spans="1:24" ht="12.75">
      <c r="A879" s="211"/>
      <c r="X879" s="123"/>
    </row>
    <row r="880" spans="1:24" ht="12.75">
      <c r="A880" s="211"/>
      <c r="X880" s="123"/>
    </row>
    <row r="881" spans="1:24" ht="12.75">
      <c r="A881" s="211"/>
      <c r="X881" s="123"/>
    </row>
    <row r="882" spans="1:24" ht="12.75">
      <c r="A882" s="211"/>
      <c r="X882" s="123"/>
    </row>
    <row r="883" spans="1:24" ht="12.75">
      <c r="A883" s="211"/>
      <c r="X883" s="123"/>
    </row>
    <row r="884" spans="1:24" ht="12.75">
      <c r="A884" s="211"/>
      <c r="X884" s="123"/>
    </row>
    <row r="885" spans="1:24" ht="12.75">
      <c r="A885" s="211"/>
      <c r="X885" s="123"/>
    </row>
    <row r="886" spans="1:24" ht="12.75">
      <c r="A886" s="211"/>
      <c r="X886" s="123"/>
    </row>
    <row r="887" spans="1:24" ht="12.75">
      <c r="A887" s="211"/>
      <c r="X887" s="123"/>
    </row>
    <row r="888" spans="1:24" ht="12.75">
      <c r="A888" s="211"/>
      <c r="X888" s="123"/>
    </row>
    <row r="889" spans="1:24" ht="12.75">
      <c r="A889" s="211"/>
      <c r="X889" s="123"/>
    </row>
    <row r="890" spans="1:24" ht="12.75">
      <c r="A890" s="211"/>
      <c r="X890" s="123"/>
    </row>
    <row r="891" spans="1:24" ht="12.75">
      <c r="A891" s="211"/>
      <c r="X891" s="123"/>
    </row>
    <row r="892" spans="1:24" ht="12.75">
      <c r="A892" s="211"/>
      <c r="X892" s="123"/>
    </row>
    <row r="893" spans="1:24" ht="12.75">
      <c r="A893" s="211"/>
      <c r="X893" s="123"/>
    </row>
    <row r="894" spans="1:24" ht="12.75">
      <c r="A894" s="211"/>
      <c r="X894" s="123"/>
    </row>
    <row r="895" spans="1:24" ht="12.75">
      <c r="A895" s="211"/>
      <c r="X895" s="123"/>
    </row>
    <row r="896" spans="1:24" ht="12.75">
      <c r="A896" s="211"/>
      <c r="X896" s="123"/>
    </row>
    <row r="897" spans="1:24" ht="12.75">
      <c r="A897" s="211"/>
      <c r="X897" s="123"/>
    </row>
    <row r="898" spans="1:24" ht="12.75">
      <c r="A898" s="211"/>
      <c r="X898" s="123"/>
    </row>
    <row r="899" spans="1:24" ht="12.75">
      <c r="A899" s="211"/>
      <c r="X899" s="123"/>
    </row>
    <row r="900" spans="1:24" ht="12.75">
      <c r="A900" s="211"/>
      <c r="X900" s="123"/>
    </row>
    <row r="901" spans="1:24" ht="12.75">
      <c r="A901" s="211"/>
      <c r="X901" s="123"/>
    </row>
    <row r="902" spans="1:24" ht="12.75">
      <c r="A902" s="211"/>
      <c r="X902" s="123"/>
    </row>
    <row r="903" spans="1:24" ht="12.75">
      <c r="A903" s="211"/>
      <c r="X903" s="123"/>
    </row>
    <row r="904" spans="1:24" ht="12.75">
      <c r="A904" s="211"/>
      <c r="X904" s="123"/>
    </row>
    <row r="905" spans="1:24" ht="12.75">
      <c r="A905" s="211"/>
      <c r="X905" s="123"/>
    </row>
    <row r="906" spans="1:24" ht="12.75">
      <c r="A906" s="211"/>
      <c r="X906" s="123"/>
    </row>
    <row r="907" spans="1:24" ht="12.75">
      <c r="A907" s="211"/>
      <c r="X907" s="123"/>
    </row>
    <row r="908" spans="1:24" ht="12.75">
      <c r="A908" s="211"/>
      <c r="X908" s="123"/>
    </row>
    <row r="909" spans="1:24" ht="12.75">
      <c r="A909" s="211"/>
      <c r="X909" s="123"/>
    </row>
    <row r="910" spans="1:24" ht="12.75">
      <c r="A910" s="211"/>
      <c r="X910" s="123"/>
    </row>
    <row r="911" spans="1:24" ht="12.75">
      <c r="A911" s="211"/>
      <c r="X911" s="123"/>
    </row>
    <row r="912" spans="1:24" ht="12.75">
      <c r="A912" s="211"/>
      <c r="X912" s="123"/>
    </row>
    <row r="913" spans="1:24" ht="12.75">
      <c r="A913" s="211"/>
      <c r="X913" s="123"/>
    </row>
    <row r="914" spans="1:24" ht="12.75">
      <c r="A914" s="211"/>
      <c r="X914" s="123"/>
    </row>
    <row r="915" spans="1:24" ht="12.75">
      <c r="A915" s="211"/>
      <c r="X915" s="123"/>
    </row>
    <row r="916" spans="1:24" ht="12.75">
      <c r="A916" s="211"/>
      <c r="X916" s="123"/>
    </row>
    <row r="917" spans="1:24" ht="12.75">
      <c r="A917" s="211"/>
      <c r="X917" s="123"/>
    </row>
    <row r="918" spans="1:24" ht="12.75">
      <c r="A918" s="211"/>
      <c r="X918" s="123"/>
    </row>
    <row r="919" spans="1:24" ht="12.75">
      <c r="A919" s="211"/>
      <c r="X919" s="123"/>
    </row>
    <row r="920" spans="1:24" ht="12.75">
      <c r="A920" s="211"/>
      <c r="X920" s="123"/>
    </row>
    <row r="921" spans="1:24" ht="12.75">
      <c r="A921" s="211"/>
      <c r="X921" s="123"/>
    </row>
    <row r="922" spans="1:24" ht="12.75">
      <c r="A922" s="211"/>
      <c r="X922" s="123"/>
    </row>
    <row r="923" spans="1:24" ht="12.75">
      <c r="A923" s="211"/>
      <c r="X923" s="123"/>
    </row>
    <row r="924" spans="1:24" ht="12.75">
      <c r="A924" s="211"/>
      <c r="X924" s="123"/>
    </row>
    <row r="925" spans="1:24" ht="12.75">
      <c r="A925" s="211"/>
      <c r="X925" s="123"/>
    </row>
    <row r="926" spans="1:24" ht="12.75">
      <c r="A926" s="211"/>
      <c r="X926" s="123"/>
    </row>
    <row r="927" spans="1:24" ht="12.75">
      <c r="A927" s="211"/>
      <c r="X927" s="123"/>
    </row>
    <row r="928" spans="1:24" ht="12.75">
      <c r="A928" s="211"/>
      <c r="X928" s="123"/>
    </row>
    <row r="929" spans="1:24" ht="12.75">
      <c r="A929" s="211"/>
      <c r="X929" s="123"/>
    </row>
    <row r="930" spans="1:24" ht="12.75">
      <c r="A930" s="211"/>
      <c r="X930" s="123"/>
    </row>
    <row r="931" spans="1:24" ht="12.75">
      <c r="A931" s="211"/>
      <c r="X931" s="123"/>
    </row>
    <row r="932" spans="1:24" ht="12.75">
      <c r="A932" s="211"/>
      <c r="X932" s="123"/>
    </row>
    <row r="933" spans="1:24" ht="12.75">
      <c r="A933" s="211"/>
      <c r="X933" s="123"/>
    </row>
    <row r="934" spans="1:24" ht="12.75">
      <c r="A934" s="211"/>
      <c r="X934" s="123"/>
    </row>
    <row r="935" spans="1:24" ht="12.75">
      <c r="A935" s="211"/>
      <c r="X935" s="123"/>
    </row>
    <row r="936" spans="1:24" ht="12.75">
      <c r="A936" s="211"/>
      <c r="X936" s="123"/>
    </row>
    <row r="937" spans="1:24" ht="12.75">
      <c r="A937" s="211"/>
      <c r="X937" s="123"/>
    </row>
    <row r="938" spans="1:24" ht="12.75">
      <c r="A938" s="211"/>
      <c r="X938" s="123"/>
    </row>
    <row r="939" spans="1:24" ht="12.75">
      <c r="A939" s="211"/>
      <c r="X939" s="123"/>
    </row>
    <row r="940" spans="1:24" ht="12.75">
      <c r="A940" s="211"/>
      <c r="X940" s="123"/>
    </row>
    <row r="941" spans="1:24" ht="12.75">
      <c r="A941" s="211"/>
      <c r="X941" s="123"/>
    </row>
    <row r="942" spans="1:24" ht="12.75">
      <c r="A942" s="211"/>
      <c r="X942" s="123"/>
    </row>
    <row r="943" spans="1:24" ht="12.75">
      <c r="A943" s="211"/>
      <c r="X943" s="123"/>
    </row>
    <row r="944" spans="1:24" ht="12.75">
      <c r="A944" s="211"/>
      <c r="X944" s="123"/>
    </row>
    <row r="945" spans="1:24" ht="12.75">
      <c r="A945" s="211"/>
      <c r="X945" s="123"/>
    </row>
    <row r="946" spans="1:24" ht="12.75">
      <c r="A946" s="211"/>
      <c r="X946" s="123"/>
    </row>
    <row r="947" spans="1:24" ht="12.75">
      <c r="A947" s="211"/>
      <c r="X947" s="123"/>
    </row>
    <row r="948" spans="1:24" ht="12.75">
      <c r="A948" s="211"/>
      <c r="X948" s="123"/>
    </row>
    <row r="949" spans="1:24" ht="12.75">
      <c r="A949" s="211"/>
      <c r="X949" s="123"/>
    </row>
    <row r="950" spans="1:24" ht="12.75">
      <c r="A950" s="211"/>
      <c r="X950" s="123"/>
    </row>
    <row r="951" spans="1:24" ht="12.75">
      <c r="A951" s="211"/>
      <c r="X951" s="123"/>
    </row>
    <row r="952" spans="1:24" ht="12.75">
      <c r="A952" s="211"/>
      <c r="X952" s="123"/>
    </row>
    <row r="953" spans="1:24" ht="12.75">
      <c r="A953" s="211"/>
      <c r="X953" s="123"/>
    </row>
    <row r="954" spans="1:24" ht="12.75">
      <c r="A954" s="211"/>
      <c r="X954" s="123"/>
    </row>
    <row r="955" spans="1:24" ht="12.75">
      <c r="A955" s="211"/>
      <c r="X955" s="123"/>
    </row>
    <row r="956" spans="1:24" ht="12.75">
      <c r="A956" s="211"/>
      <c r="X956" s="123"/>
    </row>
    <row r="957" spans="1:24" ht="12.75">
      <c r="A957" s="211"/>
      <c r="X957" s="123"/>
    </row>
    <row r="958" spans="1:24" ht="12.75">
      <c r="A958" s="211"/>
      <c r="X958" s="123"/>
    </row>
    <row r="959" spans="1:24" ht="12.75">
      <c r="A959" s="211"/>
      <c r="X959" s="123"/>
    </row>
    <row r="960" spans="1:24" ht="12.75">
      <c r="A960" s="211"/>
      <c r="X960" s="123"/>
    </row>
    <row r="961" spans="1:24" ht="12.75">
      <c r="A961" s="211"/>
      <c r="X961" s="123"/>
    </row>
    <row r="962" spans="1:24" ht="12.75">
      <c r="A962" s="211"/>
      <c r="X962" s="123"/>
    </row>
    <row r="963" spans="1:24" ht="12.75">
      <c r="A963" s="211"/>
      <c r="X963" s="123"/>
    </row>
    <row r="964" spans="1:24" ht="12.75">
      <c r="A964" s="211"/>
      <c r="X964" s="123"/>
    </row>
    <row r="965" spans="1:24" ht="12.75">
      <c r="A965" s="211"/>
      <c r="X965" s="123"/>
    </row>
    <row r="966" spans="1:24" ht="12.75">
      <c r="A966" s="211"/>
      <c r="X966" s="123"/>
    </row>
    <row r="967" spans="1:24" ht="12.75">
      <c r="A967" s="211"/>
      <c r="X967" s="123"/>
    </row>
    <row r="968" spans="1:24" ht="12.75">
      <c r="A968" s="211"/>
      <c r="X968" s="123"/>
    </row>
    <row r="969" spans="1:24" ht="12.75">
      <c r="A969" s="211"/>
      <c r="X969" s="123"/>
    </row>
    <row r="970" spans="1:24" ht="12.75">
      <c r="A970" s="211"/>
      <c r="X970" s="123"/>
    </row>
    <row r="971" spans="1:24" ht="12.75">
      <c r="A971" s="211"/>
      <c r="X971" s="123"/>
    </row>
    <row r="972" spans="1:24" ht="12.75">
      <c r="A972" s="211"/>
      <c r="X972" s="123"/>
    </row>
    <row r="973" spans="1:24" ht="12.75">
      <c r="A973" s="211"/>
      <c r="X973" s="123"/>
    </row>
    <row r="974" spans="1:24" ht="12.75">
      <c r="A974" s="211"/>
      <c r="X974" s="123"/>
    </row>
    <row r="975" spans="1:24" ht="12.75">
      <c r="A975" s="211"/>
      <c r="X975" s="123"/>
    </row>
    <row r="976" spans="1:24" ht="12.75">
      <c r="A976" s="211"/>
      <c r="X976" s="123"/>
    </row>
    <row r="977" spans="1:24" ht="12.75">
      <c r="A977" s="211"/>
      <c r="X977" s="123"/>
    </row>
    <row r="978" spans="1:24" ht="12.75">
      <c r="A978" s="211"/>
      <c r="X978" s="123"/>
    </row>
    <row r="979" spans="1:24" ht="12.75">
      <c r="A979" s="211"/>
      <c r="X979" s="123"/>
    </row>
    <row r="980" spans="1:24" ht="12.75">
      <c r="A980" s="211"/>
      <c r="X980" s="123"/>
    </row>
    <row r="981" spans="1:24" ht="12.75">
      <c r="A981" s="211"/>
      <c r="X981" s="123"/>
    </row>
    <row r="982" spans="1:24" ht="12.75">
      <c r="A982" s="211"/>
      <c r="X982" s="123"/>
    </row>
    <row r="983" spans="1:24" ht="12.75">
      <c r="A983" s="211"/>
      <c r="X983" s="123"/>
    </row>
    <row r="984" spans="1:24" ht="12.75">
      <c r="A984" s="211"/>
      <c r="X984" s="123"/>
    </row>
    <row r="985" spans="1:24" ht="12.75">
      <c r="A985" s="211"/>
      <c r="X985" s="123"/>
    </row>
    <row r="986" spans="1:24" ht="12.75">
      <c r="A986" s="211"/>
      <c r="X986" s="123"/>
    </row>
    <row r="987" spans="1:24" ht="12.75">
      <c r="A987" s="211"/>
      <c r="X987" s="123"/>
    </row>
    <row r="988" spans="1:24" ht="12.75">
      <c r="A988" s="211"/>
      <c r="X988" s="123"/>
    </row>
    <row r="989" spans="1:24" ht="12.75">
      <c r="A989" s="211"/>
      <c r="X989" s="123"/>
    </row>
    <row r="990" spans="1:24" ht="12.75">
      <c r="A990" s="211"/>
      <c r="X990" s="123"/>
    </row>
    <row r="991" spans="1:24" ht="12.75">
      <c r="A991" s="211"/>
      <c r="X991" s="123"/>
    </row>
    <row r="992" spans="1:24" ht="12.75">
      <c r="A992" s="211"/>
      <c r="X992" s="123"/>
    </row>
    <row r="993" spans="1:24" ht="12.75">
      <c r="A993" s="211"/>
      <c r="X993" s="123"/>
    </row>
    <row r="994" spans="1:24" ht="12.75">
      <c r="A994" s="211"/>
      <c r="X994" s="123"/>
    </row>
    <row r="995" spans="1:24" ht="12.75">
      <c r="A995" s="211"/>
      <c r="X995" s="123"/>
    </row>
    <row r="996" spans="1:24" ht="12.75">
      <c r="A996" s="211"/>
      <c r="X996" s="123"/>
    </row>
    <row r="997" spans="1:24" ht="12.75">
      <c r="A997" s="211"/>
      <c r="X997" s="123"/>
    </row>
    <row r="998" spans="1:24" ht="12.75">
      <c r="A998" s="211"/>
      <c r="X998" s="123"/>
    </row>
    <row r="999" spans="1:24" ht="12.75">
      <c r="A999" s="211"/>
      <c r="X999" s="123"/>
    </row>
    <row r="1000" spans="1:24" ht="12.75">
      <c r="A1000" s="211"/>
      <c r="X1000" s="123"/>
    </row>
    <row r="1001" spans="1:24" ht="12.75">
      <c r="A1001" s="211"/>
      <c r="X1001" s="123"/>
    </row>
    <row r="1002" spans="1:24" ht="12.75">
      <c r="A1002" s="211"/>
      <c r="X1002" s="123"/>
    </row>
    <row r="1003" spans="1:24" ht="12.75">
      <c r="A1003" s="211"/>
      <c r="X1003" s="123"/>
    </row>
    <row r="1004" spans="1:24" ht="12.75">
      <c r="A1004" s="211"/>
      <c r="X1004" s="123"/>
    </row>
    <row r="1005" spans="1:24" ht="12.75">
      <c r="A1005" s="211"/>
      <c r="X1005" s="123"/>
    </row>
    <row r="1006" spans="1:24" ht="12.75">
      <c r="A1006" s="211"/>
      <c r="X1006" s="123"/>
    </row>
    <row r="1007" spans="1:24" ht="12.75">
      <c r="A1007" s="211"/>
      <c r="X1007" s="123"/>
    </row>
    <row r="1008" spans="1:24" ht="12.75">
      <c r="A1008" s="211"/>
      <c r="X1008" s="123"/>
    </row>
    <row r="1009" spans="1:24" ht="12.75">
      <c r="A1009" s="211"/>
      <c r="X1009" s="123"/>
    </row>
    <row r="1010" spans="1:24" ht="12.75">
      <c r="A1010" s="211"/>
      <c r="X1010" s="123"/>
    </row>
    <row r="1011" spans="1:24" ht="12.75">
      <c r="A1011" s="211"/>
      <c r="X1011" s="123"/>
    </row>
    <row r="1012" spans="1:24" ht="12.75">
      <c r="A1012" s="211"/>
      <c r="X1012" s="123"/>
    </row>
    <row r="1013" spans="1:24" ht="12.75">
      <c r="A1013" s="211"/>
      <c r="X1013" s="123"/>
    </row>
    <row r="1014" spans="1:24" ht="12.75">
      <c r="A1014" s="211"/>
      <c r="X1014" s="123"/>
    </row>
    <row r="1015" spans="1:24" ht="12.75">
      <c r="A1015" s="211"/>
      <c r="X1015" s="123"/>
    </row>
    <row r="1016" spans="1:24" ht="12.75">
      <c r="A1016" s="211"/>
      <c r="X1016" s="123"/>
    </row>
    <row r="1017" spans="1:24" ht="12.75">
      <c r="A1017" s="211"/>
      <c r="X1017" s="123"/>
    </row>
    <row r="1018" spans="1:24" ht="12.75">
      <c r="A1018" s="211"/>
      <c r="X1018" s="123"/>
    </row>
    <row r="1019" spans="1:24" ht="12.75">
      <c r="A1019" s="211"/>
      <c r="X1019" s="123"/>
    </row>
    <row r="1020" spans="1:24" ht="12.75">
      <c r="A1020" s="211"/>
      <c r="X1020" s="123"/>
    </row>
    <row r="1021" spans="1:24" ht="12.75">
      <c r="A1021" s="211"/>
      <c r="X1021" s="123"/>
    </row>
    <row r="1022" spans="1:24" ht="12.75">
      <c r="A1022" s="211"/>
      <c r="X1022" s="123"/>
    </row>
    <row r="1023" spans="1:24" ht="12.75">
      <c r="A1023" s="211"/>
      <c r="X1023" s="123"/>
    </row>
    <row r="1024" spans="1:24" ht="12.75">
      <c r="A1024" s="211"/>
      <c r="X1024" s="123"/>
    </row>
    <row r="1025" spans="1:24" ht="12.75">
      <c r="A1025" s="211"/>
      <c r="X1025" s="123"/>
    </row>
    <row r="1026" spans="1:24" ht="12.75">
      <c r="A1026" s="211"/>
      <c r="X1026" s="123"/>
    </row>
    <row r="1027" spans="1:24" ht="12.75">
      <c r="A1027" s="211"/>
      <c r="X1027" s="123"/>
    </row>
    <row r="1028" spans="1:24" ht="12.75">
      <c r="A1028" s="211"/>
      <c r="X1028" s="123"/>
    </row>
    <row r="1029" spans="1:24" ht="12.75">
      <c r="A1029" s="211"/>
      <c r="X1029" s="123"/>
    </row>
    <row r="1030" spans="1:24" ht="12.75">
      <c r="A1030" s="211"/>
      <c r="X1030" s="123"/>
    </row>
    <row r="1031" spans="1:24" ht="12.75">
      <c r="A1031" s="211"/>
      <c r="X1031" s="123"/>
    </row>
    <row r="1032" spans="1:24" ht="12.75">
      <c r="A1032" s="211"/>
      <c r="X1032" s="123"/>
    </row>
    <row r="1033" spans="1:24" ht="12.75">
      <c r="A1033" s="211"/>
      <c r="X1033" s="123"/>
    </row>
    <row r="1034" spans="1:24" ht="12.75">
      <c r="A1034" s="211"/>
      <c r="X1034" s="123"/>
    </row>
    <row r="1035" spans="1:24" ht="12.75">
      <c r="A1035" s="211"/>
      <c r="X1035" s="123"/>
    </row>
    <row r="1036" spans="1:24" ht="12.75">
      <c r="A1036" s="211"/>
      <c r="X1036" s="123"/>
    </row>
    <row r="1037" spans="1:24" ht="12.75">
      <c r="A1037" s="211"/>
      <c r="X1037" s="123"/>
    </row>
    <row r="1038" spans="1:24" ht="12.75">
      <c r="A1038" s="211"/>
      <c r="X1038" s="123"/>
    </row>
    <row r="1039" spans="1:24" ht="12.75">
      <c r="A1039" s="211"/>
      <c r="X1039" s="123"/>
    </row>
    <row r="1040" spans="1:24" ht="12.75">
      <c r="A1040" s="211"/>
      <c r="X1040" s="123"/>
    </row>
    <row r="1041" spans="1:24" ht="12.75">
      <c r="A1041" s="211"/>
      <c r="X1041" s="123"/>
    </row>
    <row r="1042" spans="1:24" ht="12.75">
      <c r="A1042" s="211"/>
      <c r="X1042" s="123"/>
    </row>
    <row r="1043" spans="1:24" ht="12.75">
      <c r="A1043" s="211"/>
      <c r="X1043" s="123"/>
    </row>
    <row r="1044" spans="1:24" ht="12.75">
      <c r="A1044" s="211"/>
      <c r="X1044" s="123"/>
    </row>
    <row r="1045" spans="1:24" ht="12.75">
      <c r="A1045" s="211"/>
      <c r="X1045" s="123"/>
    </row>
    <row r="1046" spans="1:24" ht="12.75">
      <c r="A1046" s="211"/>
      <c r="X1046" s="123"/>
    </row>
    <row r="1047" spans="1:24" ht="12.75">
      <c r="A1047" s="211"/>
      <c r="X1047" s="123"/>
    </row>
    <row r="1048" spans="1:24" ht="12.75">
      <c r="A1048" s="211"/>
      <c r="X1048" s="123"/>
    </row>
    <row r="1049" spans="1:24" ht="12.75">
      <c r="A1049" s="211"/>
      <c r="X1049" s="123"/>
    </row>
    <row r="1050" spans="1:24" ht="12.75">
      <c r="A1050" s="211"/>
      <c r="X1050" s="123"/>
    </row>
    <row r="1051" spans="1:24" ht="12.75">
      <c r="A1051" s="211"/>
      <c r="X1051" s="123"/>
    </row>
    <row r="1052" spans="1:24" ht="12.75">
      <c r="A1052" s="211"/>
      <c r="X1052" s="123"/>
    </row>
    <row r="1053" spans="1:24" ht="12.75">
      <c r="A1053" s="211"/>
      <c r="X1053" s="123"/>
    </row>
    <row r="1054" spans="1:24" ht="12.75">
      <c r="A1054" s="211"/>
      <c r="X1054" s="123"/>
    </row>
    <row r="1055" spans="1:24" ht="12.75">
      <c r="A1055" s="211"/>
      <c r="X1055" s="123"/>
    </row>
    <row r="1056" spans="1:24" ht="12.75">
      <c r="A1056" s="211"/>
      <c r="X1056" s="123"/>
    </row>
    <row r="1057" spans="1:24" ht="12.75">
      <c r="A1057" s="211"/>
      <c r="X1057" s="123"/>
    </row>
    <row r="1058" spans="1:24" ht="12.75">
      <c r="A1058" s="211"/>
      <c r="X1058" s="123"/>
    </row>
    <row r="1059" spans="1:24" ht="12.75">
      <c r="A1059" s="211"/>
      <c r="X1059" s="123"/>
    </row>
    <row r="1060" spans="1:24" ht="12.75">
      <c r="A1060" s="211"/>
      <c r="X1060" s="123"/>
    </row>
    <row r="1061" spans="1:24" ht="12.75">
      <c r="A1061" s="211"/>
      <c r="X1061" s="123"/>
    </row>
    <row r="1062" spans="1:24" ht="12.75">
      <c r="A1062" s="211"/>
      <c r="X1062" s="123"/>
    </row>
    <row r="1063" spans="1:24" ht="12.75">
      <c r="A1063" s="211"/>
      <c r="X1063" s="123"/>
    </row>
    <row r="1064" spans="1:24" ht="12.75">
      <c r="A1064" s="211"/>
      <c r="X1064" s="123"/>
    </row>
    <row r="1065" spans="1:24" ht="12.75">
      <c r="A1065" s="211"/>
      <c r="X1065" s="123"/>
    </row>
    <row r="1066" spans="1:24" ht="12.75">
      <c r="A1066" s="211"/>
      <c r="X1066" s="123"/>
    </row>
    <row r="1067" spans="1:24" ht="12.75">
      <c r="A1067" s="211"/>
      <c r="X1067" s="123"/>
    </row>
    <row r="1068" spans="1:24" ht="12.75">
      <c r="A1068" s="211"/>
      <c r="X1068" s="123"/>
    </row>
    <row r="1069" spans="1:24" ht="12.75">
      <c r="A1069" s="211"/>
      <c r="X1069" s="123"/>
    </row>
    <row r="1070" spans="1:24" ht="12.75">
      <c r="A1070" s="211"/>
      <c r="X1070" s="123"/>
    </row>
    <row r="1071" spans="1:24" ht="12.75">
      <c r="A1071" s="211"/>
      <c r="X1071" s="123"/>
    </row>
    <row r="1072" spans="1:24" ht="12.75">
      <c r="A1072" s="211"/>
      <c r="X1072" s="123"/>
    </row>
    <row r="1073" spans="1:24" ht="12.75">
      <c r="A1073" s="211"/>
      <c r="X1073" s="123"/>
    </row>
    <row r="1074" spans="1:24" ht="12.75">
      <c r="A1074" s="211"/>
      <c r="X1074" s="123"/>
    </row>
    <row r="1075" spans="1:24" ht="12.75">
      <c r="A1075" s="211"/>
      <c r="X1075" s="123"/>
    </row>
    <row r="1076" spans="1:24" ht="12.75">
      <c r="A1076" s="211"/>
      <c r="X1076" s="123"/>
    </row>
    <row r="1077" spans="1:24" ht="12.75">
      <c r="A1077" s="211"/>
      <c r="X1077" s="123"/>
    </row>
    <row r="1078" spans="1:24" ht="12.75">
      <c r="A1078" s="211"/>
      <c r="X1078" s="123"/>
    </row>
    <row r="1079" spans="1:24" ht="12.75">
      <c r="A1079" s="211"/>
      <c r="X1079" s="123"/>
    </row>
    <row r="1080" spans="1:24" ht="12.75">
      <c r="A1080" s="211"/>
      <c r="X1080" s="123"/>
    </row>
    <row r="1081" spans="1:24" ht="12.75">
      <c r="A1081" s="211"/>
      <c r="X1081" s="123"/>
    </row>
    <row r="1082" spans="1:24" ht="12.75">
      <c r="A1082" s="211"/>
      <c r="X1082" s="123"/>
    </row>
    <row r="1083" spans="1:24" ht="12.75">
      <c r="A1083" s="211"/>
      <c r="X1083" s="123"/>
    </row>
    <row r="1084" spans="1:24" ht="12.75">
      <c r="A1084" s="211"/>
      <c r="X1084" s="123"/>
    </row>
    <row r="1085" spans="1:24" ht="12.75">
      <c r="A1085" s="211"/>
      <c r="X1085" s="123"/>
    </row>
    <row r="1086" spans="1:24" ht="12.75">
      <c r="A1086" s="211"/>
      <c r="X1086" s="123"/>
    </row>
    <row r="1087" spans="1:24" ht="12.75">
      <c r="A1087" s="211"/>
      <c r="X1087" s="123"/>
    </row>
    <row r="1088" spans="1:24" ht="12.75">
      <c r="A1088" s="211"/>
      <c r="X1088" s="123"/>
    </row>
    <row r="1089" spans="1:24" ht="12.75">
      <c r="A1089" s="211"/>
      <c r="X1089" s="123"/>
    </row>
    <row r="1090" spans="1:24" ht="12.75">
      <c r="A1090" s="211"/>
      <c r="X1090" s="123"/>
    </row>
    <row r="1091" spans="1:24" ht="12.75">
      <c r="A1091" s="211"/>
      <c r="X1091" s="123"/>
    </row>
    <row r="1092" spans="1:24" ht="12.75">
      <c r="A1092" s="211"/>
      <c r="X1092" s="123"/>
    </row>
    <row r="1093" spans="1:24" ht="12.75">
      <c r="A1093" s="211"/>
      <c r="X1093" s="123"/>
    </row>
    <row r="1094" spans="1:24" ht="12.75">
      <c r="A1094" s="211"/>
      <c r="X1094" s="123"/>
    </row>
    <row r="1095" spans="1:24" ht="12.75">
      <c r="A1095" s="211"/>
      <c r="X1095" s="123"/>
    </row>
    <row r="1096" spans="1:24" ht="12.75">
      <c r="A1096" s="211"/>
      <c r="X1096" s="123"/>
    </row>
    <row r="1097" spans="1:24" ht="12.75">
      <c r="A1097" s="211"/>
      <c r="X1097" s="123"/>
    </row>
    <row r="1098" spans="1:24" ht="12.75">
      <c r="A1098" s="211"/>
      <c r="X1098" s="123"/>
    </row>
    <row r="1099" spans="1:24" ht="12.75">
      <c r="A1099" s="211"/>
      <c r="X1099" s="123"/>
    </row>
    <row r="1100" spans="1:24" ht="12.75">
      <c r="A1100" s="211"/>
      <c r="X1100" s="123"/>
    </row>
    <row r="1101" spans="1:24" ht="12.75">
      <c r="A1101" s="211"/>
      <c r="X1101" s="123"/>
    </row>
    <row r="1102" spans="1:24" ht="12.75">
      <c r="A1102" s="211"/>
      <c r="X1102" s="123"/>
    </row>
    <row r="1103" spans="1:24" ht="12.75">
      <c r="A1103" s="211"/>
      <c r="X1103" s="123"/>
    </row>
    <row r="1104" spans="1:24" ht="12.75">
      <c r="A1104" s="211"/>
      <c r="X1104" s="123"/>
    </row>
    <row r="1105" spans="1:24" ht="12.75">
      <c r="A1105" s="211"/>
      <c r="X1105" s="123"/>
    </row>
    <row r="1106" spans="1:24" ht="12.75">
      <c r="A1106" s="211"/>
      <c r="X1106" s="123"/>
    </row>
    <row r="1107" spans="1:24" ht="12.75">
      <c r="A1107" s="211"/>
      <c r="X1107" s="123"/>
    </row>
    <row r="1108" spans="1:24" ht="12.75">
      <c r="A1108" s="211"/>
      <c r="X1108" s="123"/>
    </row>
    <row r="1109" spans="1:24" ht="12.75">
      <c r="A1109" s="211"/>
      <c r="X1109" s="123"/>
    </row>
    <row r="1110" spans="1:24" ht="12.75">
      <c r="A1110" s="211"/>
      <c r="X1110" s="123"/>
    </row>
    <row r="1111" spans="1:24" ht="12.75">
      <c r="A1111" s="211"/>
      <c r="X1111" s="123"/>
    </row>
    <row r="1112" spans="1:24" ht="12.75">
      <c r="A1112" s="211"/>
      <c r="X1112" s="123"/>
    </row>
    <row r="1113" spans="1:24" ht="12.75">
      <c r="A1113" s="211"/>
      <c r="X1113" s="123"/>
    </row>
    <row r="1114" spans="1:24" ht="12.75">
      <c r="A1114" s="211"/>
      <c r="X1114" s="123"/>
    </row>
    <row r="1115" spans="1:24" ht="12.75">
      <c r="A1115" s="211"/>
      <c r="X1115" s="123"/>
    </row>
    <row r="1116" spans="1:24" ht="12.75">
      <c r="A1116" s="211"/>
      <c r="X1116" s="123"/>
    </row>
    <row r="1117" spans="1:24" ht="12.75">
      <c r="A1117" s="211"/>
      <c r="X1117" s="123"/>
    </row>
    <row r="1118" spans="1:24" ht="12.75">
      <c r="A1118" s="211"/>
      <c r="X1118" s="123"/>
    </row>
    <row r="1119" spans="1:24" ht="12.75">
      <c r="A1119" s="211"/>
      <c r="X1119" s="123"/>
    </row>
    <row r="1120" spans="1:24" ht="12.75">
      <c r="A1120" s="211"/>
      <c r="X1120" s="123"/>
    </row>
    <row r="1121" spans="1:24" ht="12.75">
      <c r="A1121" s="211"/>
      <c r="X1121" s="123"/>
    </row>
    <row r="1122" spans="1:24" ht="12.75">
      <c r="A1122" s="211"/>
      <c r="X1122" s="123"/>
    </row>
    <row r="1123" spans="1:24" ht="12.75">
      <c r="A1123" s="211"/>
      <c r="X1123" s="123"/>
    </row>
    <row r="1124" spans="1:24" ht="12.75">
      <c r="A1124" s="211"/>
      <c r="X1124" s="123"/>
    </row>
    <row r="1125" spans="1:24" ht="12.75">
      <c r="A1125" s="211"/>
      <c r="X1125" s="123"/>
    </row>
    <row r="1126" spans="1:24" ht="12.75">
      <c r="A1126" s="211"/>
      <c r="X1126" s="123"/>
    </row>
    <row r="1127" spans="1:24" ht="12.75">
      <c r="A1127" s="211"/>
      <c r="X1127" s="123"/>
    </row>
    <row r="1128" spans="1:24" ht="12.75">
      <c r="A1128" s="211"/>
      <c r="X1128" s="123"/>
    </row>
    <row r="1129" spans="1:24" ht="12.75">
      <c r="A1129" s="211"/>
      <c r="X1129" s="123"/>
    </row>
    <row r="1130" spans="1:24" ht="12.75">
      <c r="A1130" s="211"/>
      <c r="X1130" s="123"/>
    </row>
    <row r="1131" spans="1:24" ht="12.75">
      <c r="A1131" s="211"/>
      <c r="X1131" s="123"/>
    </row>
    <row r="1132" spans="1:24" ht="12.75">
      <c r="A1132" s="211"/>
      <c r="X1132" s="123"/>
    </row>
    <row r="1133" spans="1:24" ht="12.75">
      <c r="A1133" s="211"/>
      <c r="X1133" s="123"/>
    </row>
    <row r="1134" spans="1:24" ht="12.75">
      <c r="A1134" s="211"/>
      <c r="X1134" s="123"/>
    </row>
    <row r="1135" spans="1:24" ht="12.75">
      <c r="A1135" s="211"/>
      <c r="X1135" s="123"/>
    </row>
    <row r="1136" spans="1:24" ht="12.75">
      <c r="A1136" s="211"/>
      <c r="X1136" s="123"/>
    </row>
    <row r="1137" spans="1:24" ht="12.75">
      <c r="A1137" s="211"/>
      <c r="X1137" s="123"/>
    </row>
    <row r="1138" spans="1:24" ht="12.75">
      <c r="A1138" s="211"/>
      <c r="X1138" s="123"/>
    </row>
    <row r="1139" spans="1:24" ht="12.75">
      <c r="A1139" s="211"/>
      <c r="X1139" s="123"/>
    </row>
    <row r="1140" spans="1:24" ht="12.75">
      <c r="A1140" s="211"/>
      <c r="X1140" s="123"/>
    </row>
    <row r="1141" spans="1:24" ht="12.75">
      <c r="A1141" s="211"/>
      <c r="X1141" s="123"/>
    </row>
    <row r="1142" spans="1:24" ht="12.75">
      <c r="A1142" s="211"/>
      <c r="X1142" s="123"/>
    </row>
    <row r="1143" spans="1:24" ht="12.75">
      <c r="A1143" s="211"/>
      <c r="X1143" s="123"/>
    </row>
    <row r="1144" spans="1:24" ht="12.75">
      <c r="A1144" s="211"/>
      <c r="X1144" s="123"/>
    </row>
    <row r="1145" spans="1:24" ht="12.75">
      <c r="A1145" s="211"/>
      <c r="X1145" s="123"/>
    </row>
    <row r="1146" spans="1:24" ht="12.75">
      <c r="A1146" s="211"/>
      <c r="X1146" s="123"/>
    </row>
    <row r="1147" spans="1:24" ht="12.75">
      <c r="A1147" s="211"/>
      <c r="X1147" s="123"/>
    </row>
    <row r="1148" spans="1:24" ht="12.75">
      <c r="A1148" s="211"/>
      <c r="X1148" s="123"/>
    </row>
    <row r="1149" spans="1:24" ht="12.75">
      <c r="A1149" s="211"/>
      <c r="X1149" s="123"/>
    </row>
    <row r="1150" spans="1:24" ht="12.75">
      <c r="A1150" s="211"/>
      <c r="X1150" s="123"/>
    </row>
    <row r="1151" spans="1:24" ht="12.75">
      <c r="A1151" s="211"/>
      <c r="X1151" s="123"/>
    </row>
    <row r="1152" spans="1:24" ht="12.75">
      <c r="A1152" s="211"/>
      <c r="X1152" s="123"/>
    </row>
    <row r="1153" spans="1:24" ht="12.75">
      <c r="A1153" s="211"/>
      <c r="X1153" s="123"/>
    </row>
    <row r="1154" spans="1:24" ht="12.75">
      <c r="A1154" s="211"/>
      <c r="X1154" s="123"/>
    </row>
    <row r="1155" spans="1:24" ht="12.75">
      <c r="A1155" s="211"/>
      <c r="X1155" s="123"/>
    </row>
    <row r="1156" spans="1:24" ht="12.75">
      <c r="A1156" s="211"/>
      <c r="X1156" s="123"/>
    </row>
    <row r="1157" spans="1:24" ht="12.75">
      <c r="A1157" s="211"/>
      <c r="X1157" s="123"/>
    </row>
    <row r="1158" spans="1:24" ht="12.75">
      <c r="A1158" s="211"/>
      <c r="X1158" s="123"/>
    </row>
    <row r="1159" spans="1:24" ht="12.75">
      <c r="A1159" s="211"/>
      <c r="X1159" s="123"/>
    </row>
    <row r="1160" spans="1:24" ht="12.75">
      <c r="A1160" s="211"/>
      <c r="X1160" s="123"/>
    </row>
    <row r="1161" spans="1:24" ht="12.75">
      <c r="A1161" s="211"/>
      <c r="X1161" s="123"/>
    </row>
    <row r="1162" spans="1:24" ht="12.75">
      <c r="A1162" s="211"/>
      <c r="X1162" s="123"/>
    </row>
    <row r="1163" spans="1:24" ht="12.75">
      <c r="A1163" s="211"/>
      <c r="X1163" s="123"/>
    </row>
    <row r="1164" spans="1:24" ht="12.75">
      <c r="A1164" s="211"/>
      <c r="X1164" s="123"/>
    </row>
    <row r="1165" spans="1:24" ht="12.75">
      <c r="A1165" s="211"/>
      <c r="X1165" s="123"/>
    </row>
    <row r="1166" spans="1:24" ht="12.75">
      <c r="A1166" s="211"/>
      <c r="X1166" s="123"/>
    </row>
    <row r="1167" spans="1:24" ht="12.75">
      <c r="A1167" s="211"/>
      <c r="X1167" s="123"/>
    </row>
    <row r="1168" spans="1:24" ht="12.75">
      <c r="A1168" s="211"/>
      <c r="X1168" s="123"/>
    </row>
    <row r="1169" spans="1:24" ht="12.75">
      <c r="A1169" s="211"/>
      <c r="X1169" s="123"/>
    </row>
    <row r="1170" spans="1:24" ht="12.75">
      <c r="A1170" s="211"/>
      <c r="X1170" s="123"/>
    </row>
    <row r="1171" spans="1:24" ht="12.75">
      <c r="A1171" s="211"/>
      <c r="X1171" s="123"/>
    </row>
    <row r="1172" spans="1:24" ht="12.75">
      <c r="A1172" s="211"/>
      <c r="X1172" s="123"/>
    </row>
    <row r="1173" spans="1:24" ht="12.75">
      <c r="A1173" s="211"/>
      <c r="X1173" s="123"/>
    </row>
    <row r="1174" spans="1:24" ht="12.75">
      <c r="A1174" s="211"/>
      <c r="X1174" s="123"/>
    </row>
    <row r="1175" spans="1:24" ht="12.75">
      <c r="A1175" s="211"/>
      <c r="X1175" s="123"/>
    </row>
    <row r="1176" spans="1:24" ht="12.75">
      <c r="A1176" s="211"/>
      <c r="X1176" s="123"/>
    </row>
    <row r="1177" spans="1:24" ht="12.75">
      <c r="A1177" s="211"/>
      <c r="X1177" s="123"/>
    </row>
    <row r="1178" spans="1:24" ht="12.75">
      <c r="A1178" s="211"/>
      <c r="X1178" s="123"/>
    </row>
    <row r="1179" spans="1:24" ht="12.75">
      <c r="A1179" s="211"/>
      <c r="X1179" s="123"/>
    </row>
    <row r="1180" spans="1:24" ht="12.75">
      <c r="A1180" s="211"/>
      <c r="X1180" s="123"/>
    </row>
    <row r="1181" spans="1:24" ht="12.75">
      <c r="A1181" s="211"/>
      <c r="X1181" s="123"/>
    </row>
    <row r="1182" spans="1:24" ht="12.75">
      <c r="A1182" s="211"/>
      <c r="X1182" s="123"/>
    </row>
    <row r="1183" spans="1:24" ht="12.75">
      <c r="A1183" s="211"/>
      <c r="X1183" s="123"/>
    </row>
    <row r="1184" spans="1:24" ht="12.75">
      <c r="A1184" s="211"/>
      <c r="X1184" s="123"/>
    </row>
    <row r="1185" spans="1:24" ht="12.75">
      <c r="A1185" s="211"/>
      <c r="X1185" s="123"/>
    </row>
    <row r="1186" spans="1:24" ht="12.75">
      <c r="A1186" s="211"/>
      <c r="X1186" s="123"/>
    </row>
    <row r="1187" spans="1:24" ht="12.75">
      <c r="A1187" s="211"/>
      <c r="X1187" s="123"/>
    </row>
    <row r="1188" spans="1:24" ht="12.75">
      <c r="A1188" s="211"/>
      <c r="X1188" s="123"/>
    </row>
    <row r="1189" spans="1:24" ht="12.75">
      <c r="A1189" s="211"/>
      <c r="X1189" s="123"/>
    </row>
    <row r="1190" spans="1:24" ht="12.75">
      <c r="A1190" s="211"/>
      <c r="X1190" s="123"/>
    </row>
    <row r="1191" spans="1:24" ht="12.75">
      <c r="A1191" s="211"/>
      <c r="X1191" s="123"/>
    </row>
    <row r="1192" spans="1:24" ht="12.75">
      <c r="A1192" s="211"/>
      <c r="X1192" s="123"/>
    </row>
    <row r="1193" spans="1:24" ht="12.75">
      <c r="A1193" s="211"/>
      <c r="X1193" s="123"/>
    </row>
    <row r="1194" spans="1:24" ht="12.75">
      <c r="A1194" s="211"/>
      <c r="X1194" s="123"/>
    </row>
    <row r="1195" spans="1:24" ht="12.75">
      <c r="A1195" s="211"/>
      <c r="X1195" s="123"/>
    </row>
    <row r="1196" spans="1:24" ht="12.75">
      <c r="A1196" s="211"/>
      <c r="X1196" s="123"/>
    </row>
    <row r="1197" spans="1:24" ht="12.75">
      <c r="A1197" s="211"/>
      <c r="X1197" s="123"/>
    </row>
    <row r="1198" spans="1:24" ht="12.75">
      <c r="A1198" s="211"/>
      <c r="X1198" s="123"/>
    </row>
    <row r="1199" spans="1:24" ht="12.75">
      <c r="A1199" s="211"/>
      <c r="X1199" s="123"/>
    </row>
    <row r="1200" spans="1:24" ht="12.75">
      <c r="A1200" s="211"/>
      <c r="X1200" s="123"/>
    </row>
    <row r="1201" spans="1:24" ht="12.75">
      <c r="A1201" s="211"/>
      <c r="X1201" s="123"/>
    </row>
    <row r="1202" spans="1:24" ht="12.75">
      <c r="A1202" s="211"/>
      <c r="X1202" s="123"/>
    </row>
    <row r="1203" spans="1:24" ht="12.75">
      <c r="A1203" s="211"/>
      <c r="X1203" s="123"/>
    </row>
    <row r="1204" spans="1:24" ht="12.75">
      <c r="A1204" s="211"/>
      <c r="X1204" s="123"/>
    </row>
    <row r="1205" spans="1:24" ht="12.75">
      <c r="A1205" s="211"/>
      <c r="X1205" s="123"/>
    </row>
    <row r="1206" spans="1:24" ht="12.75">
      <c r="A1206" s="211"/>
      <c r="X1206" s="123"/>
    </row>
    <row r="1207" spans="1:24" ht="12.75">
      <c r="A1207" s="211"/>
      <c r="X1207" s="123"/>
    </row>
    <row r="1208" spans="1:24" ht="12.75">
      <c r="A1208" s="211"/>
      <c r="X1208" s="123"/>
    </row>
    <row r="1209" spans="1:24" ht="12.75">
      <c r="A1209" s="211"/>
      <c r="X1209" s="123"/>
    </row>
    <row r="1210" spans="1:24" ht="12.75">
      <c r="A1210" s="211"/>
      <c r="X1210" s="123"/>
    </row>
    <row r="1211" spans="1:24" ht="12.75">
      <c r="A1211" s="211"/>
      <c r="X1211" s="123"/>
    </row>
    <row r="1212" spans="1:24" ht="12.75">
      <c r="A1212" s="211"/>
      <c r="X1212" s="123"/>
    </row>
    <row r="1213" spans="1:24" ht="12.75">
      <c r="A1213" s="211"/>
      <c r="X1213" s="123"/>
    </row>
    <row r="1214" spans="1:24" ht="12.75">
      <c r="A1214" s="211"/>
      <c r="X1214" s="123"/>
    </row>
    <row r="1215" spans="1:24" ht="12.75">
      <c r="A1215" s="211"/>
      <c r="X1215" s="123"/>
    </row>
    <row r="1216" spans="1:24" ht="12.75">
      <c r="A1216" s="211"/>
      <c r="X1216" s="123"/>
    </row>
    <row r="1217" spans="1:24" ht="12.75">
      <c r="A1217" s="211"/>
      <c r="X1217" s="123"/>
    </row>
    <row r="1218" spans="1:24" ht="12.75">
      <c r="A1218" s="211"/>
      <c r="X1218" s="123"/>
    </row>
    <row r="1219" spans="1:24" ht="12.75">
      <c r="A1219" s="211"/>
      <c r="X1219" s="123"/>
    </row>
    <row r="1220" spans="1:24" ht="12.75">
      <c r="A1220" s="211"/>
      <c r="X1220" s="123"/>
    </row>
    <row r="1221" spans="1:24" ht="12.75">
      <c r="A1221" s="211"/>
      <c r="X1221" s="123"/>
    </row>
    <row r="1222" spans="1:24" ht="12.75">
      <c r="A1222" s="211"/>
      <c r="X1222" s="123"/>
    </row>
    <row r="1223" spans="1:24" ht="12.75">
      <c r="A1223" s="211"/>
      <c r="X1223" s="123"/>
    </row>
    <row r="1224" spans="1:24" ht="12.75">
      <c r="A1224" s="211"/>
      <c r="X1224" s="123"/>
    </row>
    <row r="1225" spans="1:24" ht="12.75">
      <c r="A1225" s="211"/>
      <c r="X1225" s="123"/>
    </row>
    <row r="1226" spans="1:24" ht="12.75">
      <c r="A1226" s="211"/>
      <c r="X1226" s="123"/>
    </row>
    <row r="1227" spans="1:24" ht="12.75">
      <c r="A1227" s="211"/>
      <c r="X1227" s="123"/>
    </row>
    <row r="1228" spans="1:24" ht="12.75">
      <c r="A1228" s="211"/>
      <c r="X1228" s="123"/>
    </row>
    <row r="1229" spans="1:24" ht="12.75">
      <c r="A1229" s="211"/>
      <c r="X1229" s="123"/>
    </row>
    <row r="1230" spans="1:24" ht="12.75">
      <c r="A1230" s="211"/>
      <c r="X1230" s="123"/>
    </row>
    <row r="1231" spans="1:24" ht="12.75">
      <c r="A1231" s="211"/>
      <c r="X1231" s="123"/>
    </row>
    <row r="1232" spans="1:24" ht="12.75">
      <c r="A1232" s="211"/>
      <c r="X1232" s="123"/>
    </row>
    <row r="1233" spans="1:24" ht="12.75">
      <c r="A1233" s="211"/>
      <c r="X1233" s="123"/>
    </row>
    <row r="1234" spans="1:24" ht="12.75">
      <c r="A1234" s="211"/>
      <c r="X1234" s="123"/>
    </row>
    <row r="1235" spans="1:24" ht="12.75">
      <c r="A1235" s="211"/>
      <c r="X1235" s="123"/>
    </row>
    <row r="1236" spans="1:24" ht="12.75">
      <c r="A1236" s="211"/>
      <c r="X1236" s="123"/>
    </row>
    <row r="1237" spans="1:24" ht="12.75">
      <c r="A1237" s="211"/>
      <c r="X1237" s="123"/>
    </row>
    <row r="1238" spans="1:24" ht="12.75">
      <c r="A1238" s="211"/>
      <c r="X1238" s="123"/>
    </row>
    <row r="1239" spans="1:24" ht="12.75">
      <c r="A1239" s="211"/>
      <c r="X1239" s="123"/>
    </row>
    <row r="1240" spans="1:24" ht="12.75">
      <c r="A1240" s="211"/>
      <c r="X1240" s="123"/>
    </row>
    <row r="1241" spans="1:24" ht="12.75">
      <c r="A1241" s="211"/>
      <c r="X1241" s="123"/>
    </row>
    <row r="1242" spans="1:24" ht="12.75">
      <c r="A1242" s="211"/>
      <c r="X1242" s="123"/>
    </row>
    <row r="1243" spans="1:24" ht="12.75">
      <c r="A1243" s="211"/>
      <c r="X1243" s="123"/>
    </row>
    <row r="1244" spans="1:24" ht="12.75">
      <c r="A1244" s="211"/>
      <c r="X1244" s="123"/>
    </row>
    <row r="1245" spans="1:24" ht="12.75">
      <c r="A1245" s="211"/>
      <c r="X1245" s="123"/>
    </row>
    <row r="1246" spans="1:24" ht="12.75">
      <c r="A1246" s="211"/>
      <c r="X1246" s="123"/>
    </row>
    <row r="1247" spans="1:24" ht="12.75">
      <c r="A1247" s="211"/>
      <c r="X1247" s="123"/>
    </row>
    <row r="1248" spans="1:24" ht="12.75">
      <c r="A1248" s="211"/>
      <c r="X1248" s="123"/>
    </row>
    <row r="1249" spans="1:24" ht="12.75">
      <c r="A1249" s="211"/>
      <c r="X1249" s="123"/>
    </row>
    <row r="1250" spans="1:24" ht="12.75">
      <c r="A1250" s="211"/>
      <c r="X1250" s="123"/>
    </row>
    <row r="1251" spans="1:24" ht="12.75">
      <c r="A1251" s="211"/>
      <c r="X1251" s="123"/>
    </row>
    <row r="1252" spans="1:24" ht="12.75">
      <c r="A1252" s="211"/>
      <c r="X1252" s="123"/>
    </row>
    <row r="1253" spans="1:24" ht="12.75">
      <c r="A1253" s="211"/>
      <c r="X1253" s="123"/>
    </row>
    <row r="1254" spans="1:24" ht="12.75">
      <c r="A1254" s="211"/>
      <c r="X1254" s="123"/>
    </row>
    <row r="1255" spans="1:24" ht="12.75">
      <c r="A1255" s="211"/>
      <c r="X1255" s="123"/>
    </row>
    <row r="1256" spans="1:24" ht="12.75">
      <c r="A1256" s="211"/>
      <c r="X1256" s="123"/>
    </row>
    <row r="1257" spans="1:24" ht="12.75">
      <c r="A1257" s="211"/>
      <c r="X1257" s="123"/>
    </row>
    <row r="1258" spans="1:24" ht="12.75">
      <c r="A1258" s="211"/>
      <c r="X1258" s="123"/>
    </row>
    <row r="1259" spans="1:24" ht="12.75">
      <c r="A1259" s="211"/>
      <c r="X1259" s="123"/>
    </row>
    <row r="1260" spans="1:24" ht="12.75">
      <c r="X1260" s="123"/>
    </row>
    <row r="1261" spans="1:24" ht="13.5" thickBot="1">
      <c r="X1261" s="123"/>
    </row>
  </sheetData>
  <autoFilter ref="A7:AJ20" xr:uid="{00000000-0009-0000-0000-000001000000}"/>
  <phoneticPr fontId="1" type="noConversion"/>
  <conditionalFormatting sqref="F4:F20 G5 F42:F353 AD183:AD184 F355:F537 F543:F1078 F1089:F65536">
    <cfRule type="cellIs" dxfId="3" priority="1" stopIfTrue="1" operator="equal">
      <formula>1</formula>
    </cfRule>
    <cfRule type="cellIs" dxfId="2" priority="2" stopIfTrue="1" operator="between">
      <formula>0.5</formula>
      <formula>0.999</formula>
    </cfRule>
  </conditionalFormatting>
  <printOptions horizontalCentered="1"/>
  <pageMargins left="0.31496062992125984" right="0.31496062992125984" top="0.47244094488188981" bottom="0.47244094488188981" header="0.19685039370078741" footer="0.19685039370078741"/>
  <pageSetup scale="85" orientation="landscape" r:id="rId1"/>
  <headerFooter alignWithMargins="0">
    <oddHeader>&amp;C&amp;16Commandes actives - Autres clients</oddHeader>
    <oddFooter>&amp;L&amp;8&amp;F&amp;C&amp;D&amp;R&amp;P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2:C35"/>
  <sheetViews>
    <sheetView showGridLines="0" workbookViewId="0">
      <selection activeCell="C25" sqref="C25"/>
    </sheetView>
  </sheetViews>
  <sheetFormatPr baseColWidth="10" defaultColWidth="11.42578125" defaultRowHeight="12.75"/>
  <cols>
    <col min="2" max="2" width="72.140625" bestFit="1" customWidth="1"/>
    <col min="3" max="3" width="79.140625" bestFit="1" customWidth="1"/>
  </cols>
  <sheetData>
    <row r="2" spans="2:3">
      <c r="B2" s="329" t="str">
        <f>VLOOKUP("CAUTION: For the system to work the table must be sorted on the column in French",tableauTraductions,LangueColonne)</f>
        <v>Carrier:</v>
      </c>
      <c r="C2" s="329"/>
    </row>
    <row r="4" spans="2:3">
      <c r="B4" s="330" t="s">
        <v>154</v>
      </c>
      <c r="C4" s="330" t="s">
        <v>155</v>
      </c>
    </row>
    <row r="5" spans="2:3">
      <c r="B5" s="330" t="s">
        <v>156</v>
      </c>
      <c r="C5" s="330" t="s">
        <v>157</v>
      </c>
    </row>
    <row r="6" spans="2:3" ht="18" customHeight="1">
      <c r="B6" s="378" t="s">
        <v>194</v>
      </c>
      <c r="C6" s="378" t="s">
        <v>195</v>
      </c>
    </row>
    <row r="7" spans="2:3" ht="18" customHeight="1">
      <c r="B7" s="378" t="s">
        <v>189</v>
      </c>
      <c r="C7" s="378" t="s">
        <v>190</v>
      </c>
    </row>
    <row r="8" spans="2:3" ht="18" customHeight="1">
      <c r="B8" s="378" t="s">
        <v>224</v>
      </c>
      <c r="C8" s="378" t="s">
        <v>99</v>
      </c>
    </row>
    <row r="9" spans="2:3" ht="18" customHeight="1">
      <c r="B9" s="378" t="s">
        <v>192</v>
      </c>
      <c r="C9" s="378" t="s">
        <v>193</v>
      </c>
    </row>
    <row r="10" spans="2:3" ht="18" customHeight="1">
      <c r="B10" s="378" t="s">
        <v>191</v>
      </c>
      <c r="C10" s="378" t="s">
        <v>191</v>
      </c>
    </row>
    <row r="11" spans="2:3" ht="18" customHeight="1">
      <c r="B11" s="378" t="s">
        <v>196</v>
      </c>
      <c r="C11" s="378" t="s">
        <v>197</v>
      </c>
    </row>
    <row r="12" spans="2:3" ht="18" customHeight="1">
      <c r="B12" s="378" t="s">
        <v>187</v>
      </c>
      <c r="C12" s="378" t="s">
        <v>188</v>
      </c>
    </row>
    <row r="13" spans="2:3" ht="18" customHeight="1">
      <c r="B13" s="378" t="s">
        <v>207</v>
      </c>
      <c r="C13" s="378" t="s">
        <v>100</v>
      </c>
    </row>
    <row r="14" spans="2:3" ht="18" customHeight="1">
      <c r="B14" s="378" t="s">
        <v>221</v>
      </c>
      <c r="C14" s="378" t="s">
        <v>222</v>
      </c>
    </row>
    <row r="15" spans="2:3" ht="18" customHeight="1">
      <c r="B15" s="378" t="s">
        <v>210</v>
      </c>
      <c r="C15" s="378" t="s">
        <v>223</v>
      </c>
    </row>
    <row r="16" spans="2:3" ht="18" customHeight="1">
      <c r="B16" s="378" t="s">
        <v>60</v>
      </c>
      <c r="C16" s="378" t="s">
        <v>219</v>
      </c>
    </row>
    <row r="17" spans="2:3" ht="18" customHeight="1">
      <c r="B17" s="378" t="s">
        <v>201</v>
      </c>
      <c r="C17" s="378" t="s">
        <v>202</v>
      </c>
    </row>
    <row r="18" spans="2:3" ht="18" customHeight="1">
      <c r="B18" s="378" t="s">
        <v>206</v>
      </c>
      <c r="C18" s="378" t="s">
        <v>127</v>
      </c>
    </row>
    <row r="19" spans="2:3" ht="18" customHeight="1">
      <c r="B19" s="378" t="s">
        <v>208</v>
      </c>
      <c r="C19" s="378" t="s">
        <v>209</v>
      </c>
    </row>
    <row r="20" spans="2:3" ht="18" customHeight="1">
      <c r="B20" s="378" t="s">
        <v>205</v>
      </c>
      <c r="C20" s="378" t="s">
        <v>122</v>
      </c>
    </row>
    <row r="21" spans="2:3" ht="18" customHeight="1">
      <c r="B21" s="378" t="s">
        <v>198</v>
      </c>
      <c r="C21" s="378" t="s">
        <v>199</v>
      </c>
    </row>
    <row r="22" spans="2:3" ht="18" customHeight="1">
      <c r="B22" s="378" t="s">
        <v>42</v>
      </c>
      <c r="C22" s="378" t="s">
        <v>220</v>
      </c>
    </row>
    <row r="23" spans="2:3" ht="18" customHeight="1">
      <c r="B23" s="378" t="s">
        <v>200</v>
      </c>
      <c r="C23" s="378" t="s">
        <v>200</v>
      </c>
    </row>
    <row r="24" spans="2:3" ht="18" customHeight="1">
      <c r="B24" s="378" t="s">
        <v>225</v>
      </c>
      <c r="C24" s="378" t="s">
        <v>225</v>
      </c>
    </row>
    <row r="25" spans="2:3" ht="18" customHeight="1">
      <c r="B25" s="378" t="s">
        <v>213</v>
      </c>
      <c r="C25" s="378" t="s">
        <v>214</v>
      </c>
    </row>
    <row r="26" spans="2:3" ht="18" customHeight="1">
      <c r="B26" s="378" t="s">
        <v>217</v>
      </c>
      <c r="C26" s="378" t="s">
        <v>218</v>
      </c>
    </row>
    <row r="27" spans="2:3" ht="18" customHeight="1">
      <c r="B27" s="378" t="s">
        <v>215</v>
      </c>
      <c r="C27" s="378" t="s">
        <v>216</v>
      </c>
    </row>
    <row r="28" spans="2:3" ht="18" customHeight="1">
      <c r="B28" s="378" t="s">
        <v>203</v>
      </c>
      <c r="C28" s="378" t="s">
        <v>204</v>
      </c>
    </row>
    <row r="29" spans="2:3" ht="18" customHeight="1">
      <c r="B29" s="378" t="s">
        <v>211</v>
      </c>
      <c r="C29" s="378" t="s">
        <v>212</v>
      </c>
    </row>
    <row r="30" spans="2:3" ht="23.25" customHeight="1"/>
    <row r="35" ht="23.25" customHeight="1"/>
  </sheetData>
  <phoneticPr fontId="2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pageSetUpPr fitToPage="1"/>
  </sheetPr>
  <dimension ref="A1:AE240"/>
  <sheetViews>
    <sheetView showZeros="0" tabSelected="1" zoomScale="75" zoomScaleNormal="75" zoomScaleSheetLayoutView="75" workbookViewId="0"/>
  </sheetViews>
  <sheetFormatPr baseColWidth="10" defaultColWidth="8.5703125" defaultRowHeight="15" customHeight="1" outlineLevelCol="1"/>
  <cols>
    <col min="1" max="1" width="11.42578125" style="6" customWidth="1"/>
    <col min="2" max="2" width="15" style="6" customWidth="1"/>
    <col min="3" max="3" width="12.85546875" style="6" hidden="1" customWidth="1" outlineLevel="1"/>
    <col min="4" max="4" width="23.7109375" style="6" customWidth="1" collapsed="1"/>
    <col min="5" max="5" width="21.140625" style="6" customWidth="1"/>
    <col min="6" max="6" width="5.42578125" style="6" bestFit="1" customWidth="1"/>
    <col min="7" max="7" width="13.28515625" style="6" customWidth="1"/>
    <col min="8" max="8" width="13.42578125" style="6" bestFit="1" customWidth="1"/>
    <col min="9" max="11" width="9.7109375" style="6" customWidth="1"/>
    <col min="12" max="13" width="11.140625" style="6" customWidth="1"/>
    <col min="14" max="14" width="10.7109375" style="6" bestFit="1" customWidth="1"/>
    <col min="15" max="15" width="12.5703125" style="6" bestFit="1" customWidth="1"/>
    <col min="16" max="16" width="9.85546875" style="6" hidden="1" customWidth="1"/>
    <col min="17" max="17" width="14.85546875" style="6" bestFit="1" customWidth="1"/>
    <col min="18" max="18" width="15.140625" style="6" customWidth="1"/>
    <col min="19" max="19" width="8" style="6" bestFit="1" customWidth="1"/>
    <col min="20" max="20" width="12.85546875" style="6" bestFit="1" customWidth="1"/>
    <col min="21" max="21" width="9" style="6" customWidth="1"/>
    <col min="22" max="22" width="10" style="6" customWidth="1"/>
    <col min="23" max="23" width="10.85546875" style="6" customWidth="1"/>
    <col min="24" max="16384" width="8.5703125" style="6"/>
  </cols>
  <sheetData>
    <row r="1" spans="2:24" ht="29.1" customHeight="1">
      <c r="B1" s="23"/>
      <c r="C1" s="417"/>
      <c r="D1" s="24"/>
      <c r="E1" s="24"/>
      <c r="F1" s="24"/>
      <c r="G1" s="24"/>
      <c r="H1" s="24"/>
      <c r="I1" s="24"/>
      <c r="J1" s="24"/>
      <c r="K1" s="25"/>
      <c r="L1" s="24"/>
      <c r="M1" s="24"/>
      <c r="N1" s="24"/>
      <c r="O1" s="25"/>
      <c r="P1" s="24"/>
      <c r="Q1" s="21"/>
    </row>
    <row r="2" spans="2:24" ht="21" customHeight="1">
      <c r="B2" s="26"/>
      <c r="C2" s="418"/>
      <c r="E2" s="424" t="str">
        <f>LOADName</f>
        <v>GRANITE DRC RAP</v>
      </c>
      <c r="H2" s="409"/>
      <c r="I2" s="409"/>
      <c r="J2" s="409"/>
      <c r="K2" s="409"/>
      <c r="M2" s="411"/>
      <c r="N2" s="460" t="str">
        <f>CONCATENATE("#",NumeroBL)</f>
        <v>#BL25-0002</v>
      </c>
      <c r="O2" s="461"/>
      <c r="P2" s="461"/>
      <c r="Q2" s="462"/>
      <c r="S2" s="95"/>
      <c r="T2" s="96"/>
      <c r="U2" s="95"/>
    </row>
    <row r="3" spans="2:24" ht="21" customHeight="1">
      <c r="B3" s="26"/>
      <c r="C3" s="418"/>
      <c r="E3" s="424" t="str">
        <f>CONCATENATE(LOADAdresse1)</f>
        <v>475 Avenue Delisle</v>
      </c>
      <c r="H3" s="459" t="str">
        <f>VLOOKUP("Delivery bill",tableauTraductions,LangueColonne)</f>
        <v>Delivery bill</v>
      </c>
      <c r="I3" s="459"/>
      <c r="J3" s="459"/>
      <c r="K3" s="410"/>
      <c r="L3" s="410"/>
      <c r="M3" s="411"/>
      <c r="N3" s="463"/>
      <c r="O3" s="464"/>
      <c r="P3" s="464"/>
      <c r="Q3" s="465"/>
      <c r="T3" s="91"/>
      <c r="U3" s="95"/>
    </row>
    <row r="4" spans="2:24" ht="21" customHeight="1">
      <c r="B4" s="26"/>
      <c r="C4" s="418"/>
      <c r="E4" s="424" t="str">
        <f>CONCATENATE(LOADVille,", ",LOADRegion,", ",LOADCode)</f>
        <v>Rivière-à-Pierre, CA-QC, G0A3A0</v>
      </c>
      <c r="K4" s="18"/>
      <c r="N4" s="466"/>
      <c r="O4" s="467"/>
      <c r="P4" s="467"/>
      <c r="Q4" s="468"/>
      <c r="T4" s="56"/>
      <c r="U4" s="95"/>
    </row>
    <row r="5" spans="2:24" ht="18.95" customHeight="1">
      <c r="B5" s="26"/>
      <c r="C5" s="418"/>
      <c r="E5" s="429" t="s">
        <v>227</v>
      </c>
      <c r="K5" s="18"/>
      <c r="O5" s="18"/>
      <c r="Q5" s="22"/>
      <c r="S5" s="95"/>
      <c r="T5" s="95"/>
      <c r="U5" s="95"/>
    </row>
    <row r="6" spans="2:24" ht="11.1" customHeight="1">
      <c r="B6" s="26"/>
      <c r="C6" s="418"/>
      <c r="E6" s="428"/>
      <c r="K6" s="18"/>
      <c r="O6" s="18"/>
      <c r="Q6" s="22"/>
      <c r="S6" s="95"/>
      <c r="T6" s="95"/>
      <c r="U6" s="95"/>
    </row>
    <row r="7" spans="2:24" ht="63.75" customHeight="1">
      <c r="B7" s="27"/>
      <c r="C7" s="419"/>
      <c r="D7" s="28"/>
      <c r="E7" s="28"/>
      <c r="F7" s="28"/>
      <c r="G7" s="29"/>
      <c r="H7" s="29"/>
      <c r="I7" s="29"/>
      <c r="J7" s="28"/>
      <c r="K7" s="30"/>
      <c r="L7" s="28"/>
      <c r="M7" s="28"/>
      <c r="N7" s="28"/>
      <c r="O7" s="30"/>
      <c r="P7" s="28"/>
      <c r="Q7" s="31"/>
      <c r="U7" s="314"/>
    </row>
    <row r="8" spans="2:24" s="395" customFormat="1" ht="31.5" customHeight="1">
      <c r="B8" s="386"/>
      <c r="C8" s="387" t="str">
        <f>VLOOKUP("Carrier:",tableauTraductions,LangueColonne)</f>
        <v>Carrier:</v>
      </c>
      <c r="D8" s="388" t="str">
        <f>Transporteur</f>
        <v>Transport Granite DRC</v>
      </c>
      <c r="E8" s="388"/>
      <c r="F8" s="388"/>
      <c r="G8" s="388"/>
      <c r="H8" s="388"/>
      <c r="I8" s="389"/>
      <c r="J8" s="390"/>
      <c r="K8" s="390"/>
      <c r="L8" s="391" t="str">
        <f>VLOOKUP("Received by:",tableauTraductions,LangueColonne)</f>
        <v>Received by:</v>
      </c>
      <c r="M8" s="392"/>
      <c r="N8" s="392"/>
      <c r="O8" s="393"/>
      <c r="P8" s="393"/>
      <c r="Q8" s="394"/>
      <c r="V8" s="396"/>
      <c r="W8" s="396"/>
      <c r="X8" s="396"/>
    </row>
    <row r="9" spans="2:24" s="395" customFormat="1" ht="31.5" customHeight="1">
      <c r="B9" s="397"/>
      <c r="C9" s="398" t="str">
        <f>VLOOKUP("Date:",tableauTraductions,LangueColonne)</f>
        <v>Date:</v>
      </c>
      <c r="D9" s="433">
        <f>dateEmission</f>
        <v>44555</v>
      </c>
      <c r="E9" s="416"/>
      <c r="F9" s="416"/>
      <c r="G9" s="416"/>
      <c r="H9" s="416"/>
      <c r="I9" s="399"/>
      <c r="L9" s="400" t="str">
        <f>VLOOKUP("Signature:",tableauTraductions,LangueColonne)</f>
        <v>Signature:</v>
      </c>
      <c r="M9" s="401"/>
      <c r="N9" s="401"/>
      <c r="O9" s="402"/>
      <c r="P9" s="402"/>
      <c r="Q9" s="403"/>
      <c r="T9" s="404"/>
      <c r="U9" s="405"/>
      <c r="V9" s="396"/>
      <c r="W9" s="396"/>
      <c r="X9" s="396"/>
    </row>
    <row r="10" spans="2:24" ht="24.75" customHeight="1">
      <c r="B10" s="23"/>
      <c r="C10" s="379" t="str">
        <f>VLOOKUP("Customer:",tableauTraductions,LangueColonne)</f>
        <v>Customer:</v>
      </c>
      <c r="D10" s="382" t="str">
        <f>nomClient</f>
        <v>Construction Exemplaire Inc.</v>
      </c>
      <c r="E10" s="382"/>
      <c r="F10" s="54"/>
      <c r="G10" s="54"/>
      <c r="H10" s="54"/>
      <c r="I10" s="54"/>
      <c r="J10" s="54"/>
      <c r="K10" s="25"/>
      <c r="L10" s="55" t="str">
        <f>CONCATENATE("Contact :   ",contactPrenom," ",contactNom)</f>
        <v>Contact :    Pierre Excemplaire</v>
      </c>
      <c r="M10" s="54"/>
      <c r="N10" s="54"/>
      <c r="O10" s="72"/>
      <c r="P10" s="54"/>
      <c r="Q10" s="59"/>
      <c r="U10" s="60"/>
    </row>
    <row r="11" spans="2:24" ht="24.75" customHeight="1">
      <c r="B11" s="26"/>
      <c r="C11" s="380" t="str">
        <f>VLOOKUP("Address:",tableauTraductions,LangueColonne)</f>
        <v>Address:</v>
      </c>
      <c r="D11" s="95" t="str">
        <f>IF(clientAdresse1="","",clientAdresse1)</f>
        <v>123 Rue Principale
Montréal, QC H1A 1A1
Canada</v>
      </c>
      <c r="E11" s="95"/>
      <c r="F11" s="55"/>
      <c r="G11" s="55"/>
      <c r="H11" s="55"/>
      <c r="I11" s="55"/>
      <c r="J11" s="55"/>
      <c r="L11" s="60" t="str">
        <f>CONCATENATE("Tél. :   ",contactTel)</f>
        <v xml:space="preserve">Tél. :   </v>
      </c>
      <c r="M11" s="55"/>
      <c r="N11" s="55"/>
      <c r="O11" s="73"/>
      <c r="P11" s="55"/>
      <c r="Q11" s="61"/>
      <c r="R11" s="92"/>
      <c r="S11" s="92"/>
      <c r="T11" s="93"/>
      <c r="U11" s="55"/>
    </row>
    <row r="12" spans="2:24" ht="24.75" customHeight="1">
      <c r="B12" s="26"/>
      <c r="C12" s="380"/>
      <c r="D12" s="95" t="str">
        <f>CONCATENATE(clientVille,", ",clientRegion,"   ",clientCP)</f>
        <v xml:space="preserve">123 Rue Principale
Montréal, QC H1A 1A1
Canada, 123 Rue Principale
Montréal, QC H1A 1A1
Canada   </v>
      </c>
      <c r="E12" s="95"/>
      <c r="F12" s="55"/>
      <c r="G12" s="55"/>
      <c r="H12" s="55"/>
      <c r="I12" s="55"/>
      <c r="J12" s="55"/>
      <c r="M12" s="55"/>
      <c r="N12" s="55"/>
      <c r="O12" s="73"/>
      <c r="P12" s="55"/>
      <c r="Q12" s="63"/>
      <c r="R12" s="92"/>
      <c r="S12" s="92"/>
      <c r="T12" s="105"/>
      <c r="U12" s="93"/>
    </row>
    <row r="13" spans="2:24" ht="15.75" customHeight="1">
      <c r="B13" s="26"/>
      <c r="C13" s="418"/>
      <c r="D13" s="380"/>
      <c r="E13" s="95"/>
      <c r="F13" s="55"/>
      <c r="G13" s="55"/>
      <c r="H13" s="55"/>
      <c r="I13" s="55"/>
      <c r="J13" s="55"/>
      <c r="L13" s="60"/>
      <c r="M13" s="55"/>
      <c r="N13" s="55"/>
      <c r="O13" s="73"/>
      <c r="P13" s="55"/>
      <c r="Q13" s="374"/>
      <c r="R13" s="92"/>
      <c r="S13" s="92"/>
      <c r="T13" s="105"/>
      <c r="U13" s="93"/>
    </row>
    <row r="14" spans="2:24" ht="29.1" hidden="1" customHeight="1">
      <c r="B14" s="328"/>
      <c r="C14" s="420"/>
      <c r="D14" s="381" t="str">
        <f>VLOOKUP("Delivery address:",tableauTraductions,LangueColonne)</f>
        <v>Delivery address:</v>
      </c>
      <c r="E14" s="321">
        <f>livraison</f>
        <v>0</v>
      </c>
      <c r="F14" s="321"/>
      <c r="G14" s="321"/>
      <c r="H14" s="321"/>
      <c r="I14" s="321"/>
      <c r="J14" s="321"/>
      <c r="K14" s="321"/>
      <c r="L14" s="321"/>
      <c r="M14" s="321"/>
      <c r="N14" s="321"/>
      <c r="O14" s="321"/>
      <c r="P14" s="321"/>
      <c r="Q14" s="321"/>
      <c r="R14" s="371"/>
      <c r="S14" s="92"/>
      <c r="T14" s="105"/>
      <c r="U14" s="93"/>
    </row>
    <row r="15" spans="2:24" ht="29.1" hidden="1" customHeight="1">
      <c r="B15" s="322"/>
      <c r="C15" s="421"/>
      <c r="D15" s="324"/>
      <c r="E15" s="323" t="str">
        <f>IF(livraisonAdresse1="","",livraisonAdresse1)</f>
        <v/>
      </c>
      <c r="F15" s="323"/>
      <c r="G15" s="323"/>
      <c r="H15" s="323"/>
      <c r="I15" s="323"/>
      <c r="J15" s="323"/>
      <c r="K15" s="323"/>
      <c r="L15" s="323"/>
      <c r="M15" s="323"/>
      <c r="N15" s="323"/>
      <c r="O15" s="323"/>
      <c r="P15" s="323"/>
      <c r="Q15" s="323"/>
      <c r="R15" s="371"/>
      <c r="S15" s="92"/>
      <c r="T15" s="105"/>
      <c r="U15" s="93"/>
    </row>
    <row r="16" spans="2:24" ht="29.1" hidden="1" customHeight="1">
      <c r="B16" s="322"/>
      <c r="C16" s="421"/>
      <c r="D16" s="324"/>
      <c r="E16" s="323" t="str">
        <f>CONCATENATE(livraisonVille,", ",livraisonRegion,"   ",livraisonCP)</f>
        <v xml:space="preserve">,    </v>
      </c>
      <c r="F16" s="323"/>
      <c r="G16" s="323"/>
      <c r="H16" s="323"/>
      <c r="I16" s="323"/>
      <c r="J16" s="323"/>
      <c r="K16" s="323"/>
      <c r="L16" s="323"/>
      <c r="M16" s="323"/>
      <c r="N16" s="323"/>
      <c r="O16" s="323"/>
      <c r="P16" s="323"/>
      <c r="Q16" s="323"/>
      <c r="R16" s="371"/>
      <c r="S16" s="92"/>
      <c r="T16" s="105"/>
      <c r="U16" s="93"/>
    </row>
    <row r="17" spans="1:31" ht="29.1" hidden="1" customHeight="1">
      <c r="B17" s="322"/>
      <c r="C17" s="421"/>
      <c r="D17" s="324" t="s">
        <v>131</v>
      </c>
      <c r="E17" s="323" t="str">
        <f>CONCATENATE(livraisonNom,IF(livraisonCel="","",CONCATENATE("      mobile : ",livraisonCel)),IF(livraisonFax="","",CONCATENATE("      Fax : ",livraisonFax)),IF(livraisonTel="","",CONCATENATE("      Phone : ",livraisonTel)))</f>
        <v/>
      </c>
      <c r="F17" s="323"/>
      <c r="G17" s="323"/>
      <c r="H17" s="323"/>
      <c r="I17" s="323"/>
      <c r="J17" s="323"/>
      <c r="K17" s="323"/>
      <c r="L17" s="323"/>
      <c r="M17" s="323"/>
      <c r="N17" s="323"/>
      <c r="O17" s="323"/>
      <c r="P17" s="323"/>
      <c r="Q17" s="323"/>
      <c r="R17" s="371"/>
      <c r="S17" s="92"/>
      <c r="T17" s="105"/>
      <c r="U17" s="93"/>
    </row>
    <row r="18" spans="1:31" ht="29.1" hidden="1" customHeight="1">
      <c r="B18" s="325"/>
      <c r="C18" s="422"/>
      <c r="D18" s="326"/>
      <c r="E18" s="327"/>
      <c r="F18" s="327"/>
      <c r="G18" s="327"/>
      <c r="H18" s="327"/>
      <c r="I18" s="327"/>
      <c r="J18" s="327"/>
      <c r="K18" s="327"/>
      <c r="L18" s="327"/>
      <c r="M18" s="327"/>
      <c r="N18" s="327"/>
      <c r="O18" s="327"/>
      <c r="P18" s="327"/>
      <c r="Q18" s="327"/>
      <c r="R18" s="371"/>
      <c r="S18" s="92"/>
      <c r="T18" s="105"/>
      <c r="U18" s="93"/>
    </row>
    <row r="19" spans="1:31" ht="12.75" customHeight="1">
      <c r="B19" s="26"/>
      <c r="C19" s="418"/>
      <c r="D19" s="44"/>
      <c r="E19" s="55"/>
      <c r="F19" s="55"/>
      <c r="G19" s="55"/>
      <c r="H19" s="55"/>
      <c r="I19" s="55"/>
      <c r="J19" s="55"/>
      <c r="Q19" s="373"/>
      <c r="R19" s="372"/>
      <c r="S19" s="62"/>
      <c r="T19" s="93"/>
      <c r="U19" s="93"/>
    </row>
    <row r="20" spans="1:31" s="32" customFormat="1" ht="21.6" customHeight="1">
      <c r="B20" s="458">
        <f>NbrPalette</f>
        <v>2</v>
      </c>
      <c r="C20" s="423"/>
      <c r="D20" s="457" t="str">
        <f>VLOOKUP("Pallet (s)",tableauTraductions,LangueColonne)</f>
        <v>Pallet (s)</v>
      </c>
      <c r="E20" s="99"/>
      <c r="F20" s="99"/>
      <c r="G20" s="100"/>
      <c r="H20" s="101"/>
      <c r="I20" s="106">
        <f>SUBTOTAL(9,I23:I239)</f>
        <v>63</v>
      </c>
      <c r="J20" s="102" t="str">
        <f>VLOOKUP("Unit (s)",tableauTraductions,LangueColonne)</f>
        <v>Unit (s)</v>
      </c>
      <c r="K20" s="451"/>
      <c r="L20" s="452"/>
      <c r="M20" s="453"/>
      <c r="N20" s="454">
        <f>SUBTOTAL(9,N23:N239)</f>
        <v>342</v>
      </c>
      <c r="O20" s="455">
        <f>SUBTOTAL(9,O23:O239)</f>
        <v>4185.0416000000005</v>
      </c>
      <c r="P20" s="454">
        <f>SUBTOTAL(9,P23:P239)</f>
        <v>0</v>
      </c>
      <c r="Q20" s="456">
        <f>SUBTOTAL(9,Q23:Q239)</f>
        <v>33685.1</v>
      </c>
      <c r="S20" s="94"/>
      <c r="T20" s="109">
        <f>SUBTOTAL(9,T23:T239)</f>
        <v>23143.8</v>
      </c>
      <c r="U20" s="58">
        <f>SUBTOTAL(9,U32:U83)</f>
        <v>0</v>
      </c>
      <c r="V20" s="33"/>
      <c r="W20" s="33"/>
      <c r="X20" s="33"/>
    </row>
    <row r="21" spans="1:31" s="35" customFormat="1" ht="30.95" customHeight="1">
      <c r="B21" s="434" t="s">
        <v>151</v>
      </c>
      <c r="C21" s="435" t="str">
        <f>VLOOKUP("Site",tableauTraductions,LangueColonne)</f>
        <v>Site</v>
      </c>
      <c r="D21" s="435" t="str">
        <f>VLOOKUP("CRATE #",tableauTraductions,LangueColonne)</f>
        <v>CRATE #</v>
      </c>
      <c r="E21" s="434" t="s">
        <v>59</v>
      </c>
      <c r="F21" s="436" t="str">
        <f>VLOOKUP("PO #",tableauTraductions,LangueColonne)</f>
        <v>PO #</v>
      </c>
      <c r="G21" s="437" t="s">
        <v>52</v>
      </c>
      <c r="H21" s="437" t="s">
        <v>149</v>
      </c>
      <c r="I21" s="437" t="str">
        <f>VLOOKUP("QTY",tableauTraductions,LangueColonne)</f>
        <v>QTY</v>
      </c>
      <c r="J21" s="437" t="s">
        <v>150</v>
      </c>
      <c r="K21" s="438" t="str">
        <f>VLOOKUP("LENGTH",tableauTraductions,LangueColonne)</f>
        <v>LENGTH</v>
      </c>
      <c r="L21" s="438" t="str">
        <f>VLOOKUP("WIDTH",tableauTraductions,LangueColonne)</f>
        <v>WIDTH</v>
      </c>
      <c r="M21" s="438" t="str">
        <f>VLOOKUP("THICKNESS",tableauTraductions,LangueColonne)</f>
        <v>THICKNESS</v>
      </c>
      <c r="N21" s="439" t="str">
        <f>VLOOKUP("TOTAL LENGTH",tableauTraductions,LangueColonne)</f>
        <v>TOTAL LENGTH</v>
      </c>
      <c r="O21" s="438" t="str">
        <f>VLOOKUP("TOTAL AREA",tableauTraductions,LangueColonne)</f>
        <v>TOTAL AREA</v>
      </c>
      <c r="P21" s="438" t="s">
        <v>50</v>
      </c>
      <c r="Q21" s="437" t="str">
        <f>VLOOKUP("GROSS WEIGHT",tableauTraductions,LangueColonne)</f>
        <v>GROSS WEIGHT</v>
      </c>
      <c r="R21" s="413" t="s">
        <v>32</v>
      </c>
      <c r="S21" s="414" t="s">
        <v>33</v>
      </c>
      <c r="T21" s="414" t="s">
        <v>31</v>
      </c>
      <c r="U21" s="415" t="s">
        <v>37</v>
      </c>
      <c r="V21" s="34" t="s">
        <v>48</v>
      </c>
      <c r="W21" s="5"/>
      <c r="X21" s="5"/>
      <c r="Z21" s="36"/>
      <c r="AB21" s="37"/>
      <c r="AC21" s="38"/>
      <c r="AD21" s="38"/>
      <c r="AE21" s="38"/>
    </row>
    <row r="22" spans="1:31" ht="21" customHeight="1" thickBot="1">
      <c r="B22" s="383"/>
      <c r="C22" s="383"/>
      <c r="D22" s="383"/>
      <c r="E22" s="383"/>
      <c r="F22" s="383"/>
      <c r="G22" s="383"/>
      <c r="H22" s="383"/>
      <c r="I22" s="383"/>
      <c r="J22" s="383"/>
      <c r="K22" s="408" t="str">
        <f>VLOOKUP("inch",tableauTraductions,LangueColonne)</f>
        <v>INCH</v>
      </c>
      <c r="L22" s="408" t="str">
        <f>VLOOKUP("inch",tableauTraductions,LangueColonne)</f>
        <v>INCH</v>
      </c>
      <c r="M22" s="408" t="str">
        <f>VLOOKUP("inch",tableauTraductions,LangueColonne)</f>
        <v>INCH</v>
      </c>
      <c r="N22" s="408" t="str">
        <f>VLOOKUP("LF",tableauTraductions,LangueColonne)</f>
        <v>LF</v>
      </c>
      <c r="O22" s="385" t="str">
        <f>VLOOKUP("SF",tableauTraductions,LangueColonne)</f>
        <v>SF</v>
      </c>
      <c r="P22" s="384" t="s">
        <v>51</v>
      </c>
      <c r="Q22" s="385" t="s">
        <v>36</v>
      </c>
      <c r="V22" s="39" t="s">
        <v>30</v>
      </c>
      <c r="W22" s="40" t="s">
        <v>56</v>
      </c>
      <c r="X22" s="40">
        <v>0</v>
      </c>
      <c r="Y22" s="40" t="s">
        <v>34</v>
      </c>
    </row>
    <row r="23" spans="1:31" s="43" customFormat="1" ht="30" customHeight="1" thickTop="1" thickBot="1">
      <c r="A23" s="68"/>
      <c r="B23" s="440" t="str">
        <f>Source!G8</f>
        <v>P#06</v>
      </c>
      <c r="C23" s="441" t="str">
        <f>Source!C8</f>
        <v>GRANITE DRC RAP</v>
      </c>
      <c r="D23" s="442" t="str">
        <f>Source!D8</f>
        <v>P#06 / null</v>
      </c>
      <c r="E23" s="443" t="str">
        <f>Source!J8</f>
        <v>DRC25-0006-C1R0</v>
      </c>
      <c r="F23" s="444">
        <f>Source!B8</f>
        <v>0</v>
      </c>
      <c r="G23" s="445" t="str">
        <f>Source!K8</f>
        <v>006-1</v>
      </c>
      <c r="H23" s="444" t="str">
        <f>Source!L8</f>
        <v>Caledonia</v>
      </c>
      <c r="I23" s="444">
        <f>Source!M8</f>
        <v>1</v>
      </c>
      <c r="J23" s="444" t="str">
        <f>Source!N8</f>
        <v>marche</v>
      </c>
      <c r="K23" s="446">
        <f>Source!O8</f>
        <v>34</v>
      </c>
      <c r="L23" s="446">
        <f>Source!P8</f>
        <v>23</v>
      </c>
      <c r="M23" s="446">
        <f>Source!Q8</f>
        <v>4</v>
      </c>
      <c r="N23" s="447">
        <f>Source!U8</f>
        <v>34</v>
      </c>
      <c r="O23" s="448">
        <f>Source!V8</f>
        <v>21.722200000000001</v>
      </c>
      <c r="P23" s="449"/>
      <c r="Q23" s="450">
        <f>Source!X8</f>
        <v>316.8</v>
      </c>
      <c r="R23" s="215">
        <f>Source!Z8</f>
        <v>253.6</v>
      </c>
      <c r="S23" s="223" t="str">
        <f>Source!AA8</f>
        <v>/ ea</v>
      </c>
      <c r="T23" s="216">
        <f>IF(Devise=DeviseInterne,Source!AB8,Source!AC8)</f>
        <v>253.6</v>
      </c>
      <c r="U23" s="57"/>
      <c r="V23" s="78"/>
      <c r="W23" s="78"/>
      <c r="X23" s="41"/>
      <c r="Y23" s="42"/>
    </row>
    <row r="24" spans="1:31" s="43" customFormat="1" ht="30" customHeight="1" thickTop="1" thickBot="1">
      <c r="A24" s="68"/>
      <c r="B24" s="440" t="str">
        <f>Source!G9</f>
        <v>P#06</v>
      </c>
      <c r="C24" s="441" t="str">
        <f>Source!C9</f>
        <v>GRANITE DRC RAP</v>
      </c>
      <c r="D24" s="442" t="str">
        <f>Source!D9</f>
        <v>P#06 / null</v>
      </c>
      <c r="E24" s="443" t="str">
        <f>Source!J9</f>
        <v>DRC25-0006-C1R0</v>
      </c>
      <c r="F24" s="444">
        <f>Source!B9</f>
        <v>0</v>
      </c>
      <c r="G24" s="445" t="str">
        <f>Source!K9</f>
        <v>006-2</v>
      </c>
      <c r="H24" s="444" t="str">
        <f>Source!L9</f>
        <v>Caledonia</v>
      </c>
      <c r="I24" s="444">
        <f>Source!M9</f>
        <v>2</v>
      </c>
      <c r="J24" s="444" t="str">
        <f>Source!N9</f>
        <v>personne</v>
      </c>
      <c r="K24" s="446">
        <f>Source!O9</f>
        <v>46</v>
      </c>
      <c r="L24" s="446">
        <f>Source!P9</f>
        <v>76</v>
      </c>
      <c r="M24" s="446">
        <f>Source!Q9</f>
        <v>3</v>
      </c>
      <c r="N24" s="447">
        <f>Source!U9</f>
        <v>46</v>
      </c>
      <c r="O24" s="448">
        <f>Source!V9</f>
        <v>825.44439999999997</v>
      </c>
      <c r="P24" s="449"/>
      <c r="Q24" s="450">
        <f>Source!X9</f>
        <v>2124.3000000000002</v>
      </c>
      <c r="R24" s="215">
        <f>Source!Z9</f>
        <v>713.9</v>
      </c>
      <c r="S24" s="223" t="str">
        <f>Source!AA9</f>
        <v>/ ea</v>
      </c>
      <c r="T24" s="216">
        <f>IF(Devise=DeviseInterne,Source!AB9,Source!AC9)</f>
        <v>1427.8</v>
      </c>
      <c r="U24" s="57"/>
      <c r="V24" s="78"/>
      <c r="W24" s="78"/>
      <c r="X24" s="41"/>
      <c r="Y24" s="42"/>
    </row>
    <row r="25" spans="1:31" s="43" customFormat="1" ht="30" customHeight="1" thickTop="1" thickBot="1">
      <c r="A25" s="68"/>
      <c r="B25" s="440" t="str">
        <f>Source!G10</f>
        <v>P#06</v>
      </c>
      <c r="C25" s="441" t="str">
        <f>Source!C10</f>
        <v>GRANITE DRC RAP</v>
      </c>
      <c r="D25" s="442" t="str">
        <f>Source!D10</f>
        <v>P#06 / null</v>
      </c>
      <c r="E25" s="443" t="str">
        <f>Source!J10</f>
        <v>DRC25-0006-C1R0</v>
      </c>
      <c r="F25" s="444">
        <f>Source!B10</f>
        <v>0</v>
      </c>
      <c r="G25" s="445" t="str">
        <f>Source!K10</f>
        <v>006-3</v>
      </c>
      <c r="H25" s="444" t="str">
        <f>Source!L10</f>
        <v>Caledonia</v>
      </c>
      <c r="I25" s="444">
        <f>Source!M10</f>
        <v>3</v>
      </c>
      <c r="J25" s="444" t="str">
        <f>Source!N10</f>
        <v>etape</v>
      </c>
      <c r="K25" s="446">
        <f>Source!O10</f>
        <v>45</v>
      </c>
      <c r="L25" s="446">
        <f>Source!P10</f>
        <v>45</v>
      </c>
      <c r="M25" s="446">
        <f>Source!Q10</f>
        <v>5</v>
      </c>
      <c r="N25" s="447">
        <f>Source!U10</f>
        <v>45</v>
      </c>
      <c r="O25" s="448">
        <f>Source!V10</f>
        <v>323.4375</v>
      </c>
      <c r="P25" s="449"/>
      <c r="Q25" s="450">
        <f>Source!X10</f>
        <v>3076.2</v>
      </c>
      <c r="R25" s="215">
        <f>Source!Z10</f>
        <v>633.9</v>
      </c>
      <c r="S25" s="223" t="str">
        <f>Source!AA10</f>
        <v>/ ea</v>
      </c>
      <c r="T25" s="216">
        <f>IF(Devise=DeviseInterne,Source!AB10,Source!AC10)</f>
        <v>1901.7</v>
      </c>
      <c r="U25" s="57"/>
      <c r="V25" s="78"/>
      <c r="W25" s="78"/>
      <c r="X25" s="41"/>
      <c r="Y25" s="42"/>
    </row>
    <row r="26" spans="1:31" s="43" customFormat="1" ht="30" customHeight="1" thickTop="1" thickBot="1">
      <c r="A26" s="68"/>
      <c r="B26" s="440" t="str">
        <f>Source!G11</f>
        <v>P#06</v>
      </c>
      <c r="C26" s="441" t="str">
        <f>Source!C11</f>
        <v>GRANITE DRC RAP</v>
      </c>
      <c r="D26" s="442" t="str">
        <f>Source!D11</f>
        <v>P#06 / null</v>
      </c>
      <c r="E26" s="443" t="str">
        <f>Source!J11</f>
        <v>DRC25-0006-C1R0</v>
      </c>
      <c r="F26" s="444">
        <f>Source!B11</f>
        <v>0</v>
      </c>
      <c r="G26" s="445" t="str">
        <f>Source!K11</f>
        <v>006-4</v>
      </c>
      <c r="H26" s="444" t="str">
        <f>Source!L11</f>
        <v>Caledonia</v>
      </c>
      <c r="I26" s="444">
        <f>Source!M11</f>
        <v>4</v>
      </c>
      <c r="J26" s="444" t="str">
        <f>Source!N11</f>
        <v>cash</v>
      </c>
      <c r="K26" s="446">
        <f>Source!O11</f>
        <v>23</v>
      </c>
      <c r="L26" s="446">
        <f>Source!P11</f>
        <v>34</v>
      </c>
      <c r="M26" s="446">
        <f>Source!Q11</f>
        <v>6</v>
      </c>
      <c r="N26" s="447">
        <f>Source!U11</f>
        <v>23</v>
      </c>
      <c r="O26" s="448">
        <f>Source!V11</f>
        <v>293.25</v>
      </c>
      <c r="P26" s="449"/>
      <c r="Q26" s="450">
        <f>Source!X11</f>
        <v>1900.7</v>
      </c>
      <c r="R26" s="215">
        <f>Source!Z11</f>
        <v>321.39999999999998</v>
      </c>
      <c r="S26" s="223" t="str">
        <f>Source!AA11</f>
        <v>/ ea</v>
      </c>
      <c r="T26" s="216">
        <f>IF(Devise=DeviseInterne,Source!AB11,Source!AC11)</f>
        <v>1285.5999999999999</v>
      </c>
      <c r="U26" s="57"/>
      <c r="V26" s="78"/>
      <c r="W26" s="78"/>
      <c r="X26" s="41"/>
      <c r="Y26" s="42"/>
    </row>
    <row r="27" spans="1:31" s="43" customFormat="1" ht="30" customHeight="1" thickTop="1" thickBot="1">
      <c r="A27" s="68"/>
      <c r="B27" s="440" t="str">
        <f>Source!G12</f>
        <v>P#06</v>
      </c>
      <c r="C27" s="441" t="str">
        <f>Source!C12</f>
        <v>GRANITE DRC RAP</v>
      </c>
      <c r="D27" s="442" t="str">
        <f>Source!D12</f>
        <v>P#06 / null</v>
      </c>
      <c r="E27" s="443" t="str">
        <f>Source!J12</f>
        <v>DRC25-0006-C1R0</v>
      </c>
      <c r="F27" s="444">
        <f>Source!B12</f>
        <v>0</v>
      </c>
      <c r="G27" s="445" t="str">
        <f>Source!K12</f>
        <v>006-5</v>
      </c>
      <c r="H27" s="444" t="str">
        <f>Source!L12</f>
        <v>Caledonia</v>
      </c>
      <c r="I27" s="444">
        <f>Source!M12</f>
        <v>5</v>
      </c>
      <c r="J27" s="444" t="str">
        <f>Source!N12</f>
        <v>toto</v>
      </c>
      <c r="K27" s="446">
        <f>Source!O12</f>
        <v>23</v>
      </c>
      <c r="L27" s="446">
        <f>Source!P12</f>
        <v>32</v>
      </c>
      <c r="M27" s="446">
        <f>Source!Q12</f>
        <v>5</v>
      </c>
      <c r="N27" s="447">
        <f>Source!U12</f>
        <v>23</v>
      </c>
      <c r="O27" s="448">
        <f>Source!V12</f>
        <v>628.66669999999999</v>
      </c>
      <c r="P27" s="449"/>
      <c r="Q27" s="450">
        <f>Source!X12</f>
        <v>1863.4</v>
      </c>
      <c r="R27" s="215">
        <f>Source!Z12</f>
        <v>271.3</v>
      </c>
      <c r="S27" s="223" t="str">
        <f>Source!AA12</f>
        <v>/ ea</v>
      </c>
      <c r="T27" s="216">
        <f>IF(Devise=DeviseInterne,Source!AB12,Source!AC12)</f>
        <v>1356.5</v>
      </c>
      <c r="U27" s="57"/>
      <c r="V27" s="78"/>
      <c r="W27" s="78"/>
      <c r="X27" s="41"/>
      <c r="Y27" s="42"/>
    </row>
    <row r="28" spans="1:31" s="43" customFormat="1" ht="30" customHeight="1" thickTop="1" thickBot="1">
      <c r="A28" s="68"/>
      <c r="B28" s="440" t="str">
        <f>Source!G13</f>
        <v>P#02</v>
      </c>
      <c r="C28" s="441" t="str">
        <f>Source!C13</f>
        <v>GRANITE DRC RAP</v>
      </c>
      <c r="D28" s="442" t="str">
        <f>Source!D13</f>
        <v>P#02 / null</v>
      </c>
      <c r="E28" s="443" t="str">
        <f>Source!J13</f>
        <v>DRC25-0006-C1R0</v>
      </c>
      <c r="F28" s="444">
        <f>Source!B13</f>
        <v>0</v>
      </c>
      <c r="G28" s="445" t="str">
        <f>Source!K13</f>
        <v>006-1</v>
      </c>
      <c r="H28" s="444" t="str">
        <f>Source!L13</f>
        <v>Caledonia</v>
      </c>
      <c r="I28" s="444">
        <f>Source!M13</f>
        <v>1</v>
      </c>
      <c r="J28" s="444" t="str">
        <f>Source!N13</f>
        <v>marche</v>
      </c>
      <c r="K28" s="446">
        <f>Source!O13</f>
        <v>34</v>
      </c>
      <c r="L28" s="446">
        <f>Source!P13</f>
        <v>23</v>
      </c>
      <c r="M28" s="446">
        <f>Source!Q13</f>
        <v>4</v>
      </c>
      <c r="N28" s="447">
        <f>Source!U13</f>
        <v>34</v>
      </c>
      <c r="O28" s="448">
        <f>Source!V13</f>
        <v>21.722200000000001</v>
      </c>
      <c r="P28" s="449"/>
      <c r="Q28" s="450">
        <f>Source!X13</f>
        <v>316.8</v>
      </c>
      <c r="R28" s="215">
        <f>Source!Z13</f>
        <v>253.6</v>
      </c>
      <c r="S28" s="223" t="str">
        <f>Source!AA13</f>
        <v>/ ea</v>
      </c>
      <c r="T28" s="216">
        <f>IF(Devise=DeviseInterne,Source!AB13,Source!AC13)</f>
        <v>253.6</v>
      </c>
      <c r="U28" s="57"/>
      <c r="V28" s="78"/>
      <c r="W28" s="78"/>
      <c r="X28" s="41"/>
      <c r="Y28" s="42"/>
    </row>
    <row r="29" spans="1:31" s="43" customFormat="1" ht="30" customHeight="1" thickTop="1" thickBot="1">
      <c r="A29" s="68"/>
      <c r="B29" s="440" t="str">
        <f>Source!G14</f>
        <v>P#02</v>
      </c>
      <c r="C29" s="441" t="str">
        <f>Source!C14</f>
        <v>GRANITE DRC RAP</v>
      </c>
      <c r="D29" s="442" t="str">
        <f>Source!D14</f>
        <v>P#02 / null</v>
      </c>
      <c r="E29" s="443" t="str">
        <f>Source!J14</f>
        <v>DRC25-0006-C1R0</v>
      </c>
      <c r="F29" s="444">
        <f>Source!B14</f>
        <v>0</v>
      </c>
      <c r="G29" s="445" t="str">
        <f>Source!K14</f>
        <v>006-2</v>
      </c>
      <c r="H29" s="444" t="str">
        <f>Source!L14</f>
        <v>Caledonia</v>
      </c>
      <c r="I29" s="444">
        <f>Source!M14</f>
        <v>5</v>
      </c>
      <c r="J29" s="444" t="str">
        <f>Source!N14</f>
        <v>personne</v>
      </c>
      <c r="K29" s="446">
        <f>Source!O14</f>
        <v>46</v>
      </c>
      <c r="L29" s="446">
        <f>Source!P14</f>
        <v>76</v>
      </c>
      <c r="M29" s="446">
        <f>Source!Q14</f>
        <v>3</v>
      </c>
      <c r="N29" s="447">
        <f>Source!U14</f>
        <v>46</v>
      </c>
      <c r="O29" s="448">
        <f>Source!V14</f>
        <v>825.44439999999997</v>
      </c>
      <c r="P29" s="449"/>
      <c r="Q29" s="450">
        <f>Source!X14</f>
        <v>5310.8</v>
      </c>
      <c r="R29" s="215">
        <f>Source!Z14</f>
        <v>713.9</v>
      </c>
      <c r="S29" s="223" t="str">
        <f>Source!AA14</f>
        <v>/ ea</v>
      </c>
      <c r="T29" s="216">
        <f>IF(Devise=DeviseInterne,Source!AB14,Source!AC14)</f>
        <v>3569.5</v>
      </c>
      <c r="U29" s="57"/>
      <c r="V29" s="78"/>
      <c r="W29" s="78"/>
      <c r="X29" s="41"/>
      <c r="Y29" s="42"/>
    </row>
    <row r="30" spans="1:31" s="43" customFormat="1" ht="30" customHeight="1" thickTop="1" thickBot="1">
      <c r="A30" s="68"/>
      <c r="B30" s="440" t="str">
        <f>Source!G15</f>
        <v>P#02</v>
      </c>
      <c r="C30" s="441" t="str">
        <f>Source!C15</f>
        <v>GRANITE DRC RAP</v>
      </c>
      <c r="D30" s="442" t="str">
        <f>Source!D15</f>
        <v>P#02 / null</v>
      </c>
      <c r="E30" s="443" t="str">
        <f>Source!J15</f>
        <v>DRC25-0006-C1R0</v>
      </c>
      <c r="F30" s="444">
        <f>Source!B15</f>
        <v>0</v>
      </c>
      <c r="G30" s="445" t="str">
        <f>Source!K15</f>
        <v>006-3</v>
      </c>
      <c r="H30" s="444" t="str">
        <f>Source!L15</f>
        <v>Caledonia</v>
      </c>
      <c r="I30" s="444">
        <f>Source!M15</f>
        <v>4</v>
      </c>
      <c r="J30" s="444" t="str">
        <f>Source!N15</f>
        <v>etape</v>
      </c>
      <c r="K30" s="446">
        <f>Source!O15</f>
        <v>45</v>
      </c>
      <c r="L30" s="446">
        <f>Source!P15</f>
        <v>45</v>
      </c>
      <c r="M30" s="446">
        <f>Source!Q15</f>
        <v>5</v>
      </c>
      <c r="N30" s="447">
        <f>Source!U15</f>
        <v>45</v>
      </c>
      <c r="O30" s="448">
        <f>Source!V15</f>
        <v>323.4375</v>
      </c>
      <c r="P30" s="449"/>
      <c r="Q30" s="450">
        <f>Source!X15</f>
        <v>4101.6000000000004</v>
      </c>
      <c r="R30" s="215">
        <f>Source!Z15</f>
        <v>633.9</v>
      </c>
      <c r="S30" s="223" t="str">
        <f>Source!AA15</f>
        <v>/ ea</v>
      </c>
      <c r="T30" s="216">
        <f>IF(Devise=DeviseInterne,Source!AB15,Source!AC15)</f>
        <v>2535.6</v>
      </c>
      <c r="U30" s="57"/>
      <c r="V30" s="78"/>
      <c r="W30" s="78"/>
      <c r="X30" s="41"/>
      <c r="Y30" s="42"/>
    </row>
    <row r="31" spans="1:31" s="43" customFormat="1" ht="30" customHeight="1" thickTop="1" thickBot="1">
      <c r="A31" s="68"/>
      <c r="B31" s="440" t="str">
        <f>Source!G16</f>
        <v>P#02</v>
      </c>
      <c r="C31" s="441" t="str">
        <f>Source!C16</f>
        <v>GRANITE DRC RAP</v>
      </c>
      <c r="D31" s="442" t="str">
        <f>Source!D16</f>
        <v>P#02 / null</v>
      </c>
      <c r="E31" s="443" t="str">
        <f>Source!J16</f>
        <v>DRC25-0006-C1R0</v>
      </c>
      <c r="F31" s="444">
        <f>Source!B16</f>
        <v>0</v>
      </c>
      <c r="G31" s="445" t="str">
        <f>Source!K16</f>
        <v>006-4</v>
      </c>
      <c r="H31" s="444" t="str">
        <f>Source!L16</f>
        <v>Caledonia</v>
      </c>
      <c r="I31" s="444">
        <f>Source!M16</f>
        <v>5</v>
      </c>
      <c r="J31" s="444" t="str">
        <f>Source!N16</f>
        <v>cash</v>
      </c>
      <c r="K31" s="446">
        <f>Source!O16</f>
        <v>23</v>
      </c>
      <c r="L31" s="446">
        <f>Source!P16</f>
        <v>34</v>
      </c>
      <c r="M31" s="446">
        <f>Source!Q16</f>
        <v>6</v>
      </c>
      <c r="N31" s="447">
        <f>Source!U16</f>
        <v>23</v>
      </c>
      <c r="O31" s="448">
        <f>Source!V16</f>
        <v>293.25</v>
      </c>
      <c r="P31" s="449"/>
      <c r="Q31" s="450">
        <f>Source!X16</f>
        <v>2375.9</v>
      </c>
      <c r="R31" s="215">
        <f>Source!Z16</f>
        <v>321.39999999999998</v>
      </c>
      <c r="S31" s="223" t="str">
        <f>Source!AA16</f>
        <v>/ ea</v>
      </c>
      <c r="T31" s="216">
        <f>IF(Devise=DeviseInterne,Source!AB16,Source!AC16)</f>
        <v>1607</v>
      </c>
      <c r="U31" s="57"/>
      <c r="V31" s="78"/>
      <c r="W31" s="78"/>
      <c r="X31" s="41"/>
      <c r="Y31" s="42"/>
    </row>
    <row r="32" spans="1:31" s="43" customFormat="1" ht="30" customHeight="1" thickTop="1" thickBot="1">
      <c r="A32" s="68"/>
      <c r="B32" s="440" t="str">
        <f>Source!G17</f>
        <v>P#02</v>
      </c>
      <c r="C32" s="441" t="str">
        <f>Source!C17</f>
        <v>GRANITE DRC RAP</v>
      </c>
      <c r="D32" s="442" t="str">
        <f>Source!D17</f>
        <v>P#02 / null</v>
      </c>
      <c r="E32" s="443" t="str">
        <f>Source!J17</f>
        <v>DRC25-0006-C1R0</v>
      </c>
      <c r="F32" s="444">
        <f>Source!B17</f>
        <v>0</v>
      </c>
      <c r="G32" s="445" t="str">
        <f>Source!K17</f>
        <v>006-5</v>
      </c>
      <c r="H32" s="444" t="str">
        <f>Source!L17</f>
        <v>Caledonia</v>
      </c>
      <c r="I32" s="444">
        <f>Source!M17</f>
        <v>33</v>
      </c>
      <c r="J32" s="444" t="str">
        <f>Source!N17</f>
        <v>toto</v>
      </c>
      <c r="K32" s="446">
        <f>Source!O17</f>
        <v>23</v>
      </c>
      <c r="L32" s="446">
        <f>Source!P17</f>
        <v>32</v>
      </c>
      <c r="M32" s="446">
        <f>Source!Q17</f>
        <v>5</v>
      </c>
      <c r="N32" s="447">
        <f>Source!U17</f>
        <v>23</v>
      </c>
      <c r="O32" s="448">
        <f>Source!V17</f>
        <v>628.66669999999999</v>
      </c>
      <c r="P32" s="449"/>
      <c r="Q32" s="450">
        <f>Source!X17</f>
        <v>12298.6</v>
      </c>
      <c r="R32" s="215">
        <f>Source!Z17</f>
        <v>271.3</v>
      </c>
      <c r="S32" s="223" t="str">
        <f>Source!AA17</f>
        <v>/ ea</v>
      </c>
      <c r="T32" s="216">
        <f>IF(Devise=DeviseInterne,Source!AB17,Source!AC17)</f>
        <v>8952.9</v>
      </c>
      <c r="U32" s="57"/>
      <c r="V32" s="78"/>
      <c r="W32" s="78"/>
      <c r="X32" s="41"/>
      <c r="Y32" s="42"/>
    </row>
    <row r="33" spans="1:25" s="43" customFormat="1" ht="30" customHeight="1" thickTop="1" thickBot="1">
      <c r="A33" s="68"/>
      <c r="B33" s="440">
        <f>Source!G18</f>
        <v>0</v>
      </c>
      <c r="C33" s="441">
        <f>Source!C18</f>
        <v>0</v>
      </c>
      <c r="D33" s="442">
        <f>Source!D18</f>
        <v>0</v>
      </c>
      <c r="E33" s="443">
        <f>Source!J18</f>
        <v>0</v>
      </c>
      <c r="F33" s="444">
        <f>Source!B18</f>
        <v>0</v>
      </c>
      <c r="G33" s="445">
        <f>Source!K18</f>
        <v>0</v>
      </c>
      <c r="H33" s="444">
        <f>Source!L18</f>
        <v>0</v>
      </c>
      <c r="I33" s="444">
        <f>Source!M18</f>
        <v>0</v>
      </c>
      <c r="J33" s="444">
        <f>Source!N18</f>
        <v>0</v>
      </c>
      <c r="K33" s="446">
        <f>Source!O18</f>
        <v>0</v>
      </c>
      <c r="L33" s="446">
        <f>Source!P18</f>
        <v>0</v>
      </c>
      <c r="M33" s="446">
        <f>Source!Q18</f>
        <v>0</v>
      </c>
      <c r="N33" s="447">
        <f>Source!U18</f>
        <v>0</v>
      </c>
      <c r="O33" s="448">
        <f>Source!V18</f>
        <v>0</v>
      </c>
      <c r="P33" s="449"/>
      <c r="Q33" s="450">
        <f>Source!X18</f>
        <v>0</v>
      </c>
      <c r="R33" s="215">
        <f>Source!Z18</f>
        <v>0</v>
      </c>
      <c r="S33" s="223">
        <f>Source!AA18</f>
        <v>0</v>
      </c>
      <c r="T33" s="216">
        <f>IF(Devise=DeviseInterne,Source!AB18,Source!AC18)</f>
        <v>0</v>
      </c>
      <c r="U33" s="57"/>
      <c r="V33" s="78"/>
      <c r="W33" s="78"/>
      <c r="X33" s="41"/>
      <c r="Y33" s="42"/>
    </row>
    <row r="34" spans="1:25" s="43" customFormat="1" ht="30" customHeight="1" thickTop="1" thickBot="1">
      <c r="A34" s="68"/>
      <c r="B34" s="440">
        <f>Source!G19</f>
        <v>0</v>
      </c>
      <c r="C34" s="441">
        <f>Source!C19</f>
        <v>0</v>
      </c>
      <c r="D34" s="442">
        <f>Source!D19</f>
        <v>0</v>
      </c>
      <c r="E34" s="443">
        <f>Source!J19</f>
        <v>0</v>
      </c>
      <c r="F34" s="444">
        <f>Source!B19</f>
        <v>0</v>
      </c>
      <c r="G34" s="445">
        <f>Source!K19</f>
        <v>0</v>
      </c>
      <c r="H34" s="444">
        <f>Source!L19</f>
        <v>0</v>
      </c>
      <c r="I34" s="444">
        <f>Source!M19</f>
        <v>0</v>
      </c>
      <c r="J34" s="444">
        <f>Source!N19</f>
        <v>0</v>
      </c>
      <c r="K34" s="446">
        <f>Source!O19</f>
        <v>0</v>
      </c>
      <c r="L34" s="446">
        <f>Source!P19</f>
        <v>0</v>
      </c>
      <c r="M34" s="446">
        <f>Source!Q19</f>
        <v>0</v>
      </c>
      <c r="N34" s="447">
        <f>Source!U19</f>
        <v>0</v>
      </c>
      <c r="O34" s="448">
        <f>Source!V19</f>
        <v>0</v>
      </c>
      <c r="P34" s="449"/>
      <c r="Q34" s="450">
        <f>Source!X19</f>
        <v>0</v>
      </c>
      <c r="R34" s="215">
        <f>Source!Z19</f>
        <v>0</v>
      </c>
      <c r="S34" s="223">
        <f>Source!AA19</f>
        <v>0</v>
      </c>
      <c r="T34" s="216">
        <f>IF(Devise=DeviseInterne,Source!AB19,Source!AC19)</f>
        <v>0</v>
      </c>
      <c r="U34" s="57"/>
      <c r="V34" s="78"/>
      <c r="W34" s="78"/>
      <c r="X34" s="41"/>
      <c r="Y34" s="42"/>
    </row>
    <row r="35" spans="1:25" s="43" customFormat="1" ht="30" customHeight="1" thickTop="1" thickBot="1">
      <c r="A35" s="68"/>
      <c r="B35" s="440">
        <f>Source!G20</f>
        <v>0</v>
      </c>
      <c r="C35" s="441">
        <f>Source!C20</f>
        <v>0</v>
      </c>
      <c r="D35" s="442">
        <f>Source!D20</f>
        <v>0</v>
      </c>
      <c r="E35" s="443">
        <f>Source!J20</f>
        <v>0</v>
      </c>
      <c r="F35" s="444">
        <f>Source!B20</f>
        <v>0</v>
      </c>
      <c r="G35" s="445">
        <f>Source!K20</f>
        <v>0</v>
      </c>
      <c r="H35" s="444">
        <f>Source!L20</f>
        <v>0</v>
      </c>
      <c r="I35" s="444">
        <f>Source!M20</f>
        <v>0</v>
      </c>
      <c r="J35" s="444">
        <f>Source!N20</f>
        <v>0</v>
      </c>
      <c r="K35" s="446">
        <f>Source!O20</f>
        <v>0</v>
      </c>
      <c r="L35" s="446">
        <f>Source!P20</f>
        <v>0</v>
      </c>
      <c r="M35" s="446">
        <f>Source!Q20</f>
        <v>0</v>
      </c>
      <c r="N35" s="447">
        <f>Source!U20</f>
        <v>0</v>
      </c>
      <c r="O35" s="448">
        <f>Source!V20</f>
        <v>0</v>
      </c>
      <c r="P35" s="449"/>
      <c r="Q35" s="450">
        <f>Source!X20</f>
        <v>0</v>
      </c>
      <c r="R35" s="215">
        <f>Source!Z20</f>
        <v>0</v>
      </c>
      <c r="S35" s="223">
        <f>Source!AA20</f>
        <v>0</v>
      </c>
      <c r="T35" s="216">
        <f>IF(Devise=DeviseInterne,Source!AB20,Source!AC20)</f>
        <v>0</v>
      </c>
      <c r="U35" s="57"/>
      <c r="V35" s="78"/>
      <c r="W35" s="78"/>
      <c r="X35" s="41"/>
      <c r="Y35" s="42"/>
    </row>
    <row r="36" spans="1:25" s="43" customFormat="1" ht="30" customHeight="1" thickTop="1" thickBot="1">
      <c r="A36" s="68"/>
      <c r="B36" s="440">
        <f>Source!G21</f>
        <v>0</v>
      </c>
      <c r="C36" s="441">
        <f>Source!C21</f>
        <v>0</v>
      </c>
      <c r="D36" s="442">
        <f>Source!D21</f>
        <v>0</v>
      </c>
      <c r="E36" s="443">
        <f>Source!J21</f>
        <v>0</v>
      </c>
      <c r="F36" s="444">
        <f>Source!B21</f>
        <v>0</v>
      </c>
      <c r="G36" s="445">
        <f>Source!K21</f>
        <v>0</v>
      </c>
      <c r="H36" s="444">
        <f>Source!L21</f>
        <v>0</v>
      </c>
      <c r="I36" s="444">
        <f>Source!M21</f>
        <v>0</v>
      </c>
      <c r="J36" s="444">
        <f>Source!N21</f>
        <v>0</v>
      </c>
      <c r="K36" s="446">
        <f>Source!O21</f>
        <v>0</v>
      </c>
      <c r="L36" s="446">
        <f>Source!P21</f>
        <v>0</v>
      </c>
      <c r="M36" s="446">
        <f>Source!Q21</f>
        <v>0</v>
      </c>
      <c r="N36" s="447">
        <f>Source!U21</f>
        <v>0</v>
      </c>
      <c r="O36" s="448">
        <f>Source!V21</f>
        <v>0</v>
      </c>
      <c r="P36" s="449"/>
      <c r="Q36" s="450">
        <f>Source!X21</f>
        <v>0</v>
      </c>
      <c r="R36" s="215">
        <f>Source!Z21</f>
        <v>0</v>
      </c>
      <c r="S36" s="223">
        <f>Source!AA21</f>
        <v>0</v>
      </c>
      <c r="T36" s="216">
        <f>IF(Devise=DeviseInterne,Source!AB21,Source!AC21)</f>
        <v>0</v>
      </c>
      <c r="U36" s="57"/>
      <c r="V36" s="78"/>
      <c r="W36" s="78"/>
      <c r="X36" s="41"/>
      <c r="Y36" s="42"/>
    </row>
    <row r="37" spans="1:25" s="43" customFormat="1" ht="30" customHeight="1" thickTop="1" thickBot="1">
      <c r="A37" s="68"/>
      <c r="B37" s="440">
        <f>Source!G22</f>
        <v>0</v>
      </c>
      <c r="C37" s="441">
        <f>Source!C22</f>
        <v>0</v>
      </c>
      <c r="D37" s="442">
        <f>Source!D22</f>
        <v>0</v>
      </c>
      <c r="E37" s="443">
        <f>Source!J22</f>
        <v>0</v>
      </c>
      <c r="F37" s="444">
        <f>Source!B22</f>
        <v>0</v>
      </c>
      <c r="G37" s="445">
        <f>Source!K22</f>
        <v>0</v>
      </c>
      <c r="H37" s="444">
        <f>Source!L22</f>
        <v>0</v>
      </c>
      <c r="I37" s="444">
        <f>Source!M22</f>
        <v>0</v>
      </c>
      <c r="J37" s="444">
        <f>Source!N22</f>
        <v>0</v>
      </c>
      <c r="K37" s="446">
        <f>Source!O22</f>
        <v>0</v>
      </c>
      <c r="L37" s="446">
        <f>Source!P22</f>
        <v>0</v>
      </c>
      <c r="M37" s="446">
        <f>Source!Q22</f>
        <v>0</v>
      </c>
      <c r="N37" s="447">
        <f>Source!U22</f>
        <v>0</v>
      </c>
      <c r="O37" s="448">
        <f>Source!V22</f>
        <v>0</v>
      </c>
      <c r="P37" s="449"/>
      <c r="Q37" s="450">
        <f>Source!X22</f>
        <v>0</v>
      </c>
      <c r="R37" s="215">
        <f>Source!Z22</f>
        <v>0</v>
      </c>
      <c r="S37" s="223">
        <f>Source!AA22</f>
        <v>0</v>
      </c>
      <c r="T37" s="216">
        <f>IF(Devise=DeviseInterne,Source!AB22,Source!AC22)</f>
        <v>0</v>
      </c>
      <c r="U37" s="57"/>
      <c r="V37" s="78"/>
      <c r="W37" s="78"/>
      <c r="X37" s="41"/>
      <c r="Y37" s="42"/>
    </row>
    <row r="38" spans="1:25" s="43" customFormat="1" ht="30" customHeight="1" thickTop="1" thickBot="1">
      <c r="A38" s="68"/>
      <c r="B38" s="440">
        <f>Source!G23</f>
        <v>0</v>
      </c>
      <c r="C38" s="441">
        <f>Source!C23</f>
        <v>0</v>
      </c>
      <c r="D38" s="442">
        <f>Source!D23</f>
        <v>0</v>
      </c>
      <c r="E38" s="443">
        <f>Source!J23</f>
        <v>0</v>
      </c>
      <c r="F38" s="444">
        <f>Source!B23</f>
        <v>0</v>
      </c>
      <c r="G38" s="445">
        <f>Source!K23</f>
        <v>0</v>
      </c>
      <c r="H38" s="444">
        <f>Source!L23</f>
        <v>0</v>
      </c>
      <c r="I38" s="444">
        <f>Source!M23</f>
        <v>0</v>
      </c>
      <c r="J38" s="444">
        <f>Source!N23</f>
        <v>0</v>
      </c>
      <c r="K38" s="446">
        <f>Source!O23</f>
        <v>0</v>
      </c>
      <c r="L38" s="446">
        <f>Source!P23</f>
        <v>0</v>
      </c>
      <c r="M38" s="446">
        <f>Source!Q23</f>
        <v>0</v>
      </c>
      <c r="N38" s="447">
        <f>Source!U23</f>
        <v>0</v>
      </c>
      <c r="O38" s="448">
        <f>Source!V23</f>
        <v>0</v>
      </c>
      <c r="P38" s="449"/>
      <c r="Q38" s="450">
        <f>Source!X23</f>
        <v>0</v>
      </c>
      <c r="R38" s="215">
        <f>Source!Z23</f>
        <v>0</v>
      </c>
      <c r="S38" s="223">
        <f>Source!AA23</f>
        <v>0</v>
      </c>
      <c r="T38" s="216">
        <f>IF(Devise=DeviseInterne,Source!AB23,Source!AC23)</f>
        <v>0</v>
      </c>
      <c r="U38" s="57"/>
      <c r="V38" s="78"/>
      <c r="W38" s="78"/>
      <c r="X38" s="41"/>
      <c r="Y38" s="42"/>
    </row>
    <row r="39" spans="1:25" s="43" customFormat="1" ht="30" customHeight="1" thickTop="1" thickBot="1">
      <c r="A39" s="68"/>
      <c r="B39" s="440">
        <f>Source!G24</f>
        <v>0</v>
      </c>
      <c r="C39" s="441">
        <f>Source!C24</f>
        <v>0</v>
      </c>
      <c r="D39" s="442">
        <f>Source!D24</f>
        <v>0</v>
      </c>
      <c r="E39" s="443">
        <f>Source!J24</f>
        <v>0</v>
      </c>
      <c r="F39" s="444">
        <f>Source!B24</f>
        <v>0</v>
      </c>
      <c r="G39" s="445">
        <f>Source!K24</f>
        <v>0</v>
      </c>
      <c r="H39" s="444">
        <f>Source!L24</f>
        <v>0</v>
      </c>
      <c r="I39" s="444">
        <f>Source!M24</f>
        <v>0</v>
      </c>
      <c r="J39" s="444">
        <f>Source!N24</f>
        <v>0</v>
      </c>
      <c r="K39" s="446">
        <f>Source!O24</f>
        <v>0</v>
      </c>
      <c r="L39" s="446">
        <f>Source!P24</f>
        <v>0</v>
      </c>
      <c r="M39" s="446">
        <f>Source!Q24</f>
        <v>0</v>
      </c>
      <c r="N39" s="447">
        <f>Source!U24</f>
        <v>0</v>
      </c>
      <c r="O39" s="448">
        <f>Source!V24</f>
        <v>0</v>
      </c>
      <c r="P39" s="449"/>
      <c r="Q39" s="450">
        <f>Source!X24</f>
        <v>0</v>
      </c>
      <c r="R39" s="215">
        <f>Source!Z24</f>
        <v>0</v>
      </c>
      <c r="S39" s="223">
        <f>Source!AA24</f>
        <v>0</v>
      </c>
      <c r="T39" s="216">
        <f>IF(Devise=DeviseInterne,Source!AB24,Source!AC24)</f>
        <v>0</v>
      </c>
      <c r="U39" s="57"/>
      <c r="V39" s="78"/>
      <c r="W39" s="78"/>
      <c r="X39" s="41"/>
      <c r="Y39" s="42"/>
    </row>
    <row r="40" spans="1:25" s="43" customFormat="1" ht="30" customHeight="1" thickTop="1" thickBot="1">
      <c r="A40" s="68"/>
      <c r="B40" s="440">
        <f>Source!G25</f>
        <v>0</v>
      </c>
      <c r="C40" s="441">
        <f>Source!C25</f>
        <v>0</v>
      </c>
      <c r="D40" s="442">
        <f>Source!D25</f>
        <v>0</v>
      </c>
      <c r="E40" s="443">
        <f>Source!J25</f>
        <v>0</v>
      </c>
      <c r="F40" s="444">
        <f>Source!B25</f>
        <v>0</v>
      </c>
      <c r="G40" s="445">
        <f>Source!K25</f>
        <v>0</v>
      </c>
      <c r="H40" s="444">
        <f>Source!L25</f>
        <v>0</v>
      </c>
      <c r="I40" s="444">
        <f>Source!M25</f>
        <v>0</v>
      </c>
      <c r="J40" s="444">
        <f>Source!N25</f>
        <v>0</v>
      </c>
      <c r="K40" s="446">
        <f>Source!O25</f>
        <v>0</v>
      </c>
      <c r="L40" s="446">
        <f>Source!P25</f>
        <v>0</v>
      </c>
      <c r="M40" s="446">
        <f>Source!Q25</f>
        <v>0</v>
      </c>
      <c r="N40" s="447">
        <f>Source!U25</f>
        <v>0</v>
      </c>
      <c r="O40" s="448">
        <f>Source!V25</f>
        <v>0</v>
      </c>
      <c r="P40" s="449"/>
      <c r="Q40" s="450">
        <f>Source!X25</f>
        <v>0</v>
      </c>
      <c r="R40" s="215">
        <f>Source!Z25</f>
        <v>0</v>
      </c>
      <c r="S40" s="223">
        <f>Source!AA25</f>
        <v>0</v>
      </c>
      <c r="T40" s="216">
        <f>IF(Devise=DeviseInterne,Source!AB25,Source!AC25)</f>
        <v>0</v>
      </c>
      <c r="U40" s="57"/>
      <c r="V40" s="78"/>
      <c r="W40" s="78"/>
      <c r="X40" s="41"/>
      <c r="Y40" s="42"/>
    </row>
    <row r="41" spans="1:25" s="43" customFormat="1" ht="30" customHeight="1" thickTop="1" thickBot="1">
      <c r="A41" s="68"/>
      <c r="B41" s="440">
        <f>Source!G26</f>
        <v>0</v>
      </c>
      <c r="C41" s="441">
        <f>Source!C26</f>
        <v>0</v>
      </c>
      <c r="D41" s="442">
        <f>Source!D26</f>
        <v>0</v>
      </c>
      <c r="E41" s="443">
        <f>Source!J26</f>
        <v>0</v>
      </c>
      <c r="F41" s="444">
        <f>Source!B26</f>
        <v>0</v>
      </c>
      <c r="G41" s="445">
        <f>Source!K26</f>
        <v>0</v>
      </c>
      <c r="H41" s="444">
        <f>Source!L26</f>
        <v>0</v>
      </c>
      <c r="I41" s="444">
        <f>Source!M26</f>
        <v>0</v>
      </c>
      <c r="J41" s="444">
        <f>Source!N26</f>
        <v>0</v>
      </c>
      <c r="K41" s="446">
        <f>Source!O26</f>
        <v>0</v>
      </c>
      <c r="L41" s="446">
        <f>Source!P26</f>
        <v>0</v>
      </c>
      <c r="M41" s="446">
        <f>Source!Q26</f>
        <v>0</v>
      </c>
      <c r="N41" s="447">
        <f>Source!U26</f>
        <v>0</v>
      </c>
      <c r="O41" s="448">
        <f>Source!V26</f>
        <v>0</v>
      </c>
      <c r="P41" s="449"/>
      <c r="Q41" s="450">
        <f>Source!X26</f>
        <v>0</v>
      </c>
      <c r="R41" s="215">
        <f>Source!Z26</f>
        <v>0</v>
      </c>
      <c r="S41" s="223">
        <f>Source!AA26</f>
        <v>0</v>
      </c>
      <c r="T41" s="216">
        <f>IF(Devise=DeviseInterne,Source!AB26,Source!AC26)</f>
        <v>0</v>
      </c>
      <c r="U41" s="57"/>
      <c r="V41" s="78"/>
      <c r="W41" s="78"/>
      <c r="X41" s="41"/>
      <c r="Y41" s="42"/>
    </row>
    <row r="42" spans="1:25" s="43" customFormat="1" ht="30" customHeight="1" thickTop="1" thickBot="1">
      <c r="A42" s="68"/>
      <c r="B42" s="440">
        <f>Source!G27</f>
        <v>0</v>
      </c>
      <c r="C42" s="441">
        <f>Source!C27</f>
        <v>0</v>
      </c>
      <c r="D42" s="442">
        <f>Source!D27</f>
        <v>0</v>
      </c>
      <c r="E42" s="443">
        <f>Source!J27</f>
        <v>0</v>
      </c>
      <c r="F42" s="444">
        <f>Source!B27</f>
        <v>0</v>
      </c>
      <c r="G42" s="445">
        <f>Source!K27</f>
        <v>0</v>
      </c>
      <c r="H42" s="444">
        <f>Source!L27</f>
        <v>0</v>
      </c>
      <c r="I42" s="444">
        <f>Source!M27</f>
        <v>0</v>
      </c>
      <c r="J42" s="444">
        <f>Source!N27</f>
        <v>0</v>
      </c>
      <c r="K42" s="446">
        <f>Source!O27</f>
        <v>0</v>
      </c>
      <c r="L42" s="446">
        <f>Source!P27</f>
        <v>0</v>
      </c>
      <c r="M42" s="446">
        <f>Source!Q27</f>
        <v>0</v>
      </c>
      <c r="N42" s="447">
        <f>Source!U27</f>
        <v>0</v>
      </c>
      <c r="O42" s="448">
        <f>Source!V27</f>
        <v>0</v>
      </c>
      <c r="P42" s="449"/>
      <c r="Q42" s="450">
        <f>Source!X27</f>
        <v>0</v>
      </c>
      <c r="R42" s="215">
        <f>Source!Z27</f>
        <v>0</v>
      </c>
      <c r="S42" s="223">
        <f>Source!AA27</f>
        <v>0</v>
      </c>
      <c r="T42" s="216">
        <f>IF(Devise=DeviseInterne,Source!AB27,Source!AC27)</f>
        <v>0</v>
      </c>
      <c r="U42" s="57"/>
      <c r="V42" s="78"/>
      <c r="W42" s="78"/>
      <c r="X42" s="41"/>
      <c r="Y42" s="42"/>
    </row>
    <row r="43" spans="1:25" s="43" customFormat="1" ht="30" customHeight="1" thickTop="1" thickBot="1">
      <c r="A43" s="68"/>
      <c r="B43" s="440">
        <f>Source!G28</f>
        <v>0</v>
      </c>
      <c r="C43" s="441">
        <f>Source!C28</f>
        <v>0</v>
      </c>
      <c r="D43" s="442">
        <f>Source!D28</f>
        <v>0</v>
      </c>
      <c r="E43" s="443">
        <f>Source!J28</f>
        <v>0</v>
      </c>
      <c r="F43" s="444">
        <f>Source!B28</f>
        <v>0</v>
      </c>
      <c r="G43" s="445">
        <f>Source!K28</f>
        <v>0</v>
      </c>
      <c r="H43" s="444">
        <f>Source!L28</f>
        <v>0</v>
      </c>
      <c r="I43" s="444">
        <f>Source!M28</f>
        <v>0</v>
      </c>
      <c r="J43" s="444">
        <f>Source!N28</f>
        <v>0</v>
      </c>
      <c r="K43" s="446">
        <f>Source!O28</f>
        <v>0</v>
      </c>
      <c r="L43" s="446">
        <f>Source!P28</f>
        <v>0</v>
      </c>
      <c r="M43" s="446">
        <f>Source!Q28</f>
        <v>0</v>
      </c>
      <c r="N43" s="447">
        <f>Source!U28</f>
        <v>0</v>
      </c>
      <c r="O43" s="448">
        <f>Source!V28</f>
        <v>0</v>
      </c>
      <c r="P43" s="449"/>
      <c r="Q43" s="450">
        <f>Source!X28</f>
        <v>0</v>
      </c>
      <c r="R43" s="215">
        <f>Source!Z28</f>
        <v>0</v>
      </c>
      <c r="S43" s="223">
        <f>Source!AA28</f>
        <v>0</v>
      </c>
      <c r="T43" s="216">
        <f>IF(Devise=DeviseInterne,Source!AB28,Source!AC28)</f>
        <v>0</v>
      </c>
      <c r="U43" s="57"/>
      <c r="V43" s="78"/>
      <c r="W43" s="78"/>
      <c r="X43" s="41"/>
      <c r="Y43" s="42"/>
    </row>
    <row r="44" spans="1:25" s="43" customFormat="1" ht="30" customHeight="1" thickTop="1" thickBot="1">
      <c r="A44" s="68"/>
      <c r="B44" s="440">
        <f>Source!G29</f>
        <v>0</v>
      </c>
      <c r="C44" s="441">
        <f>Source!C29</f>
        <v>0</v>
      </c>
      <c r="D44" s="442">
        <f>Source!D29</f>
        <v>0</v>
      </c>
      <c r="E44" s="443">
        <f>Source!J29</f>
        <v>0</v>
      </c>
      <c r="F44" s="444">
        <f>Source!B29</f>
        <v>0</v>
      </c>
      <c r="G44" s="445">
        <f>Source!K29</f>
        <v>0</v>
      </c>
      <c r="H44" s="444">
        <f>Source!L29</f>
        <v>0</v>
      </c>
      <c r="I44" s="444">
        <f>Source!M29</f>
        <v>0</v>
      </c>
      <c r="J44" s="444">
        <f>Source!N29</f>
        <v>0</v>
      </c>
      <c r="K44" s="446">
        <f>Source!O29</f>
        <v>0</v>
      </c>
      <c r="L44" s="446">
        <f>Source!P29</f>
        <v>0</v>
      </c>
      <c r="M44" s="446">
        <f>Source!Q29</f>
        <v>0</v>
      </c>
      <c r="N44" s="447">
        <f>Source!U29</f>
        <v>0</v>
      </c>
      <c r="O44" s="448">
        <f>Source!V29</f>
        <v>0</v>
      </c>
      <c r="P44" s="449"/>
      <c r="Q44" s="450">
        <f>Source!X29</f>
        <v>0</v>
      </c>
      <c r="R44" s="215">
        <f>Source!Z29</f>
        <v>0</v>
      </c>
      <c r="S44" s="223">
        <f>Source!AA29</f>
        <v>0</v>
      </c>
      <c r="T44" s="216">
        <f>IF(Devise=DeviseInterne,Source!AB29,Source!AC29)</f>
        <v>0</v>
      </c>
      <c r="U44" s="57"/>
      <c r="V44" s="78"/>
      <c r="W44" s="78"/>
      <c r="X44" s="41"/>
      <c r="Y44" s="42"/>
    </row>
    <row r="45" spans="1:25" s="43" customFormat="1" ht="30" customHeight="1" thickTop="1" thickBot="1">
      <c r="A45" s="68"/>
      <c r="B45" s="440">
        <f>Source!G30</f>
        <v>0</v>
      </c>
      <c r="C45" s="441">
        <f>Source!C30</f>
        <v>0</v>
      </c>
      <c r="D45" s="442">
        <f>Source!D30</f>
        <v>0</v>
      </c>
      <c r="E45" s="443">
        <f>Source!J30</f>
        <v>0</v>
      </c>
      <c r="F45" s="444">
        <f>Source!B30</f>
        <v>0</v>
      </c>
      <c r="G45" s="445">
        <f>Source!K30</f>
        <v>0</v>
      </c>
      <c r="H45" s="444">
        <f>Source!L30</f>
        <v>0</v>
      </c>
      <c r="I45" s="444">
        <f>Source!M30</f>
        <v>0</v>
      </c>
      <c r="J45" s="444">
        <f>Source!N30</f>
        <v>0</v>
      </c>
      <c r="K45" s="446">
        <f>Source!O30</f>
        <v>0</v>
      </c>
      <c r="L45" s="446">
        <f>Source!P30</f>
        <v>0</v>
      </c>
      <c r="M45" s="446">
        <f>Source!Q30</f>
        <v>0</v>
      </c>
      <c r="N45" s="447">
        <f>Source!U30</f>
        <v>0</v>
      </c>
      <c r="O45" s="448">
        <f>Source!V30</f>
        <v>0</v>
      </c>
      <c r="P45" s="449"/>
      <c r="Q45" s="450">
        <f>Source!X30</f>
        <v>0</v>
      </c>
      <c r="R45" s="215">
        <f>Source!Z30</f>
        <v>0</v>
      </c>
      <c r="S45" s="223">
        <f>Source!AA30</f>
        <v>0</v>
      </c>
      <c r="T45" s="216">
        <f>IF(Devise=DeviseInterne,Source!AB30,Source!AC30)</f>
        <v>0</v>
      </c>
      <c r="U45" s="57"/>
      <c r="V45" s="78"/>
      <c r="W45" s="78"/>
      <c r="X45" s="41"/>
      <c r="Y45" s="42"/>
    </row>
    <row r="46" spans="1:25" s="43" customFormat="1" ht="30" customHeight="1" thickTop="1" thickBot="1">
      <c r="A46" s="68"/>
      <c r="B46" s="440">
        <f>Source!G31</f>
        <v>0</v>
      </c>
      <c r="C46" s="441">
        <f>Source!C31</f>
        <v>0</v>
      </c>
      <c r="D46" s="442">
        <f>Source!D31</f>
        <v>0</v>
      </c>
      <c r="E46" s="443">
        <f>Source!J31</f>
        <v>0</v>
      </c>
      <c r="F46" s="444">
        <f>Source!B31</f>
        <v>0</v>
      </c>
      <c r="G46" s="445">
        <f>Source!K31</f>
        <v>0</v>
      </c>
      <c r="H46" s="444">
        <f>Source!L31</f>
        <v>0</v>
      </c>
      <c r="I46" s="444">
        <f>Source!M31</f>
        <v>0</v>
      </c>
      <c r="J46" s="444">
        <f>Source!N31</f>
        <v>0</v>
      </c>
      <c r="K46" s="446">
        <f>Source!O31</f>
        <v>0</v>
      </c>
      <c r="L46" s="446">
        <f>Source!P31</f>
        <v>0</v>
      </c>
      <c r="M46" s="446">
        <f>Source!Q31</f>
        <v>0</v>
      </c>
      <c r="N46" s="447">
        <f>Source!U31</f>
        <v>0</v>
      </c>
      <c r="O46" s="448">
        <f>Source!V31</f>
        <v>0</v>
      </c>
      <c r="P46" s="449"/>
      <c r="Q46" s="450">
        <f>Source!X31</f>
        <v>0</v>
      </c>
      <c r="R46" s="215">
        <f>Source!Z31</f>
        <v>0</v>
      </c>
      <c r="S46" s="223">
        <f>Source!AA31</f>
        <v>0</v>
      </c>
      <c r="T46" s="216">
        <f>IF(Devise=DeviseInterne,Source!AB31,Source!AC31)</f>
        <v>0</v>
      </c>
      <c r="U46" s="57"/>
      <c r="V46" s="78"/>
      <c r="W46" s="78"/>
      <c r="X46" s="41"/>
      <c r="Y46" s="42"/>
    </row>
    <row r="47" spans="1:25" s="43" customFormat="1" ht="30" customHeight="1" thickTop="1" thickBot="1">
      <c r="A47" s="68"/>
      <c r="B47" s="440">
        <f>Source!G32</f>
        <v>0</v>
      </c>
      <c r="C47" s="441">
        <f>Source!C32</f>
        <v>0</v>
      </c>
      <c r="D47" s="442">
        <f>Source!D32</f>
        <v>0</v>
      </c>
      <c r="E47" s="443">
        <f>Source!J32</f>
        <v>0</v>
      </c>
      <c r="F47" s="444">
        <f>Source!B32</f>
        <v>0</v>
      </c>
      <c r="G47" s="445">
        <f>Source!K32</f>
        <v>0</v>
      </c>
      <c r="H47" s="444">
        <f>Source!L32</f>
        <v>0</v>
      </c>
      <c r="I47" s="444">
        <f>Source!M32</f>
        <v>0</v>
      </c>
      <c r="J47" s="444">
        <f>Source!N32</f>
        <v>0</v>
      </c>
      <c r="K47" s="446">
        <f>Source!O32</f>
        <v>0</v>
      </c>
      <c r="L47" s="446">
        <f>Source!P32</f>
        <v>0</v>
      </c>
      <c r="M47" s="446">
        <f>Source!Q32</f>
        <v>0</v>
      </c>
      <c r="N47" s="447">
        <f>Source!U32</f>
        <v>0</v>
      </c>
      <c r="O47" s="448">
        <f>Source!V32</f>
        <v>0</v>
      </c>
      <c r="P47" s="449"/>
      <c r="Q47" s="450">
        <f>Source!X32</f>
        <v>0</v>
      </c>
      <c r="R47" s="215">
        <f>Source!Z32</f>
        <v>0</v>
      </c>
      <c r="S47" s="223">
        <f>Source!AA32</f>
        <v>0</v>
      </c>
      <c r="T47" s="216">
        <f>IF(Devise=DeviseInterne,Source!AB32,Source!AC32)</f>
        <v>0</v>
      </c>
      <c r="U47" s="57"/>
      <c r="V47" s="78"/>
      <c r="W47" s="78"/>
      <c r="X47" s="41"/>
      <c r="Y47" s="42"/>
    </row>
    <row r="48" spans="1:25" s="43" customFormat="1" ht="30" customHeight="1" thickTop="1" thickBot="1">
      <c r="A48" s="68"/>
      <c r="B48" s="440">
        <f>Source!G33</f>
        <v>0</v>
      </c>
      <c r="C48" s="441">
        <f>Source!C33</f>
        <v>0</v>
      </c>
      <c r="D48" s="442">
        <f>Source!D33</f>
        <v>0</v>
      </c>
      <c r="E48" s="443">
        <f>Source!J33</f>
        <v>0</v>
      </c>
      <c r="F48" s="444">
        <f>Source!B33</f>
        <v>0</v>
      </c>
      <c r="G48" s="445">
        <f>Source!K33</f>
        <v>0</v>
      </c>
      <c r="H48" s="444">
        <f>Source!L33</f>
        <v>0</v>
      </c>
      <c r="I48" s="444">
        <f>Source!M33</f>
        <v>0</v>
      </c>
      <c r="J48" s="444">
        <f>Source!N33</f>
        <v>0</v>
      </c>
      <c r="K48" s="446">
        <f>Source!O33</f>
        <v>0</v>
      </c>
      <c r="L48" s="446">
        <f>Source!P33</f>
        <v>0</v>
      </c>
      <c r="M48" s="446">
        <f>Source!Q33</f>
        <v>0</v>
      </c>
      <c r="N48" s="447">
        <f>Source!U33</f>
        <v>0</v>
      </c>
      <c r="O48" s="448">
        <f>Source!V33</f>
        <v>0</v>
      </c>
      <c r="P48" s="449"/>
      <c r="Q48" s="450">
        <f>Source!X33</f>
        <v>0</v>
      </c>
      <c r="R48" s="215">
        <f>Source!Z33</f>
        <v>0</v>
      </c>
      <c r="S48" s="223">
        <f>Source!AA33</f>
        <v>0</v>
      </c>
      <c r="T48" s="216">
        <f>IF(Devise=DeviseInterne,Source!AB33,Source!AC33)</f>
        <v>0</v>
      </c>
      <c r="U48" s="57"/>
      <c r="V48" s="78"/>
      <c r="W48" s="78"/>
      <c r="X48" s="41"/>
      <c r="Y48" s="42"/>
    </row>
    <row r="49" spans="1:25" s="43" customFormat="1" ht="30" customHeight="1" thickTop="1" thickBot="1">
      <c r="A49" s="68"/>
      <c r="B49" s="440">
        <f>Source!G34</f>
        <v>0</v>
      </c>
      <c r="C49" s="441">
        <f>Source!C34</f>
        <v>0</v>
      </c>
      <c r="D49" s="442">
        <f>Source!D34</f>
        <v>0</v>
      </c>
      <c r="E49" s="443">
        <f>Source!J34</f>
        <v>0</v>
      </c>
      <c r="F49" s="444">
        <f>Source!B34</f>
        <v>0</v>
      </c>
      <c r="G49" s="445">
        <f>Source!K34</f>
        <v>0</v>
      </c>
      <c r="H49" s="444">
        <f>Source!L34</f>
        <v>0</v>
      </c>
      <c r="I49" s="444">
        <f>Source!M34</f>
        <v>0</v>
      </c>
      <c r="J49" s="444">
        <f>Source!N34</f>
        <v>0</v>
      </c>
      <c r="K49" s="446">
        <f>Source!O34</f>
        <v>0</v>
      </c>
      <c r="L49" s="446">
        <f>Source!P34</f>
        <v>0</v>
      </c>
      <c r="M49" s="446">
        <f>Source!Q34</f>
        <v>0</v>
      </c>
      <c r="N49" s="447">
        <f>Source!U34</f>
        <v>0</v>
      </c>
      <c r="O49" s="448">
        <f>Source!V34</f>
        <v>0</v>
      </c>
      <c r="P49" s="449"/>
      <c r="Q49" s="450">
        <f>Source!X34</f>
        <v>0</v>
      </c>
      <c r="R49" s="215">
        <f>Source!Z34</f>
        <v>0</v>
      </c>
      <c r="S49" s="223">
        <f>Source!AA34</f>
        <v>0</v>
      </c>
      <c r="T49" s="216">
        <f>IF(Devise=DeviseInterne,Source!AB34,Source!AC34)</f>
        <v>0</v>
      </c>
      <c r="U49" s="57"/>
      <c r="V49" s="78"/>
      <c r="W49" s="78"/>
      <c r="X49" s="41"/>
      <c r="Y49" s="42"/>
    </row>
    <row r="50" spans="1:25" s="43" customFormat="1" ht="30" customHeight="1" thickTop="1" thickBot="1">
      <c r="A50" s="68"/>
      <c r="B50" s="440">
        <f>Source!G35</f>
        <v>0</v>
      </c>
      <c r="C50" s="441">
        <f>Source!C35</f>
        <v>0</v>
      </c>
      <c r="D50" s="442">
        <f>Source!D35</f>
        <v>0</v>
      </c>
      <c r="E50" s="443">
        <f>Source!J35</f>
        <v>0</v>
      </c>
      <c r="F50" s="444">
        <f>Source!B35</f>
        <v>0</v>
      </c>
      <c r="G50" s="445">
        <f>Source!K35</f>
        <v>0</v>
      </c>
      <c r="H50" s="444">
        <f>Source!L35</f>
        <v>0</v>
      </c>
      <c r="I50" s="444">
        <f>Source!M35</f>
        <v>0</v>
      </c>
      <c r="J50" s="444">
        <f>Source!N35</f>
        <v>0</v>
      </c>
      <c r="K50" s="446">
        <f>Source!O35</f>
        <v>0</v>
      </c>
      <c r="L50" s="446">
        <f>Source!P35</f>
        <v>0</v>
      </c>
      <c r="M50" s="446">
        <f>Source!Q35</f>
        <v>0</v>
      </c>
      <c r="N50" s="447">
        <f>Source!U35</f>
        <v>0</v>
      </c>
      <c r="O50" s="448">
        <f>Source!V35</f>
        <v>0</v>
      </c>
      <c r="P50" s="449"/>
      <c r="Q50" s="450">
        <f>Source!X35</f>
        <v>0</v>
      </c>
      <c r="R50" s="215">
        <f>Source!Z35</f>
        <v>0</v>
      </c>
      <c r="S50" s="223">
        <f>Source!AA35</f>
        <v>0</v>
      </c>
      <c r="T50" s="216">
        <f>IF(Devise=DeviseInterne,Source!AB35,Source!AC35)</f>
        <v>0</v>
      </c>
      <c r="U50" s="57"/>
      <c r="V50" s="78"/>
      <c r="W50" s="78"/>
      <c r="X50" s="41"/>
      <c r="Y50" s="42"/>
    </row>
    <row r="51" spans="1:25" s="43" customFormat="1" ht="30" customHeight="1" thickTop="1" thickBot="1">
      <c r="A51" s="68"/>
      <c r="B51" s="440">
        <f>Source!G36</f>
        <v>0</v>
      </c>
      <c r="C51" s="441">
        <f>Source!C36</f>
        <v>0</v>
      </c>
      <c r="D51" s="442">
        <f>Source!D36</f>
        <v>0</v>
      </c>
      <c r="E51" s="443">
        <f>Source!J36</f>
        <v>0</v>
      </c>
      <c r="F51" s="444">
        <f>Source!B36</f>
        <v>0</v>
      </c>
      <c r="G51" s="445">
        <f>Source!K36</f>
        <v>0</v>
      </c>
      <c r="H51" s="444">
        <f>Source!L36</f>
        <v>0</v>
      </c>
      <c r="I51" s="444">
        <f>Source!M36</f>
        <v>0</v>
      </c>
      <c r="J51" s="444">
        <f>Source!N36</f>
        <v>0</v>
      </c>
      <c r="K51" s="446">
        <f>Source!O36</f>
        <v>0</v>
      </c>
      <c r="L51" s="446">
        <f>Source!P36</f>
        <v>0</v>
      </c>
      <c r="M51" s="446">
        <f>Source!Q36</f>
        <v>0</v>
      </c>
      <c r="N51" s="447">
        <f>Source!U36</f>
        <v>0</v>
      </c>
      <c r="O51" s="448">
        <f>Source!V36</f>
        <v>0</v>
      </c>
      <c r="P51" s="449"/>
      <c r="Q51" s="450">
        <f>Source!X36</f>
        <v>0</v>
      </c>
      <c r="R51" s="215">
        <f>Source!Z36</f>
        <v>0</v>
      </c>
      <c r="S51" s="223">
        <f>Source!AA36</f>
        <v>0</v>
      </c>
      <c r="T51" s="216">
        <f>IF(Devise=DeviseInterne,Source!AB36,Source!AC36)</f>
        <v>0</v>
      </c>
      <c r="U51" s="57"/>
      <c r="V51" s="78"/>
      <c r="W51" s="78"/>
      <c r="X51" s="41"/>
      <c r="Y51" s="42"/>
    </row>
    <row r="52" spans="1:25" s="43" customFormat="1" ht="30" customHeight="1" thickTop="1" thickBot="1">
      <c r="A52" s="68"/>
      <c r="B52" s="440">
        <f>Source!G37</f>
        <v>0</v>
      </c>
      <c r="C52" s="441">
        <f>Source!C37</f>
        <v>0</v>
      </c>
      <c r="D52" s="442">
        <f>Source!D37</f>
        <v>0</v>
      </c>
      <c r="E52" s="443">
        <f>Source!J37</f>
        <v>0</v>
      </c>
      <c r="F52" s="444">
        <f>Source!B37</f>
        <v>0</v>
      </c>
      <c r="G52" s="445">
        <f>Source!K37</f>
        <v>0</v>
      </c>
      <c r="H52" s="444">
        <f>Source!L37</f>
        <v>0</v>
      </c>
      <c r="I52" s="444">
        <f>Source!M37</f>
        <v>0</v>
      </c>
      <c r="J52" s="444">
        <f>Source!N37</f>
        <v>0</v>
      </c>
      <c r="K52" s="446">
        <f>Source!O37</f>
        <v>0</v>
      </c>
      <c r="L52" s="446">
        <f>Source!P37</f>
        <v>0</v>
      </c>
      <c r="M52" s="446">
        <f>Source!Q37</f>
        <v>0</v>
      </c>
      <c r="N52" s="447">
        <f>Source!U37</f>
        <v>0</v>
      </c>
      <c r="O52" s="448">
        <f>Source!V37</f>
        <v>0</v>
      </c>
      <c r="P52" s="449"/>
      <c r="Q52" s="450">
        <f>Source!X37</f>
        <v>0</v>
      </c>
      <c r="R52" s="215">
        <f>Source!Z37</f>
        <v>0</v>
      </c>
      <c r="S52" s="223">
        <f>Source!AA37</f>
        <v>0</v>
      </c>
      <c r="T52" s="216">
        <f>IF(Devise=DeviseInterne,Source!AB37,Source!AC37)</f>
        <v>0</v>
      </c>
      <c r="U52" s="57"/>
      <c r="V52" s="78"/>
      <c r="W52" s="78"/>
      <c r="X52" s="41"/>
      <c r="Y52" s="42"/>
    </row>
    <row r="53" spans="1:25" s="43" customFormat="1" ht="30" customHeight="1" thickTop="1" thickBot="1">
      <c r="A53" s="68"/>
      <c r="B53" s="440">
        <f>Source!G38</f>
        <v>0</v>
      </c>
      <c r="C53" s="441">
        <f>Source!C38</f>
        <v>0</v>
      </c>
      <c r="D53" s="442">
        <f>Source!D38</f>
        <v>0</v>
      </c>
      <c r="E53" s="443">
        <f>Source!J38</f>
        <v>0</v>
      </c>
      <c r="F53" s="444">
        <f>Source!B38</f>
        <v>0</v>
      </c>
      <c r="G53" s="445">
        <f>Source!K38</f>
        <v>0</v>
      </c>
      <c r="H53" s="444">
        <f>Source!L38</f>
        <v>0</v>
      </c>
      <c r="I53" s="444">
        <f>Source!M38</f>
        <v>0</v>
      </c>
      <c r="J53" s="444">
        <f>Source!N38</f>
        <v>0</v>
      </c>
      <c r="K53" s="446">
        <f>Source!O38</f>
        <v>0</v>
      </c>
      <c r="L53" s="446">
        <f>Source!P38</f>
        <v>0</v>
      </c>
      <c r="M53" s="446">
        <f>Source!Q38</f>
        <v>0</v>
      </c>
      <c r="N53" s="447">
        <f>Source!U38</f>
        <v>0</v>
      </c>
      <c r="O53" s="448">
        <f>Source!V38</f>
        <v>0</v>
      </c>
      <c r="P53" s="449"/>
      <c r="Q53" s="450">
        <f>Source!X38</f>
        <v>0</v>
      </c>
      <c r="R53" s="215">
        <f>Source!Z38</f>
        <v>0</v>
      </c>
      <c r="S53" s="223">
        <f>Source!AA38</f>
        <v>0</v>
      </c>
      <c r="T53" s="216">
        <f>IF(Devise=DeviseInterne,Source!AB38,Source!AC38)</f>
        <v>0</v>
      </c>
      <c r="U53" s="57"/>
      <c r="V53" s="78"/>
      <c r="W53" s="78"/>
      <c r="X53" s="41"/>
      <c r="Y53" s="42"/>
    </row>
    <row r="54" spans="1:25" s="43" customFormat="1" ht="30" customHeight="1" thickTop="1" thickBot="1">
      <c r="A54" s="68"/>
      <c r="B54" s="440">
        <f>Source!G39</f>
        <v>0</v>
      </c>
      <c r="C54" s="441">
        <f>Source!C39</f>
        <v>0</v>
      </c>
      <c r="D54" s="442">
        <f>Source!D39</f>
        <v>0</v>
      </c>
      <c r="E54" s="443">
        <f>Source!J39</f>
        <v>0</v>
      </c>
      <c r="F54" s="444">
        <f>Source!B39</f>
        <v>0</v>
      </c>
      <c r="G54" s="445">
        <f>Source!K39</f>
        <v>0</v>
      </c>
      <c r="H54" s="444">
        <f>Source!L39</f>
        <v>0</v>
      </c>
      <c r="I54" s="444">
        <f>Source!M39</f>
        <v>0</v>
      </c>
      <c r="J54" s="444">
        <f>Source!N39</f>
        <v>0</v>
      </c>
      <c r="K54" s="446">
        <f>Source!O39</f>
        <v>0</v>
      </c>
      <c r="L54" s="446">
        <f>Source!P39</f>
        <v>0</v>
      </c>
      <c r="M54" s="446">
        <f>Source!Q39</f>
        <v>0</v>
      </c>
      <c r="N54" s="447">
        <f>Source!U39</f>
        <v>0</v>
      </c>
      <c r="O54" s="448">
        <f>Source!V39</f>
        <v>0</v>
      </c>
      <c r="P54" s="449"/>
      <c r="Q54" s="450">
        <f>Source!X39</f>
        <v>0</v>
      </c>
      <c r="R54" s="215">
        <f>Source!Z39</f>
        <v>0</v>
      </c>
      <c r="S54" s="223">
        <f>Source!AA39</f>
        <v>0</v>
      </c>
      <c r="T54" s="216">
        <f>IF(Devise=DeviseInterne,Source!AB39,Source!AC39)</f>
        <v>0</v>
      </c>
      <c r="U54" s="57"/>
      <c r="V54" s="78"/>
      <c r="W54" s="78"/>
      <c r="X54" s="41"/>
      <c r="Y54" s="42"/>
    </row>
    <row r="55" spans="1:25" s="43" customFormat="1" ht="30" customHeight="1" thickTop="1" thickBot="1">
      <c r="A55" s="68"/>
      <c r="B55" s="440">
        <f>Source!G40</f>
        <v>0</v>
      </c>
      <c r="C55" s="441">
        <f>Source!C40</f>
        <v>0</v>
      </c>
      <c r="D55" s="442">
        <f>Source!D40</f>
        <v>0</v>
      </c>
      <c r="E55" s="443">
        <f>Source!J40</f>
        <v>0</v>
      </c>
      <c r="F55" s="444">
        <f>Source!B40</f>
        <v>0</v>
      </c>
      <c r="G55" s="445">
        <f>Source!K40</f>
        <v>0</v>
      </c>
      <c r="H55" s="444">
        <f>Source!L40</f>
        <v>0</v>
      </c>
      <c r="I55" s="444">
        <f>Source!M40</f>
        <v>0</v>
      </c>
      <c r="J55" s="444">
        <f>Source!N40</f>
        <v>0</v>
      </c>
      <c r="K55" s="446">
        <f>Source!O40</f>
        <v>0</v>
      </c>
      <c r="L55" s="446">
        <f>Source!P40</f>
        <v>0</v>
      </c>
      <c r="M55" s="446">
        <f>Source!Q40</f>
        <v>0</v>
      </c>
      <c r="N55" s="447">
        <f>Source!U40</f>
        <v>0</v>
      </c>
      <c r="O55" s="448">
        <f>Source!V40</f>
        <v>0</v>
      </c>
      <c r="P55" s="449"/>
      <c r="Q55" s="450">
        <f>Source!X40</f>
        <v>0</v>
      </c>
      <c r="R55" s="215">
        <f>Source!Z40</f>
        <v>0</v>
      </c>
      <c r="S55" s="223">
        <f>Source!AA40</f>
        <v>0</v>
      </c>
      <c r="T55" s="216">
        <f>IF(Devise=DeviseInterne,Source!AB40,Source!AC40)</f>
        <v>0</v>
      </c>
      <c r="U55" s="57"/>
      <c r="V55" s="78"/>
      <c r="W55" s="78"/>
      <c r="X55" s="41"/>
      <c r="Y55" s="42"/>
    </row>
    <row r="56" spans="1:25" s="43" customFormat="1" ht="30" customHeight="1" thickTop="1" thickBot="1">
      <c r="A56" s="68"/>
      <c r="B56" s="440">
        <f>Source!G41</f>
        <v>0</v>
      </c>
      <c r="C56" s="441">
        <f>Source!C41</f>
        <v>0</v>
      </c>
      <c r="D56" s="442">
        <f>Source!D41</f>
        <v>0</v>
      </c>
      <c r="E56" s="443">
        <f>Source!J41</f>
        <v>0</v>
      </c>
      <c r="F56" s="444">
        <f>Source!B41</f>
        <v>0</v>
      </c>
      <c r="G56" s="445">
        <f>Source!K41</f>
        <v>0</v>
      </c>
      <c r="H56" s="444">
        <f>Source!L41</f>
        <v>0</v>
      </c>
      <c r="I56" s="444">
        <f>Source!M41</f>
        <v>0</v>
      </c>
      <c r="J56" s="444">
        <f>Source!N41</f>
        <v>0</v>
      </c>
      <c r="K56" s="446">
        <f>Source!O41</f>
        <v>0</v>
      </c>
      <c r="L56" s="446">
        <f>Source!P41</f>
        <v>0</v>
      </c>
      <c r="M56" s="446">
        <f>Source!Q41</f>
        <v>0</v>
      </c>
      <c r="N56" s="447">
        <f>Source!U41</f>
        <v>0</v>
      </c>
      <c r="O56" s="448">
        <f>Source!V41</f>
        <v>0</v>
      </c>
      <c r="P56" s="449"/>
      <c r="Q56" s="450">
        <f>Source!X41</f>
        <v>0</v>
      </c>
      <c r="R56" s="215">
        <f>Source!Z41</f>
        <v>0</v>
      </c>
      <c r="S56" s="223">
        <f>Source!AA41</f>
        <v>0</v>
      </c>
      <c r="T56" s="216">
        <f>IF(Devise=DeviseInterne,Source!AB41,Source!AC41)</f>
        <v>0</v>
      </c>
      <c r="U56" s="57"/>
      <c r="V56" s="78"/>
      <c r="W56" s="78"/>
      <c r="X56" s="41"/>
      <c r="Y56" s="42"/>
    </row>
    <row r="57" spans="1:25" s="43" customFormat="1" ht="30" customHeight="1" thickTop="1" thickBot="1">
      <c r="A57" s="68"/>
      <c r="B57" s="440">
        <f>Source!G42</f>
        <v>0</v>
      </c>
      <c r="C57" s="441">
        <f>Source!C42</f>
        <v>0</v>
      </c>
      <c r="D57" s="442">
        <f>Source!D42</f>
        <v>0</v>
      </c>
      <c r="E57" s="443">
        <f>Source!J42</f>
        <v>0</v>
      </c>
      <c r="F57" s="444">
        <f>Source!B42</f>
        <v>0</v>
      </c>
      <c r="G57" s="445">
        <f>Source!K42</f>
        <v>0</v>
      </c>
      <c r="H57" s="444">
        <f>Source!L42</f>
        <v>0</v>
      </c>
      <c r="I57" s="444">
        <f>Source!M42</f>
        <v>0</v>
      </c>
      <c r="J57" s="444">
        <f>Source!N42</f>
        <v>0</v>
      </c>
      <c r="K57" s="446">
        <f>Source!O42</f>
        <v>0</v>
      </c>
      <c r="L57" s="446">
        <f>Source!P42</f>
        <v>0</v>
      </c>
      <c r="M57" s="446">
        <f>Source!Q42</f>
        <v>0</v>
      </c>
      <c r="N57" s="447">
        <f>Source!U42</f>
        <v>0</v>
      </c>
      <c r="O57" s="448">
        <f>Source!V42</f>
        <v>0</v>
      </c>
      <c r="P57" s="449"/>
      <c r="Q57" s="450">
        <f>Source!X42</f>
        <v>0</v>
      </c>
      <c r="R57" s="215">
        <f>Source!Z42</f>
        <v>0</v>
      </c>
      <c r="S57" s="223">
        <f>Source!AA42</f>
        <v>0</v>
      </c>
      <c r="T57" s="216">
        <f>IF(Devise=DeviseInterne,Source!AB42,Source!AC42)</f>
        <v>0</v>
      </c>
      <c r="U57" s="57"/>
      <c r="V57" s="78"/>
      <c r="W57" s="78"/>
      <c r="X57" s="41"/>
      <c r="Y57" s="42"/>
    </row>
    <row r="58" spans="1:25" s="43" customFormat="1" ht="30" customHeight="1" thickTop="1" thickBot="1">
      <c r="A58" s="68"/>
      <c r="B58" s="440">
        <f>Source!G43</f>
        <v>0</v>
      </c>
      <c r="C58" s="441">
        <f>Source!C43</f>
        <v>0</v>
      </c>
      <c r="D58" s="442">
        <f>Source!D43</f>
        <v>0</v>
      </c>
      <c r="E58" s="443">
        <f>Source!J43</f>
        <v>0</v>
      </c>
      <c r="F58" s="444">
        <f>Source!B43</f>
        <v>0</v>
      </c>
      <c r="G58" s="445">
        <f>Source!K43</f>
        <v>0</v>
      </c>
      <c r="H58" s="444">
        <f>Source!L43</f>
        <v>0</v>
      </c>
      <c r="I58" s="444">
        <f>Source!M43</f>
        <v>0</v>
      </c>
      <c r="J58" s="444">
        <f>Source!N43</f>
        <v>0</v>
      </c>
      <c r="K58" s="446">
        <f>Source!O43</f>
        <v>0</v>
      </c>
      <c r="L58" s="446">
        <f>Source!P43</f>
        <v>0</v>
      </c>
      <c r="M58" s="446">
        <f>Source!Q43</f>
        <v>0</v>
      </c>
      <c r="N58" s="447">
        <f>Source!U43</f>
        <v>0</v>
      </c>
      <c r="O58" s="448">
        <f>Source!V43</f>
        <v>0</v>
      </c>
      <c r="P58" s="449"/>
      <c r="Q58" s="450">
        <f>Source!X43</f>
        <v>0</v>
      </c>
      <c r="R58" s="215">
        <f>Source!Z43</f>
        <v>0</v>
      </c>
      <c r="S58" s="223">
        <f>Source!AA43</f>
        <v>0</v>
      </c>
      <c r="T58" s="216">
        <f>IF(Devise=DeviseInterne,Source!AB43,Source!AC43)</f>
        <v>0</v>
      </c>
      <c r="U58" s="57"/>
      <c r="V58" s="78"/>
      <c r="W58" s="78"/>
      <c r="X58" s="41"/>
      <c r="Y58" s="42"/>
    </row>
    <row r="59" spans="1:25" s="43" customFormat="1" ht="30" customHeight="1" thickTop="1" thickBot="1">
      <c r="A59" s="68"/>
      <c r="B59" s="440">
        <f>Source!G44</f>
        <v>0</v>
      </c>
      <c r="C59" s="441">
        <f>Source!C44</f>
        <v>0</v>
      </c>
      <c r="D59" s="442">
        <f>Source!D44</f>
        <v>0</v>
      </c>
      <c r="E59" s="443">
        <f>Source!J44</f>
        <v>0</v>
      </c>
      <c r="F59" s="444">
        <f>Source!B44</f>
        <v>0</v>
      </c>
      <c r="G59" s="445">
        <f>Source!K44</f>
        <v>0</v>
      </c>
      <c r="H59" s="444">
        <f>Source!L44</f>
        <v>0</v>
      </c>
      <c r="I59" s="444">
        <f>Source!M44</f>
        <v>0</v>
      </c>
      <c r="J59" s="444">
        <f>Source!N44</f>
        <v>0</v>
      </c>
      <c r="K59" s="446">
        <f>Source!O44</f>
        <v>0</v>
      </c>
      <c r="L59" s="446">
        <f>Source!P44</f>
        <v>0</v>
      </c>
      <c r="M59" s="446">
        <f>Source!Q44</f>
        <v>0</v>
      </c>
      <c r="N59" s="447">
        <f>Source!U44</f>
        <v>0</v>
      </c>
      <c r="O59" s="448">
        <f>Source!V44</f>
        <v>0</v>
      </c>
      <c r="P59" s="449"/>
      <c r="Q59" s="450">
        <f>Source!X44</f>
        <v>0</v>
      </c>
      <c r="R59" s="215">
        <f>Source!Z44</f>
        <v>0</v>
      </c>
      <c r="S59" s="223">
        <f>Source!AA44</f>
        <v>0</v>
      </c>
      <c r="T59" s="216">
        <f>IF(Devise=DeviseInterne,Source!AB44,Source!AC44)</f>
        <v>0</v>
      </c>
      <c r="U59" s="57"/>
      <c r="V59" s="78"/>
      <c r="W59" s="78"/>
      <c r="X59" s="41"/>
      <c r="Y59" s="42"/>
    </row>
    <row r="60" spans="1:25" s="43" customFormat="1" ht="30" customHeight="1" thickTop="1" thickBot="1">
      <c r="A60" s="68"/>
      <c r="B60" s="440">
        <f>Source!G45</f>
        <v>0</v>
      </c>
      <c r="C60" s="441">
        <f>Source!C45</f>
        <v>0</v>
      </c>
      <c r="D60" s="442">
        <f>Source!D45</f>
        <v>0</v>
      </c>
      <c r="E60" s="443">
        <f>Source!J45</f>
        <v>0</v>
      </c>
      <c r="F60" s="444">
        <f>Source!B45</f>
        <v>0</v>
      </c>
      <c r="G60" s="445">
        <f>Source!K45</f>
        <v>0</v>
      </c>
      <c r="H60" s="444">
        <f>Source!L45</f>
        <v>0</v>
      </c>
      <c r="I60" s="444">
        <f>Source!M45</f>
        <v>0</v>
      </c>
      <c r="J60" s="444">
        <f>Source!N45</f>
        <v>0</v>
      </c>
      <c r="K60" s="446">
        <f>Source!O45</f>
        <v>0</v>
      </c>
      <c r="L60" s="446">
        <f>Source!P45</f>
        <v>0</v>
      </c>
      <c r="M60" s="446">
        <f>Source!Q45</f>
        <v>0</v>
      </c>
      <c r="N60" s="447">
        <f>Source!U45</f>
        <v>0</v>
      </c>
      <c r="O60" s="448">
        <f>Source!V45</f>
        <v>0</v>
      </c>
      <c r="P60" s="449"/>
      <c r="Q60" s="450">
        <f>Source!X45</f>
        <v>0</v>
      </c>
      <c r="R60" s="215">
        <f>Source!Z45</f>
        <v>0</v>
      </c>
      <c r="S60" s="223">
        <f>Source!AA45</f>
        <v>0</v>
      </c>
      <c r="T60" s="216">
        <f>IF(Devise=DeviseInterne,Source!AB45,Source!AC45)</f>
        <v>0</v>
      </c>
      <c r="U60" s="57"/>
      <c r="V60" s="78"/>
      <c r="W60" s="78"/>
      <c r="X60" s="41"/>
      <c r="Y60" s="42"/>
    </row>
    <row r="61" spans="1:25" s="43" customFormat="1" ht="30" customHeight="1" thickTop="1" thickBot="1">
      <c r="A61" s="68"/>
      <c r="B61" s="440">
        <f>Source!G46</f>
        <v>0</v>
      </c>
      <c r="C61" s="441">
        <f>Source!C46</f>
        <v>0</v>
      </c>
      <c r="D61" s="442">
        <f>Source!D46</f>
        <v>0</v>
      </c>
      <c r="E61" s="443">
        <f>Source!J46</f>
        <v>0</v>
      </c>
      <c r="F61" s="444">
        <f>Source!B46</f>
        <v>0</v>
      </c>
      <c r="G61" s="445">
        <f>Source!K46</f>
        <v>0</v>
      </c>
      <c r="H61" s="444">
        <f>Source!L46</f>
        <v>0</v>
      </c>
      <c r="I61" s="444">
        <f>Source!M46</f>
        <v>0</v>
      </c>
      <c r="J61" s="444">
        <f>Source!N46</f>
        <v>0</v>
      </c>
      <c r="K61" s="446">
        <f>Source!O46</f>
        <v>0</v>
      </c>
      <c r="L61" s="446">
        <f>Source!P46</f>
        <v>0</v>
      </c>
      <c r="M61" s="446">
        <f>Source!Q46</f>
        <v>0</v>
      </c>
      <c r="N61" s="447">
        <f>Source!U46</f>
        <v>0</v>
      </c>
      <c r="O61" s="448">
        <f>Source!V46</f>
        <v>0</v>
      </c>
      <c r="P61" s="449"/>
      <c r="Q61" s="450">
        <f>Source!X46</f>
        <v>0</v>
      </c>
      <c r="R61" s="215">
        <f>Source!Z46</f>
        <v>0</v>
      </c>
      <c r="S61" s="223">
        <f>Source!AA46</f>
        <v>0</v>
      </c>
      <c r="T61" s="216">
        <f>IF(Devise=DeviseInterne,Source!AB46,Source!AC46)</f>
        <v>0</v>
      </c>
      <c r="U61" s="57"/>
      <c r="V61" s="78"/>
      <c r="W61" s="78"/>
      <c r="X61" s="41"/>
      <c r="Y61" s="42"/>
    </row>
    <row r="62" spans="1:25" s="43" customFormat="1" ht="30" customHeight="1" thickTop="1" thickBot="1">
      <c r="A62" s="68"/>
      <c r="B62" s="440">
        <f>Source!G47</f>
        <v>0</v>
      </c>
      <c r="C62" s="441">
        <f>Source!C47</f>
        <v>0</v>
      </c>
      <c r="D62" s="442">
        <f>Source!D47</f>
        <v>0</v>
      </c>
      <c r="E62" s="443">
        <f>Source!J47</f>
        <v>0</v>
      </c>
      <c r="F62" s="444">
        <f>Source!B47</f>
        <v>0</v>
      </c>
      <c r="G62" s="445">
        <f>Source!K47</f>
        <v>0</v>
      </c>
      <c r="H62" s="444">
        <f>Source!L47</f>
        <v>0</v>
      </c>
      <c r="I62" s="444">
        <f>Source!M47</f>
        <v>0</v>
      </c>
      <c r="J62" s="444">
        <f>Source!N47</f>
        <v>0</v>
      </c>
      <c r="K62" s="446">
        <f>Source!O47</f>
        <v>0</v>
      </c>
      <c r="L62" s="446">
        <f>Source!P47</f>
        <v>0</v>
      </c>
      <c r="M62" s="446">
        <f>Source!Q47</f>
        <v>0</v>
      </c>
      <c r="N62" s="447">
        <f>Source!U47</f>
        <v>0</v>
      </c>
      <c r="O62" s="448">
        <f>Source!V47</f>
        <v>0</v>
      </c>
      <c r="P62" s="449"/>
      <c r="Q62" s="450">
        <f>Source!X47</f>
        <v>0</v>
      </c>
      <c r="R62" s="215">
        <f>Source!Z47</f>
        <v>0</v>
      </c>
      <c r="S62" s="223">
        <f>Source!AA47</f>
        <v>0</v>
      </c>
      <c r="T62" s="216">
        <f>IF(Devise=DeviseInterne,Source!AB47,Source!AC47)</f>
        <v>0</v>
      </c>
      <c r="U62" s="57"/>
      <c r="V62" s="78"/>
      <c r="W62" s="78"/>
      <c r="X62" s="41"/>
      <c r="Y62" s="42"/>
    </row>
    <row r="63" spans="1:25" s="43" customFormat="1" ht="30" customHeight="1" thickTop="1" thickBot="1">
      <c r="A63" s="68"/>
      <c r="B63" s="440">
        <f>Source!G48</f>
        <v>0</v>
      </c>
      <c r="C63" s="441">
        <f>Source!C48</f>
        <v>0</v>
      </c>
      <c r="D63" s="442">
        <f>Source!D48</f>
        <v>0</v>
      </c>
      <c r="E63" s="443">
        <f>Source!J48</f>
        <v>0</v>
      </c>
      <c r="F63" s="444">
        <f>Source!B48</f>
        <v>0</v>
      </c>
      <c r="G63" s="445">
        <f>Source!K48</f>
        <v>0</v>
      </c>
      <c r="H63" s="444">
        <f>Source!L48</f>
        <v>0</v>
      </c>
      <c r="I63" s="444">
        <f>Source!M48</f>
        <v>0</v>
      </c>
      <c r="J63" s="444">
        <f>Source!N48</f>
        <v>0</v>
      </c>
      <c r="K63" s="446">
        <f>Source!O48</f>
        <v>0</v>
      </c>
      <c r="L63" s="446">
        <f>Source!P48</f>
        <v>0</v>
      </c>
      <c r="M63" s="446">
        <f>Source!Q48</f>
        <v>0</v>
      </c>
      <c r="N63" s="447">
        <f>Source!U48</f>
        <v>0</v>
      </c>
      <c r="O63" s="448">
        <f>Source!V48</f>
        <v>0</v>
      </c>
      <c r="P63" s="449"/>
      <c r="Q63" s="450">
        <f>Source!X48</f>
        <v>0</v>
      </c>
      <c r="R63" s="215">
        <f>Source!Z48</f>
        <v>0</v>
      </c>
      <c r="S63" s="223">
        <f>Source!AA48</f>
        <v>0</v>
      </c>
      <c r="T63" s="216">
        <f>IF(Devise=DeviseInterne,Source!AB48,Source!AC48)</f>
        <v>0</v>
      </c>
      <c r="U63" s="57"/>
      <c r="V63" s="78"/>
      <c r="W63" s="78"/>
      <c r="X63" s="41"/>
      <c r="Y63" s="42"/>
    </row>
    <row r="64" spans="1:25" s="43" customFormat="1" ht="30" customHeight="1" thickTop="1" thickBot="1">
      <c r="A64" s="68"/>
      <c r="B64" s="440">
        <f>Source!G49</f>
        <v>0</v>
      </c>
      <c r="C64" s="441">
        <f>Source!C49</f>
        <v>0</v>
      </c>
      <c r="D64" s="442">
        <f>Source!D49</f>
        <v>0</v>
      </c>
      <c r="E64" s="443">
        <f>Source!J49</f>
        <v>0</v>
      </c>
      <c r="F64" s="444">
        <f>Source!B49</f>
        <v>0</v>
      </c>
      <c r="G64" s="445">
        <f>Source!K49</f>
        <v>0</v>
      </c>
      <c r="H64" s="444">
        <f>Source!L49</f>
        <v>0</v>
      </c>
      <c r="I64" s="444">
        <f>Source!M49</f>
        <v>0</v>
      </c>
      <c r="J64" s="444">
        <f>Source!N49</f>
        <v>0</v>
      </c>
      <c r="K64" s="446">
        <f>Source!O49</f>
        <v>0</v>
      </c>
      <c r="L64" s="446">
        <f>Source!P49</f>
        <v>0</v>
      </c>
      <c r="M64" s="446">
        <f>Source!Q49</f>
        <v>0</v>
      </c>
      <c r="N64" s="447">
        <f>Source!U49</f>
        <v>0</v>
      </c>
      <c r="O64" s="448">
        <f>Source!V49</f>
        <v>0</v>
      </c>
      <c r="P64" s="449"/>
      <c r="Q64" s="450">
        <f>Source!X49</f>
        <v>0</v>
      </c>
      <c r="R64" s="215">
        <f>Source!Z49</f>
        <v>0</v>
      </c>
      <c r="S64" s="223">
        <f>Source!AA49</f>
        <v>0</v>
      </c>
      <c r="T64" s="216">
        <f>IF(Devise=DeviseInterne,Source!AB49,Source!AC49)</f>
        <v>0</v>
      </c>
      <c r="U64" s="57"/>
      <c r="V64" s="78"/>
      <c r="W64" s="78"/>
      <c r="X64" s="41"/>
      <c r="Y64" s="42"/>
    </row>
    <row r="65" spans="1:25" s="43" customFormat="1" ht="30" customHeight="1" thickTop="1" thickBot="1">
      <c r="A65" s="68"/>
      <c r="B65" s="440">
        <f>Source!G50</f>
        <v>0</v>
      </c>
      <c r="C65" s="441">
        <f>Source!C50</f>
        <v>0</v>
      </c>
      <c r="D65" s="442">
        <f>Source!D50</f>
        <v>0</v>
      </c>
      <c r="E65" s="443">
        <f>Source!J50</f>
        <v>0</v>
      </c>
      <c r="F65" s="444">
        <f>Source!B50</f>
        <v>0</v>
      </c>
      <c r="G65" s="445">
        <f>Source!K50</f>
        <v>0</v>
      </c>
      <c r="H65" s="444">
        <f>Source!L50</f>
        <v>0</v>
      </c>
      <c r="I65" s="444">
        <f>Source!M50</f>
        <v>0</v>
      </c>
      <c r="J65" s="444">
        <f>Source!N50</f>
        <v>0</v>
      </c>
      <c r="K65" s="446">
        <f>Source!O50</f>
        <v>0</v>
      </c>
      <c r="L65" s="446">
        <f>Source!P50</f>
        <v>0</v>
      </c>
      <c r="M65" s="446">
        <f>Source!Q50</f>
        <v>0</v>
      </c>
      <c r="N65" s="447">
        <f>Source!U50</f>
        <v>0</v>
      </c>
      <c r="O65" s="448">
        <f>Source!V50</f>
        <v>0</v>
      </c>
      <c r="P65" s="449"/>
      <c r="Q65" s="450">
        <f>Source!X50</f>
        <v>0</v>
      </c>
      <c r="R65" s="215">
        <f>Source!Z50</f>
        <v>0</v>
      </c>
      <c r="S65" s="223">
        <f>Source!AA50</f>
        <v>0</v>
      </c>
      <c r="T65" s="216">
        <f>IF(Devise=DeviseInterne,Source!AB50,Source!AC50)</f>
        <v>0</v>
      </c>
      <c r="U65" s="57"/>
      <c r="V65" s="78"/>
      <c r="W65" s="78"/>
      <c r="X65" s="41"/>
      <c r="Y65" s="42"/>
    </row>
    <row r="66" spans="1:25" s="43" customFormat="1" ht="30" customHeight="1" thickTop="1" thickBot="1">
      <c r="A66" s="68"/>
      <c r="B66" s="440">
        <f>Source!G51</f>
        <v>0</v>
      </c>
      <c r="C66" s="441">
        <f>Source!C51</f>
        <v>0</v>
      </c>
      <c r="D66" s="442">
        <f>Source!D51</f>
        <v>0</v>
      </c>
      <c r="E66" s="443">
        <f>Source!J51</f>
        <v>0</v>
      </c>
      <c r="F66" s="444">
        <f>Source!B51</f>
        <v>0</v>
      </c>
      <c r="G66" s="445">
        <f>Source!K51</f>
        <v>0</v>
      </c>
      <c r="H66" s="444">
        <f>Source!L51</f>
        <v>0</v>
      </c>
      <c r="I66" s="444">
        <f>Source!M51</f>
        <v>0</v>
      </c>
      <c r="J66" s="444">
        <f>Source!N51</f>
        <v>0</v>
      </c>
      <c r="K66" s="446">
        <f>Source!O51</f>
        <v>0</v>
      </c>
      <c r="L66" s="446">
        <f>Source!P51</f>
        <v>0</v>
      </c>
      <c r="M66" s="446">
        <f>Source!Q51</f>
        <v>0</v>
      </c>
      <c r="N66" s="447">
        <f>Source!U51</f>
        <v>0</v>
      </c>
      <c r="O66" s="448">
        <f>Source!V51</f>
        <v>0</v>
      </c>
      <c r="P66" s="449"/>
      <c r="Q66" s="450">
        <f>Source!X51</f>
        <v>0</v>
      </c>
      <c r="R66" s="215">
        <f>Source!Z51</f>
        <v>0</v>
      </c>
      <c r="S66" s="223">
        <f>Source!AA51</f>
        <v>0</v>
      </c>
      <c r="T66" s="216">
        <f>IF(Devise=DeviseInterne,Source!AB51,Source!AC51)</f>
        <v>0</v>
      </c>
      <c r="U66" s="57"/>
      <c r="V66" s="78"/>
      <c r="W66" s="78"/>
      <c r="X66" s="41"/>
      <c r="Y66" s="42"/>
    </row>
    <row r="67" spans="1:25" s="43" customFormat="1" ht="30" customHeight="1" thickTop="1" thickBot="1">
      <c r="A67" s="68"/>
      <c r="B67" s="440">
        <f>Source!G52</f>
        <v>0</v>
      </c>
      <c r="C67" s="441">
        <f>Source!C52</f>
        <v>0</v>
      </c>
      <c r="D67" s="442">
        <f>Source!D52</f>
        <v>0</v>
      </c>
      <c r="E67" s="443">
        <f>Source!J52</f>
        <v>0</v>
      </c>
      <c r="F67" s="444">
        <f>Source!B52</f>
        <v>0</v>
      </c>
      <c r="G67" s="445">
        <f>Source!K52</f>
        <v>0</v>
      </c>
      <c r="H67" s="444">
        <f>Source!L52</f>
        <v>0</v>
      </c>
      <c r="I67" s="444">
        <f>Source!M52</f>
        <v>0</v>
      </c>
      <c r="J67" s="444">
        <f>Source!N52</f>
        <v>0</v>
      </c>
      <c r="K67" s="446">
        <f>Source!O52</f>
        <v>0</v>
      </c>
      <c r="L67" s="446">
        <f>Source!P52</f>
        <v>0</v>
      </c>
      <c r="M67" s="446">
        <f>Source!Q52</f>
        <v>0</v>
      </c>
      <c r="N67" s="447">
        <f>Source!U52</f>
        <v>0</v>
      </c>
      <c r="O67" s="448">
        <f>Source!V52</f>
        <v>0</v>
      </c>
      <c r="P67" s="449"/>
      <c r="Q67" s="450">
        <f>Source!X52</f>
        <v>0</v>
      </c>
      <c r="R67" s="215">
        <f>Source!Z52</f>
        <v>0</v>
      </c>
      <c r="S67" s="223">
        <f>Source!AA52</f>
        <v>0</v>
      </c>
      <c r="T67" s="216">
        <f>IF(Devise=DeviseInterne,Source!AB52,Source!AC52)</f>
        <v>0</v>
      </c>
      <c r="U67" s="57"/>
      <c r="V67" s="78"/>
      <c r="W67" s="78"/>
      <c r="X67" s="41"/>
      <c r="Y67" s="42"/>
    </row>
    <row r="68" spans="1:25" s="43" customFormat="1" ht="30" customHeight="1" thickTop="1" thickBot="1">
      <c r="A68" s="68"/>
      <c r="B68" s="440">
        <f>Source!G53</f>
        <v>0</v>
      </c>
      <c r="C68" s="441">
        <f>Source!C53</f>
        <v>0</v>
      </c>
      <c r="D68" s="442">
        <f>Source!D53</f>
        <v>0</v>
      </c>
      <c r="E68" s="443">
        <f>Source!J53</f>
        <v>0</v>
      </c>
      <c r="F68" s="444">
        <f>Source!B53</f>
        <v>0</v>
      </c>
      <c r="G68" s="445">
        <f>Source!K53</f>
        <v>0</v>
      </c>
      <c r="H68" s="444">
        <f>Source!L53</f>
        <v>0</v>
      </c>
      <c r="I68" s="444">
        <f>Source!M53</f>
        <v>0</v>
      </c>
      <c r="J68" s="444">
        <f>Source!N53</f>
        <v>0</v>
      </c>
      <c r="K68" s="446">
        <f>Source!O53</f>
        <v>0</v>
      </c>
      <c r="L68" s="446">
        <f>Source!P53</f>
        <v>0</v>
      </c>
      <c r="M68" s="446">
        <f>Source!Q53</f>
        <v>0</v>
      </c>
      <c r="N68" s="447">
        <f>Source!U53</f>
        <v>0</v>
      </c>
      <c r="O68" s="448">
        <f>Source!V53</f>
        <v>0</v>
      </c>
      <c r="P68" s="449"/>
      <c r="Q68" s="450">
        <f>Source!X53</f>
        <v>0</v>
      </c>
      <c r="R68" s="215">
        <f>Source!Z53</f>
        <v>0</v>
      </c>
      <c r="S68" s="223">
        <f>Source!AA53</f>
        <v>0</v>
      </c>
      <c r="T68" s="216">
        <f>IF(Devise=DeviseInterne,Source!AB53,Source!AC53)</f>
        <v>0</v>
      </c>
      <c r="U68" s="57"/>
      <c r="V68" s="78"/>
      <c r="W68" s="78"/>
      <c r="X68" s="41"/>
      <c r="Y68" s="42"/>
    </row>
    <row r="69" spans="1:25" s="43" customFormat="1" ht="30" customHeight="1" thickTop="1" thickBot="1">
      <c r="A69" s="68"/>
      <c r="B69" s="440">
        <f>Source!G54</f>
        <v>0</v>
      </c>
      <c r="C69" s="441">
        <f>Source!C54</f>
        <v>0</v>
      </c>
      <c r="D69" s="442">
        <f>Source!D54</f>
        <v>0</v>
      </c>
      <c r="E69" s="443">
        <f>Source!J54</f>
        <v>0</v>
      </c>
      <c r="F69" s="444">
        <f>Source!B54</f>
        <v>0</v>
      </c>
      <c r="G69" s="445">
        <f>Source!K54</f>
        <v>0</v>
      </c>
      <c r="H69" s="444">
        <f>Source!L54</f>
        <v>0</v>
      </c>
      <c r="I69" s="444">
        <f>Source!M54</f>
        <v>0</v>
      </c>
      <c r="J69" s="444">
        <f>Source!N54</f>
        <v>0</v>
      </c>
      <c r="K69" s="446">
        <f>Source!O54</f>
        <v>0</v>
      </c>
      <c r="L69" s="446">
        <f>Source!P54</f>
        <v>0</v>
      </c>
      <c r="M69" s="446">
        <f>Source!Q54</f>
        <v>0</v>
      </c>
      <c r="N69" s="447">
        <f>Source!U54</f>
        <v>0</v>
      </c>
      <c r="O69" s="448">
        <f>Source!V54</f>
        <v>0</v>
      </c>
      <c r="P69" s="449"/>
      <c r="Q69" s="450">
        <f>Source!X54</f>
        <v>0</v>
      </c>
      <c r="R69" s="215">
        <f>Source!Z54</f>
        <v>0</v>
      </c>
      <c r="S69" s="223">
        <f>Source!AA54</f>
        <v>0</v>
      </c>
      <c r="T69" s="216">
        <f>IF(Devise=DeviseInterne,Source!AB54,Source!AC54)</f>
        <v>0</v>
      </c>
      <c r="U69" s="57"/>
      <c r="V69" s="78"/>
      <c r="W69" s="78"/>
      <c r="X69" s="41"/>
      <c r="Y69" s="42"/>
    </row>
    <row r="70" spans="1:25" s="43" customFormat="1" ht="30" customHeight="1" thickTop="1" thickBot="1">
      <c r="A70" s="68"/>
      <c r="B70" s="440">
        <f>Source!G55</f>
        <v>0</v>
      </c>
      <c r="C70" s="441">
        <f>Source!C55</f>
        <v>0</v>
      </c>
      <c r="D70" s="442">
        <f>Source!D55</f>
        <v>0</v>
      </c>
      <c r="E70" s="443">
        <f>Source!J55</f>
        <v>0</v>
      </c>
      <c r="F70" s="444">
        <f>Source!B55</f>
        <v>0</v>
      </c>
      <c r="G70" s="445">
        <f>Source!K55</f>
        <v>0</v>
      </c>
      <c r="H70" s="444">
        <f>Source!L55</f>
        <v>0</v>
      </c>
      <c r="I70" s="444">
        <f>Source!M55</f>
        <v>0</v>
      </c>
      <c r="J70" s="444">
        <f>Source!N55</f>
        <v>0</v>
      </c>
      <c r="K70" s="446">
        <f>Source!O55</f>
        <v>0</v>
      </c>
      <c r="L70" s="446">
        <f>Source!P55</f>
        <v>0</v>
      </c>
      <c r="M70" s="446">
        <f>Source!Q55</f>
        <v>0</v>
      </c>
      <c r="N70" s="447">
        <f>Source!U55</f>
        <v>0</v>
      </c>
      <c r="O70" s="448">
        <f>Source!V55</f>
        <v>0</v>
      </c>
      <c r="P70" s="449"/>
      <c r="Q70" s="450">
        <f>Source!X55</f>
        <v>0</v>
      </c>
      <c r="R70" s="215">
        <f>Source!Z55</f>
        <v>0</v>
      </c>
      <c r="S70" s="223">
        <f>Source!AA55</f>
        <v>0</v>
      </c>
      <c r="T70" s="216">
        <f>IF(Devise=DeviseInterne,Source!AB55,Source!AC55)</f>
        <v>0</v>
      </c>
      <c r="U70" s="57"/>
      <c r="V70" s="78"/>
      <c r="W70" s="78"/>
      <c r="X70" s="41"/>
      <c r="Y70" s="42"/>
    </row>
    <row r="71" spans="1:25" s="43" customFormat="1" ht="30" customHeight="1" thickTop="1" thickBot="1">
      <c r="A71" s="68"/>
      <c r="B71" s="440">
        <f>Source!G56</f>
        <v>0</v>
      </c>
      <c r="C71" s="441">
        <f>Source!C56</f>
        <v>0</v>
      </c>
      <c r="D71" s="442">
        <f>Source!D56</f>
        <v>0</v>
      </c>
      <c r="E71" s="443">
        <f>Source!J56</f>
        <v>0</v>
      </c>
      <c r="F71" s="444">
        <f>Source!B56</f>
        <v>0</v>
      </c>
      <c r="G71" s="445">
        <f>Source!K56</f>
        <v>0</v>
      </c>
      <c r="H71" s="444">
        <f>Source!L56</f>
        <v>0</v>
      </c>
      <c r="I71" s="444">
        <f>Source!M56</f>
        <v>0</v>
      </c>
      <c r="J71" s="444">
        <f>Source!N56</f>
        <v>0</v>
      </c>
      <c r="K71" s="446">
        <f>Source!O56</f>
        <v>0</v>
      </c>
      <c r="L71" s="446">
        <f>Source!P56</f>
        <v>0</v>
      </c>
      <c r="M71" s="446">
        <f>Source!Q56</f>
        <v>0</v>
      </c>
      <c r="N71" s="447">
        <f>Source!U56</f>
        <v>0</v>
      </c>
      <c r="O71" s="448">
        <f>Source!V56</f>
        <v>0</v>
      </c>
      <c r="P71" s="449"/>
      <c r="Q71" s="450">
        <f>Source!X56</f>
        <v>0</v>
      </c>
      <c r="R71" s="215">
        <f>Source!Z56</f>
        <v>0</v>
      </c>
      <c r="S71" s="223">
        <f>Source!AA56</f>
        <v>0</v>
      </c>
      <c r="T71" s="216">
        <f>IF(Devise=DeviseInterne,Source!AB56,Source!AC56)</f>
        <v>0</v>
      </c>
      <c r="U71" s="57"/>
      <c r="V71" s="78"/>
      <c r="W71" s="78"/>
      <c r="X71" s="41"/>
      <c r="Y71" s="42"/>
    </row>
    <row r="72" spans="1:25" s="43" customFormat="1" ht="30" customHeight="1" thickTop="1" thickBot="1">
      <c r="A72" s="68"/>
      <c r="B72" s="440">
        <f>Source!G57</f>
        <v>0</v>
      </c>
      <c r="C72" s="441">
        <f>Source!C57</f>
        <v>0</v>
      </c>
      <c r="D72" s="442">
        <f>Source!D57</f>
        <v>0</v>
      </c>
      <c r="E72" s="443">
        <f>Source!J57</f>
        <v>0</v>
      </c>
      <c r="F72" s="444">
        <f>Source!B57</f>
        <v>0</v>
      </c>
      <c r="G72" s="445">
        <f>Source!K57</f>
        <v>0</v>
      </c>
      <c r="H72" s="444">
        <f>Source!L57</f>
        <v>0</v>
      </c>
      <c r="I72" s="444">
        <f>Source!M57</f>
        <v>0</v>
      </c>
      <c r="J72" s="444">
        <f>Source!N57</f>
        <v>0</v>
      </c>
      <c r="K72" s="446">
        <f>Source!O57</f>
        <v>0</v>
      </c>
      <c r="L72" s="446">
        <f>Source!P57</f>
        <v>0</v>
      </c>
      <c r="M72" s="446">
        <f>Source!Q57</f>
        <v>0</v>
      </c>
      <c r="N72" s="447">
        <f>Source!U57</f>
        <v>0</v>
      </c>
      <c r="O72" s="448">
        <f>Source!V57</f>
        <v>0</v>
      </c>
      <c r="P72" s="449"/>
      <c r="Q72" s="450">
        <f>Source!X57</f>
        <v>0</v>
      </c>
      <c r="R72" s="215">
        <f>Source!Z57</f>
        <v>0</v>
      </c>
      <c r="S72" s="223">
        <f>Source!AA57</f>
        <v>0</v>
      </c>
      <c r="T72" s="216">
        <f>IF(Devise=DeviseInterne,Source!AB57,Source!AC57)</f>
        <v>0</v>
      </c>
      <c r="U72" s="57"/>
      <c r="V72" s="78"/>
      <c r="W72" s="78"/>
      <c r="X72" s="41"/>
      <c r="Y72" s="42"/>
    </row>
    <row r="73" spans="1:25" s="43" customFormat="1" ht="30" customHeight="1" thickTop="1" thickBot="1">
      <c r="A73" s="68"/>
      <c r="B73" s="440">
        <f>Source!G58</f>
        <v>0</v>
      </c>
      <c r="C73" s="441">
        <f>Source!C58</f>
        <v>0</v>
      </c>
      <c r="D73" s="442">
        <f>Source!D58</f>
        <v>0</v>
      </c>
      <c r="E73" s="443">
        <f>Source!J58</f>
        <v>0</v>
      </c>
      <c r="F73" s="444">
        <f>Source!B58</f>
        <v>0</v>
      </c>
      <c r="G73" s="445">
        <f>Source!K58</f>
        <v>0</v>
      </c>
      <c r="H73" s="444">
        <f>Source!L58</f>
        <v>0</v>
      </c>
      <c r="I73" s="444">
        <f>Source!M58</f>
        <v>0</v>
      </c>
      <c r="J73" s="444">
        <f>Source!N58</f>
        <v>0</v>
      </c>
      <c r="K73" s="446">
        <f>Source!O58</f>
        <v>0</v>
      </c>
      <c r="L73" s="446">
        <f>Source!P58</f>
        <v>0</v>
      </c>
      <c r="M73" s="446">
        <f>Source!Q58</f>
        <v>0</v>
      </c>
      <c r="N73" s="447">
        <f>Source!U58</f>
        <v>0</v>
      </c>
      <c r="O73" s="448">
        <f>Source!V58</f>
        <v>0</v>
      </c>
      <c r="P73" s="449"/>
      <c r="Q73" s="450">
        <f>Source!X58</f>
        <v>0</v>
      </c>
      <c r="R73" s="215">
        <f>Source!Z58</f>
        <v>0</v>
      </c>
      <c r="S73" s="223">
        <f>Source!AA58</f>
        <v>0</v>
      </c>
      <c r="T73" s="216">
        <f>IF(Devise=DeviseInterne,Source!AB58,Source!AC58)</f>
        <v>0</v>
      </c>
      <c r="U73" s="57"/>
      <c r="V73" s="78"/>
      <c r="W73" s="78"/>
      <c r="X73" s="41"/>
      <c r="Y73" s="42"/>
    </row>
    <row r="74" spans="1:25" s="43" customFormat="1" ht="30" customHeight="1" thickTop="1" thickBot="1">
      <c r="A74" s="68"/>
      <c r="B74" s="440">
        <f>Source!G59</f>
        <v>0</v>
      </c>
      <c r="C74" s="441">
        <f>Source!C59</f>
        <v>0</v>
      </c>
      <c r="D74" s="442">
        <f>Source!D59</f>
        <v>0</v>
      </c>
      <c r="E74" s="443">
        <f>Source!J59</f>
        <v>0</v>
      </c>
      <c r="F74" s="444">
        <f>Source!B59</f>
        <v>0</v>
      </c>
      <c r="G74" s="445">
        <f>Source!K59</f>
        <v>0</v>
      </c>
      <c r="H74" s="444">
        <f>Source!L59</f>
        <v>0</v>
      </c>
      <c r="I74" s="444">
        <f>Source!M59</f>
        <v>0</v>
      </c>
      <c r="J74" s="444">
        <f>Source!N59</f>
        <v>0</v>
      </c>
      <c r="K74" s="446">
        <f>Source!O59</f>
        <v>0</v>
      </c>
      <c r="L74" s="446">
        <f>Source!P59</f>
        <v>0</v>
      </c>
      <c r="M74" s="446">
        <f>Source!Q59</f>
        <v>0</v>
      </c>
      <c r="N74" s="447">
        <f>Source!U59</f>
        <v>0</v>
      </c>
      <c r="O74" s="448">
        <f>Source!V59</f>
        <v>0</v>
      </c>
      <c r="P74" s="449"/>
      <c r="Q74" s="450">
        <f>Source!X59</f>
        <v>0</v>
      </c>
      <c r="R74" s="215">
        <f>Source!Z59</f>
        <v>0</v>
      </c>
      <c r="S74" s="223">
        <f>Source!AA59</f>
        <v>0</v>
      </c>
      <c r="T74" s="216">
        <f>IF(Devise=DeviseInterne,Source!AB59,Source!AC59)</f>
        <v>0</v>
      </c>
      <c r="U74" s="57"/>
      <c r="V74" s="78"/>
      <c r="W74" s="78"/>
      <c r="X74" s="41"/>
      <c r="Y74" s="42"/>
    </row>
    <row r="75" spans="1:25" s="43" customFormat="1" ht="30" customHeight="1" thickTop="1" thickBot="1">
      <c r="A75" s="68"/>
      <c r="B75" s="440">
        <f>Source!G60</f>
        <v>0</v>
      </c>
      <c r="C75" s="441">
        <f>Source!C60</f>
        <v>0</v>
      </c>
      <c r="D75" s="442">
        <f>Source!D60</f>
        <v>0</v>
      </c>
      <c r="E75" s="443">
        <f>Source!J60</f>
        <v>0</v>
      </c>
      <c r="F75" s="444">
        <f>Source!B60</f>
        <v>0</v>
      </c>
      <c r="G75" s="445">
        <f>Source!K60</f>
        <v>0</v>
      </c>
      <c r="H75" s="444">
        <f>Source!L60</f>
        <v>0</v>
      </c>
      <c r="I75" s="444">
        <f>Source!M60</f>
        <v>0</v>
      </c>
      <c r="J75" s="444">
        <f>Source!N60</f>
        <v>0</v>
      </c>
      <c r="K75" s="446">
        <f>Source!O60</f>
        <v>0</v>
      </c>
      <c r="L75" s="446">
        <f>Source!P60</f>
        <v>0</v>
      </c>
      <c r="M75" s="446">
        <f>Source!Q60</f>
        <v>0</v>
      </c>
      <c r="N75" s="447">
        <f>Source!U60</f>
        <v>0</v>
      </c>
      <c r="O75" s="448">
        <f>Source!V60</f>
        <v>0</v>
      </c>
      <c r="P75" s="449"/>
      <c r="Q75" s="450">
        <f>Source!X60</f>
        <v>0</v>
      </c>
      <c r="R75" s="215">
        <f>Source!Z60</f>
        <v>0</v>
      </c>
      <c r="S75" s="223">
        <f>Source!AA60</f>
        <v>0</v>
      </c>
      <c r="T75" s="216">
        <f>IF(Devise=DeviseInterne,Source!AB60,Source!AC60)</f>
        <v>0</v>
      </c>
      <c r="U75" s="57"/>
      <c r="V75" s="78"/>
      <c r="W75" s="78"/>
      <c r="X75" s="41"/>
      <c r="Y75" s="42"/>
    </row>
    <row r="76" spans="1:25" s="43" customFormat="1" ht="30" customHeight="1" thickTop="1" thickBot="1">
      <c r="A76" s="68"/>
      <c r="B76" s="440">
        <f>Source!G61</f>
        <v>0</v>
      </c>
      <c r="C76" s="441">
        <f>Source!C61</f>
        <v>0</v>
      </c>
      <c r="D76" s="442">
        <f>Source!D61</f>
        <v>0</v>
      </c>
      <c r="E76" s="443">
        <f>Source!J61</f>
        <v>0</v>
      </c>
      <c r="F76" s="444">
        <f>Source!B61</f>
        <v>0</v>
      </c>
      <c r="G76" s="445">
        <f>Source!K61</f>
        <v>0</v>
      </c>
      <c r="H76" s="444">
        <f>Source!L61</f>
        <v>0</v>
      </c>
      <c r="I76" s="444">
        <f>Source!M61</f>
        <v>0</v>
      </c>
      <c r="J76" s="444">
        <f>Source!N61</f>
        <v>0</v>
      </c>
      <c r="K76" s="446">
        <f>Source!O61</f>
        <v>0</v>
      </c>
      <c r="L76" s="446">
        <f>Source!P61</f>
        <v>0</v>
      </c>
      <c r="M76" s="446">
        <f>Source!Q61</f>
        <v>0</v>
      </c>
      <c r="N76" s="447">
        <f>Source!U61</f>
        <v>0</v>
      </c>
      <c r="O76" s="448">
        <f>Source!V61</f>
        <v>0</v>
      </c>
      <c r="P76" s="449"/>
      <c r="Q76" s="450">
        <f>Source!X61</f>
        <v>0</v>
      </c>
      <c r="R76" s="215">
        <f>Source!Z61</f>
        <v>0</v>
      </c>
      <c r="S76" s="223">
        <f>Source!AA61</f>
        <v>0</v>
      </c>
      <c r="T76" s="216">
        <f>IF(Devise=DeviseInterne,Source!AB61,Source!AC61)</f>
        <v>0</v>
      </c>
      <c r="U76" s="57"/>
      <c r="V76" s="78"/>
      <c r="W76" s="78"/>
      <c r="X76" s="41"/>
      <c r="Y76" s="42"/>
    </row>
    <row r="77" spans="1:25" s="43" customFormat="1" ht="30" customHeight="1" thickTop="1" thickBot="1">
      <c r="A77" s="68"/>
      <c r="B77" s="440">
        <f>Source!G62</f>
        <v>0</v>
      </c>
      <c r="C77" s="441">
        <f>Source!C62</f>
        <v>0</v>
      </c>
      <c r="D77" s="442">
        <f>Source!D62</f>
        <v>0</v>
      </c>
      <c r="E77" s="443">
        <f>Source!J62</f>
        <v>0</v>
      </c>
      <c r="F77" s="444">
        <f>Source!B62</f>
        <v>0</v>
      </c>
      <c r="G77" s="445">
        <f>Source!K62</f>
        <v>0</v>
      </c>
      <c r="H77" s="444">
        <f>Source!L62</f>
        <v>0</v>
      </c>
      <c r="I77" s="444">
        <f>Source!M62</f>
        <v>0</v>
      </c>
      <c r="J77" s="444">
        <f>Source!N62</f>
        <v>0</v>
      </c>
      <c r="K77" s="446">
        <f>Source!O62</f>
        <v>0</v>
      </c>
      <c r="L77" s="446">
        <f>Source!P62</f>
        <v>0</v>
      </c>
      <c r="M77" s="446">
        <f>Source!Q62</f>
        <v>0</v>
      </c>
      <c r="N77" s="447">
        <f>Source!U62</f>
        <v>0</v>
      </c>
      <c r="O77" s="448">
        <f>Source!V62</f>
        <v>0</v>
      </c>
      <c r="P77" s="449"/>
      <c r="Q77" s="450">
        <f>Source!X62</f>
        <v>0</v>
      </c>
      <c r="R77" s="215">
        <f>Source!Z62</f>
        <v>0</v>
      </c>
      <c r="S77" s="223">
        <f>Source!AA62</f>
        <v>0</v>
      </c>
      <c r="T77" s="216">
        <f>IF(Devise=DeviseInterne,Source!AB62,Source!AC62)</f>
        <v>0</v>
      </c>
      <c r="U77" s="57"/>
      <c r="V77" s="78"/>
      <c r="W77" s="78"/>
      <c r="X77" s="41"/>
      <c r="Y77" s="42"/>
    </row>
    <row r="78" spans="1:25" s="43" customFormat="1" ht="30" customHeight="1" thickTop="1" thickBot="1">
      <c r="A78" s="68"/>
      <c r="B78" s="440">
        <f>Source!G63</f>
        <v>0</v>
      </c>
      <c r="C78" s="441">
        <f>Source!C63</f>
        <v>0</v>
      </c>
      <c r="D78" s="442">
        <f>Source!D63</f>
        <v>0</v>
      </c>
      <c r="E78" s="443">
        <f>Source!J63</f>
        <v>0</v>
      </c>
      <c r="F78" s="444">
        <f>Source!B63</f>
        <v>0</v>
      </c>
      <c r="G78" s="445">
        <f>Source!K63</f>
        <v>0</v>
      </c>
      <c r="H78" s="444">
        <f>Source!L63</f>
        <v>0</v>
      </c>
      <c r="I78" s="444">
        <f>Source!M63</f>
        <v>0</v>
      </c>
      <c r="J78" s="444">
        <f>Source!N63</f>
        <v>0</v>
      </c>
      <c r="K78" s="446">
        <f>Source!O63</f>
        <v>0</v>
      </c>
      <c r="L78" s="446">
        <f>Source!P63</f>
        <v>0</v>
      </c>
      <c r="M78" s="446">
        <f>Source!Q63</f>
        <v>0</v>
      </c>
      <c r="N78" s="447">
        <f>Source!U63</f>
        <v>0</v>
      </c>
      <c r="O78" s="448">
        <f>Source!V63</f>
        <v>0</v>
      </c>
      <c r="P78" s="449"/>
      <c r="Q78" s="450">
        <f>Source!X63</f>
        <v>0</v>
      </c>
      <c r="R78" s="215">
        <f>Source!Z63</f>
        <v>0</v>
      </c>
      <c r="S78" s="223">
        <f>Source!AA63</f>
        <v>0</v>
      </c>
      <c r="T78" s="216">
        <f>IF(Devise=DeviseInterne,Source!AB63,Source!AC63)</f>
        <v>0</v>
      </c>
      <c r="U78" s="57"/>
      <c r="V78" s="78"/>
      <c r="W78" s="78"/>
      <c r="X78" s="41"/>
      <c r="Y78" s="42"/>
    </row>
    <row r="79" spans="1:25" s="43" customFormat="1" ht="30" customHeight="1" thickTop="1" thickBot="1">
      <c r="A79" s="68"/>
      <c r="B79" s="440">
        <f>Source!G64</f>
        <v>0</v>
      </c>
      <c r="C79" s="441">
        <f>Source!C64</f>
        <v>0</v>
      </c>
      <c r="D79" s="442">
        <f>Source!D64</f>
        <v>0</v>
      </c>
      <c r="E79" s="443">
        <f>Source!J64</f>
        <v>0</v>
      </c>
      <c r="F79" s="444">
        <f>Source!B64</f>
        <v>0</v>
      </c>
      <c r="G79" s="445">
        <f>Source!K64</f>
        <v>0</v>
      </c>
      <c r="H79" s="444">
        <f>Source!L64</f>
        <v>0</v>
      </c>
      <c r="I79" s="444">
        <f>Source!M64</f>
        <v>0</v>
      </c>
      <c r="J79" s="444">
        <f>Source!N64</f>
        <v>0</v>
      </c>
      <c r="K79" s="446">
        <f>Source!O64</f>
        <v>0</v>
      </c>
      <c r="L79" s="446">
        <f>Source!P64</f>
        <v>0</v>
      </c>
      <c r="M79" s="446">
        <f>Source!Q64</f>
        <v>0</v>
      </c>
      <c r="N79" s="447">
        <f>Source!U64</f>
        <v>0</v>
      </c>
      <c r="O79" s="448">
        <f>Source!V64</f>
        <v>0</v>
      </c>
      <c r="P79" s="449"/>
      <c r="Q79" s="450">
        <f>Source!X64</f>
        <v>0</v>
      </c>
      <c r="R79" s="215">
        <f>Source!Z64</f>
        <v>0</v>
      </c>
      <c r="S79" s="223">
        <f>Source!AA64</f>
        <v>0</v>
      </c>
      <c r="T79" s="216">
        <f>IF(Devise=DeviseInterne,Source!AB64,Source!AC64)</f>
        <v>0</v>
      </c>
      <c r="U79" s="57"/>
      <c r="V79" s="78"/>
      <c r="W79" s="78"/>
      <c r="X79" s="41"/>
      <c r="Y79" s="42"/>
    </row>
    <row r="80" spans="1:25" s="43" customFormat="1" ht="30" customHeight="1" thickTop="1" thickBot="1">
      <c r="A80" s="68"/>
      <c r="B80" s="440">
        <f>Source!G65</f>
        <v>0</v>
      </c>
      <c r="C80" s="441">
        <f>Source!C65</f>
        <v>0</v>
      </c>
      <c r="D80" s="442">
        <f>Source!D65</f>
        <v>0</v>
      </c>
      <c r="E80" s="443">
        <f>Source!J65</f>
        <v>0</v>
      </c>
      <c r="F80" s="444">
        <f>Source!B65</f>
        <v>0</v>
      </c>
      <c r="G80" s="445">
        <f>Source!K65</f>
        <v>0</v>
      </c>
      <c r="H80" s="444">
        <f>Source!L65</f>
        <v>0</v>
      </c>
      <c r="I80" s="444">
        <f>Source!M65</f>
        <v>0</v>
      </c>
      <c r="J80" s="444">
        <f>Source!N65</f>
        <v>0</v>
      </c>
      <c r="K80" s="446">
        <f>Source!O65</f>
        <v>0</v>
      </c>
      <c r="L80" s="446">
        <f>Source!P65</f>
        <v>0</v>
      </c>
      <c r="M80" s="446">
        <f>Source!Q65</f>
        <v>0</v>
      </c>
      <c r="N80" s="447">
        <f>Source!U65</f>
        <v>0</v>
      </c>
      <c r="O80" s="448">
        <f>Source!V65</f>
        <v>0</v>
      </c>
      <c r="P80" s="449"/>
      <c r="Q80" s="450">
        <f>Source!X65</f>
        <v>0</v>
      </c>
      <c r="R80" s="215">
        <f>Source!Z65</f>
        <v>0</v>
      </c>
      <c r="S80" s="223">
        <f>Source!AA65</f>
        <v>0</v>
      </c>
      <c r="T80" s="216">
        <f>IF(Devise=DeviseInterne,Source!AB65,Source!AC65)</f>
        <v>0</v>
      </c>
      <c r="U80" s="57"/>
      <c r="V80" s="78"/>
      <c r="W80" s="78"/>
      <c r="X80" s="41"/>
      <c r="Y80" s="42"/>
    </row>
    <row r="81" spans="1:25" s="43" customFormat="1" ht="30" customHeight="1" thickTop="1" thickBot="1">
      <c r="A81" s="68"/>
      <c r="B81" s="440">
        <f>Source!G66</f>
        <v>0</v>
      </c>
      <c r="C81" s="441">
        <f>Source!C66</f>
        <v>0</v>
      </c>
      <c r="D81" s="442">
        <f>Source!D66</f>
        <v>0</v>
      </c>
      <c r="E81" s="443">
        <f>Source!J66</f>
        <v>0</v>
      </c>
      <c r="F81" s="444">
        <f>Source!B66</f>
        <v>0</v>
      </c>
      <c r="G81" s="445">
        <f>Source!K66</f>
        <v>0</v>
      </c>
      <c r="H81" s="444">
        <f>Source!L66</f>
        <v>0</v>
      </c>
      <c r="I81" s="444">
        <f>Source!M66</f>
        <v>0</v>
      </c>
      <c r="J81" s="444">
        <f>Source!N66</f>
        <v>0</v>
      </c>
      <c r="K81" s="446">
        <f>Source!O66</f>
        <v>0</v>
      </c>
      <c r="L81" s="446">
        <f>Source!P66</f>
        <v>0</v>
      </c>
      <c r="M81" s="446">
        <f>Source!Q66</f>
        <v>0</v>
      </c>
      <c r="N81" s="447">
        <f>Source!U66</f>
        <v>0</v>
      </c>
      <c r="O81" s="448">
        <f>Source!V66</f>
        <v>0</v>
      </c>
      <c r="P81" s="449"/>
      <c r="Q81" s="450">
        <f>Source!X66</f>
        <v>0</v>
      </c>
      <c r="R81" s="215">
        <f>Source!Z66</f>
        <v>0</v>
      </c>
      <c r="S81" s="223">
        <f>Source!AA66</f>
        <v>0</v>
      </c>
      <c r="T81" s="216">
        <f>IF(Devise=DeviseInterne,Source!AB66,Source!AC66)</f>
        <v>0</v>
      </c>
      <c r="U81" s="57"/>
      <c r="V81" s="78"/>
      <c r="W81" s="78"/>
      <c r="X81" s="41"/>
      <c r="Y81" s="42"/>
    </row>
    <row r="82" spans="1:25" s="43" customFormat="1" ht="30" customHeight="1" thickTop="1" thickBot="1">
      <c r="A82" s="68"/>
      <c r="B82" s="440">
        <f>Source!G67</f>
        <v>0</v>
      </c>
      <c r="C82" s="441">
        <f>Source!C67</f>
        <v>0</v>
      </c>
      <c r="D82" s="442">
        <f>Source!D67</f>
        <v>0</v>
      </c>
      <c r="E82" s="443">
        <f>Source!J67</f>
        <v>0</v>
      </c>
      <c r="F82" s="444">
        <f>Source!B67</f>
        <v>0</v>
      </c>
      <c r="G82" s="445">
        <f>Source!K67</f>
        <v>0</v>
      </c>
      <c r="H82" s="444">
        <f>Source!L67</f>
        <v>0</v>
      </c>
      <c r="I82" s="444">
        <f>Source!M67</f>
        <v>0</v>
      </c>
      <c r="J82" s="444">
        <f>Source!N67</f>
        <v>0</v>
      </c>
      <c r="K82" s="446">
        <f>Source!O67</f>
        <v>0</v>
      </c>
      <c r="L82" s="446">
        <f>Source!P67</f>
        <v>0</v>
      </c>
      <c r="M82" s="446">
        <f>Source!Q67</f>
        <v>0</v>
      </c>
      <c r="N82" s="447">
        <f>Source!U67</f>
        <v>0</v>
      </c>
      <c r="O82" s="448">
        <f>Source!V67</f>
        <v>0</v>
      </c>
      <c r="P82" s="449"/>
      <c r="Q82" s="450">
        <f>Source!X67</f>
        <v>0</v>
      </c>
      <c r="R82" s="215">
        <f>Source!Z67</f>
        <v>0</v>
      </c>
      <c r="S82" s="223">
        <f>Source!AA67</f>
        <v>0</v>
      </c>
      <c r="T82" s="216">
        <f>IF(Devise=DeviseInterne,Source!AB67,Source!AC67)</f>
        <v>0</v>
      </c>
      <c r="U82" s="57"/>
      <c r="V82" s="78"/>
      <c r="W82" s="78"/>
      <c r="X82" s="41"/>
      <c r="Y82" s="42"/>
    </row>
    <row r="83" spans="1:25" s="43" customFormat="1" ht="30" customHeight="1" thickTop="1" thickBot="1">
      <c r="A83" s="68"/>
      <c r="B83" s="440">
        <f>Source!G68</f>
        <v>0</v>
      </c>
      <c r="C83" s="441">
        <f>Source!C68</f>
        <v>0</v>
      </c>
      <c r="D83" s="442">
        <f>Source!D68</f>
        <v>0</v>
      </c>
      <c r="E83" s="443">
        <f>Source!J68</f>
        <v>0</v>
      </c>
      <c r="F83" s="444">
        <f>Source!B68</f>
        <v>0</v>
      </c>
      <c r="G83" s="445">
        <f>Source!K68</f>
        <v>0</v>
      </c>
      <c r="H83" s="444">
        <f>Source!L68</f>
        <v>0</v>
      </c>
      <c r="I83" s="444">
        <f>Source!M68</f>
        <v>0</v>
      </c>
      <c r="J83" s="444">
        <f>Source!N68</f>
        <v>0</v>
      </c>
      <c r="K83" s="446">
        <f>Source!O68</f>
        <v>0</v>
      </c>
      <c r="L83" s="446">
        <f>Source!P68</f>
        <v>0</v>
      </c>
      <c r="M83" s="446">
        <f>Source!Q68</f>
        <v>0</v>
      </c>
      <c r="N83" s="447">
        <f>Source!U68</f>
        <v>0</v>
      </c>
      <c r="O83" s="448">
        <f>Source!V68</f>
        <v>0</v>
      </c>
      <c r="P83" s="449"/>
      <c r="Q83" s="450">
        <f>Source!X68</f>
        <v>0</v>
      </c>
      <c r="R83" s="215">
        <f>Source!Z68</f>
        <v>0</v>
      </c>
      <c r="S83" s="223">
        <f>Source!AA68</f>
        <v>0</v>
      </c>
      <c r="T83" s="216">
        <f>IF(Devise=DeviseInterne,Source!AB68,Source!AC68)</f>
        <v>0</v>
      </c>
      <c r="U83" s="57"/>
      <c r="V83" s="78"/>
      <c r="W83" s="78"/>
      <c r="X83" s="41"/>
      <c r="Y83" s="42"/>
    </row>
    <row r="84" spans="1:25" s="43" customFormat="1" ht="30" customHeight="1" thickTop="1" thickBot="1">
      <c r="A84" s="68"/>
      <c r="B84" s="440">
        <f>Source!G69</f>
        <v>0</v>
      </c>
      <c r="C84" s="441">
        <f>Source!C69</f>
        <v>0</v>
      </c>
      <c r="D84" s="442">
        <f>Source!D69</f>
        <v>0</v>
      </c>
      <c r="E84" s="443">
        <f>Source!J69</f>
        <v>0</v>
      </c>
      <c r="F84" s="444">
        <f>Source!B69</f>
        <v>0</v>
      </c>
      <c r="G84" s="445">
        <f>Source!K69</f>
        <v>0</v>
      </c>
      <c r="H84" s="444">
        <f>Source!L69</f>
        <v>0</v>
      </c>
      <c r="I84" s="444">
        <f>Source!M69</f>
        <v>0</v>
      </c>
      <c r="J84" s="444">
        <f>Source!N69</f>
        <v>0</v>
      </c>
      <c r="K84" s="446">
        <f>Source!O69</f>
        <v>0</v>
      </c>
      <c r="L84" s="446">
        <f>Source!P69</f>
        <v>0</v>
      </c>
      <c r="M84" s="446">
        <f>Source!Q69</f>
        <v>0</v>
      </c>
      <c r="N84" s="447">
        <f>Source!U69</f>
        <v>0</v>
      </c>
      <c r="O84" s="448">
        <f>Source!V69</f>
        <v>0</v>
      </c>
      <c r="P84" s="449"/>
      <c r="Q84" s="450">
        <f>Source!X69</f>
        <v>0</v>
      </c>
      <c r="R84" s="215">
        <f>Source!Z69</f>
        <v>0</v>
      </c>
      <c r="S84" s="223">
        <f>Source!AA69</f>
        <v>0</v>
      </c>
      <c r="T84" s="216">
        <f>IF(Devise=DeviseInterne,Source!AB69,Source!AC69)</f>
        <v>0</v>
      </c>
      <c r="U84" s="57"/>
      <c r="V84" s="78"/>
      <c r="W84" s="78"/>
      <c r="X84" s="41"/>
      <c r="Y84" s="42"/>
    </row>
    <row r="85" spans="1:25" s="43" customFormat="1" ht="30" customHeight="1" thickTop="1" thickBot="1">
      <c r="A85" s="68"/>
      <c r="B85" s="440">
        <f>Source!G70</f>
        <v>0</v>
      </c>
      <c r="C85" s="441">
        <f>Source!C70</f>
        <v>0</v>
      </c>
      <c r="D85" s="442">
        <f>Source!D70</f>
        <v>0</v>
      </c>
      <c r="E85" s="443">
        <f>Source!J70</f>
        <v>0</v>
      </c>
      <c r="F85" s="444">
        <f>Source!B70</f>
        <v>0</v>
      </c>
      <c r="G85" s="445">
        <f>Source!K70</f>
        <v>0</v>
      </c>
      <c r="H85" s="444">
        <f>Source!L70</f>
        <v>0</v>
      </c>
      <c r="I85" s="444">
        <f>Source!M70</f>
        <v>0</v>
      </c>
      <c r="J85" s="444">
        <f>Source!N70</f>
        <v>0</v>
      </c>
      <c r="K85" s="446">
        <f>Source!O70</f>
        <v>0</v>
      </c>
      <c r="L85" s="446">
        <f>Source!P70</f>
        <v>0</v>
      </c>
      <c r="M85" s="446">
        <f>Source!Q70</f>
        <v>0</v>
      </c>
      <c r="N85" s="447">
        <f>Source!U70</f>
        <v>0</v>
      </c>
      <c r="O85" s="448">
        <f>Source!V70</f>
        <v>0</v>
      </c>
      <c r="P85" s="449"/>
      <c r="Q85" s="450">
        <f>Source!X70</f>
        <v>0</v>
      </c>
      <c r="R85" s="215">
        <f>Source!Z70</f>
        <v>0</v>
      </c>
      <c r="S85" s="223">
        <f>Source!AA70</f>
        <v>0</v>
      </c>
      <c r="T85" s="216">
        <f>IF(Devise=DeviseInterne,Source!AB70,Source!AC70)</f>
        <v>0</v>
      </c>
      <c r="U85" s="57"/>
      <c r="V85" s="78"/>
      <c r="W85" s="78"/>
      <c r="X85" s="41"/>
      <c r="Y85" s="42"/>
    </row>
    <row r="86" spans="1:25" s="43" customFormat="1" ht="30" customHeight="1" thickTop="1" thickBot="1">
      <c r="A86" s="68"/>
      <c r="B86" s="440">
        <f>Source!G71</f>
        <v>0</v>
      </c>
      <c r="C86" s="441">
        <f>Source!C71</f>
        <v>0</v>
      </c>
      <c r="D86" s="442">
        <f>Source!D71</f>
        <v>0</v>
      </c>
      <c r="E86" s="443">
        <f>Source!J71</f>
        <v>0</v>
      </c>
      <c r="F86" s="444">
        <f>Source!B71</f>
        <v>0</v>
      </c>
      <c r="G86" s="445">
        <f>Source!K71</f>
        <v>0</v>
      </c>
      <c r="H86" s="444">
        <f>Source!L71</f>
        <v>0</v>
      </c>
      <c r="I86" s="444">
        <f>Source!M71</f>
        <v>0</v>
      </c>
      <c r="J86" s="444">
        <f>Source!N71</f>
        <v>0</v>
      </c>
      <c r="K86" s="446">
        <f>Source!O71</f>
        <v>0</v>
      </c>
      <c r="L86" s="446">
        <f>Source!P71</f>
        <v>0</v>
      </c>
      <c r="M86" s="446">
        <f>Source!Q71</f>
        <v>0</v>
      </c>
      <c r="N86" s="447">
        <f>Source!U71</f>
        <v>0</v>
      </c>
      <c r="O86" s="448">
        <f>Source!V71</f>
        <v>0</v>
      </c>
      <c r="P86" s="449"/>
      <c r="Q86" s="450">
        <f>Source!X71</f>
        <v>0</v>
      </c>
      <c r="R86" s="215">
        <f>Source!Z71</f>
        <v>0</v>
      </c>
      <c r="S86" s="223">
        <f>Source!AA71</f>
        <v>0</v>
      </c>
      <c r="T86" s="216">
        <f>IF(Devise=DeviseInterne,Source!AB71,Source!AC71)</f>
        <v>0</v>
      </c>
      <c r="U86" s="57"/>
      <c r="V86" s="78"/>
      <c r="W86" s="78"/>
      <c r="X86" s="41"/>
      <c r="Y86" s="42"/>
    </row>
    <row r="87" spans="1:25" s="43" customFormat="1" ht="30" customHeight="1" thickTop="1" thickBot="1">
      <c r="A87" s="68"/>
      <c r="B87" s="440">
        <f>Source!G72</f>
        <v>0</v>
      </c>
      <c r="C87" s="441">
        <f>Source!C72</f>
        <v>0</v>
      </c>
      <c r="D87" s="442">
        <f>Source!D72</f>
        <v>0</v>
      </c>
      <c r="E87" s="443">
        <f>Source!J72</f>
        <v>0</v>
      </c>
      <c r="F87" s="444">
        <f>Source!B72</f>
        <v>0</v>
      </c>
      <c r="G87" s="445">
        <f>Source!K72</f>
        <v>0</v>
      </c>
      <c r="H87" s="444">
        <f>Source!L72</f>
        <v>0</v>
      </c>
      <c r="I87" s="444">
        <f>Source!M72</f>
        <v>0</v>
      </c>
      <c r="J87" s="444">
        <f>Source!N72</f>
        <v>0</v>
      </c>
      <c r="K87" s="446">
        <f>Source!O72</f>
        <v>0</v>
      </c>
      <c r="L87" s="446">
        <f>Source!P72</f>
        <v>0</v>
      </c>
      <c r="M87" s="446">
        <f>Source!Q72</f>
        <v>0</v>
      </c>
      <c r="N87" s="447">
        <f>Source!U72</f>
        <v>0</v>
      </c>
      <c r="O87" s="448">
        <f>Source!V72</f>
        <v>0</v>
      </c>
      <c r="P87" s="449"/>
      <c r="Q87" s="450">
        <f>Source!X72</f>
        <v>0</v>
      </c>
      <c r="R87" s="215">
        <f>Source!Z72</f>
        <v>0</v>
      </c>
      <c r="S87" s="223">
        <f>Source!AA72</f>
        <v>0</v>
      </c>
      <c r="T87" s="216">
        <f>IF(Devise=DeviseInterne,Source!AB72,Source!AC72)</f>
        <v>0</v>
      </c>
      <c r="U87" s="57"/>
      <c r="V87" s="78"/>
      <c r="W87" s="78"/>
      <c r="X87" s="41"/>
      <c r="Y87" s="42"/>
    </row>
    <row r="88" spans="1:25" s="43" customFormat="1" ht="30" customHeight="1" thickTop="1" thickBot="1">
      <c r="A88" s="68"/>
      <c r="B88" s="440">
        <f>Source!G73</f>
        <v>0</v>
      </c>
      <c r="C88" s="441">
        <f>Source!C73</f>
        <v>0</v>
      </c>
      <c r="D88" s="442">
        <f>Source!D73</f>
        <v>0</v>
      </c>
      <c r="E88" s="443">
        <f>Source!J73</f>
        <v>0</v>
      </c>
      <c r="F88" s="444">
        <f>Source!B73</f>
        <v>0</v>
      </c>
      <c r="G88" s="445">
        <f>Source!K73</f>
        <v>0</v>
      </c>
      <c r="H88" s="444">
        <f>Source!L73</f>
        <v>0</v>
      </c>
      <c r="I88" s="444">
        <f>Source!M73</f>
        <v>0</v>
      </c>
      <c r="J88" s="444">
        <f>Source!N73</f>
        <v>0</v>
      </c>
      <c r="K88" s="446">
        <f>Source!O73</f>
        <v>0</v>
      </c>
      <c r="L88" s="446">
        <f>Source!P73</f>
        <v>0</v>
      </c>
      <c r="M88" s="446">
        <f>Source!Q73</f>
        <v>0</v>
      </c>
      <c r="N88" s="447">
        <f>Source!U73</f>
        <v>0</v>
      </c>
      <c r="O88" s="448">
        <f>Source!V73</f>
        <v>0</v>
      </c>
      <c r="P88" s="449"/>
      <c r="Q88" s="450">
        <f>Source!X73</f>
        <v>0</v>
      </c>
      <c r="R88" s="215">
        <f>Source!Z73</f>
        <v>0</v>
      </c>
      <c r="S88" s="223">
        <f>Source!AA73</f>
        <v>0</v>
      </c>
      <c r="T88" s="216">
        <f>IF(Devise=DeviseInterne,Source!AB73,Source!AC73)</f>
        <v>0</v>
      </c>
      <c r="U88" s="57"/>
      <c r="V88" s="78"/>
      <c r="W88" s="78"/>
      <c r="X88" s="41"/>
      <c r="Y88" s="42"/>
    </row>
    <row r="89" spans="1:25" s="43" customFormat="1" ht="30" customHeight="1" thickTop="1" thickBot="1">
      <c r="A89" s="68"/>
      <c r="B89" s="440">
        <f>Source!G74</f>
        <v>0</v>
      </c>
      <c r="C89" s="441">
        <f>Source!C74</f>
        <v>0</v>
      </c>
      <c r="D89" s="442">
        <f>Source!D74</f>
        <v>0</v>
      </c>
      <c r="E89" s="443">
        <f>Source!J74</f>
        <v>0</v>
      </c>
      <c r="F89" s="444">
        <f>Source!B74</f>
        <v>0</v>
      </c>
      <c r="G89" s="445">
        <f>Source!K74</f>
        <v>0</v>
      </c>
      <c r="H89" s="444">
        <f>Source!L74</f>
        <v>0</v>
      </c>
      <c r="I89" s="444">
        <f>Source!M74</f>
        <v>0</v>
      </c>
      <c r="J89" s="444">
        <f>Source!N74</f>
        <v>0</v>
      </c>
      <c r="K89" s="446">
        <f>Source!O74</f>
        <v>0</v>
      </c>
      <c r="L89" s="446">
        <f>Source!P74</f>
        <v>0</v>
      </c>
      <c r="M89" s="446">
        <f>Source!Q74</f>
        <v>0</v>
      </c>
      <c r="N89" s="447">
        <f>Source!U74</f>
        <v>0</v>
      </c>
      <c r="O89" s="448">
        <f>Source!V74</f>
        <v>0</v>
      </c>
      <c r="P89" s="449"/>
      <c r="Q89" s="450">
        <f>Source!X74</f>
        <v>0</v>
      </c>
      <c r="R89" s="215">
        <f>Source!Z74</f>
        <v>0</v>
      </c>
      <c r="S89" s="223">
        <f>Source!AA74</f>
        <v>0</v>
      </c>
      <c r="T89" s="216">
        <f>IF(Devise=DeviseInterne,Source!AB74,Source!AC74)</f>
        <v>0</v>
      </c>
      <c r="U89" s="57"/>
      <c r="V89" s="78"/>
      <c r="W89" s="78"/>
      <c r="X89" s="41"/>
      <c r="Y89" s="42"/>
    </row>
    <row r="90" spans="1:25" s="43" customFormat="1" ht="30" customHeight="1" thickTop="1" thickBot="1">
      <c r="A90" s="68"/>
      <c r="B90" s="440">
        <f>Source!G75</f>
        <v>0</v>
      </c>
      <c r="C90" s="441">
        <f>Source!C75</f>
        <v>0</v>
      </c>
      <c r="D90" s="442">
        <f>Source!D75</f>
        <v>0</v>
      </c>
      <c r="E90" s="443">
        <f>Source!J75</f>
        <v>0</v>
      </c>
      <c r="F90" s="444">
        <f>Source!B75</f>
        <v>0</v>
      </c>
      <c r="G90" s="445">
        <f>Source!K75</f>
        <v>0</v>
      </c>
      <c r="H90" s="444">
        <f>Source!L75</f>
        <v>0</v>
      </c>
      <c r="I90" s="444">
        <f>Source!M75</f>
        <v>0</v>
      </c>
      <c r="J90" s="444">
        <f>Source!N75</f>
        <v>0</v>
      </c>
      <c r="K90" s="446">
        <f>Source!O75</f>
        <v>0</v>
      </c>
      <c r="L90" s="446">
        <f>Source!P75</f>
        <v>0</v>
      </c>
      <c r="M90" s="446">
        <f>Source!Q75</f>
        <v>0</v>
      </c>
      <c r="N90" s="447">
        <f>Source!U75</f>
        <v>0</v>
      </c>
      <c r="O90" s="448">
        <f>Source!V75</f>
        <v>0</v>
      </c>
      <c r="P90" s="449"/>
      <c r="Q90" s="450">
        <f>Source!X75</f>
        <v>0</v>
      </c>
      <c r="R90" s="215">
        <f>Source!Z75</f>
        <v>0</v>
      </c>
      <c r="S90" s="223">
        <f>Source!AA75</f>
        <v>0</v>
      </c>
      <c r="T90" s="216">
        <f>IF(Devise=DeviseInterne,Source!AB75,Source!AC75)</f>
        <v>0</v>
      </c>
      <c r="U90" s="57"/>
      <c r="V90" s="78"/>
      <c r="W90" s="78"/>
      <c r="X90" s="41"/>
      <c r="Y90" s="42"/>
    </row>
    <row r="91" spans="1:25" s="43" customFormat="1" ht="30" customHeight="1" thickTop="1" thickBot="1">
      <c r="A91" s="68"/>
      <c r="B91" s="440">
        <f>Source!G76</f>
        <v>0</v>
      </c>
      <c r="C91" s="441">
        <f>Source!C76</f>
        <v>0</v>
      </c>
      <c r="D91" s="442">
        <f>Source!D76</f>
        <v>0</v>
      </c>
      <c r="E91" s="443">
        <f>Source!J76</f>
        <v>0</v>
      </c>
      <c r="F91" s="444">
        <f>Source!B76</f>
        <v>0</v>
      </c>
      <c r="G91" s="445">
        <f>Source!K76</f>
        <v>0</v>
      </c>
      <c r="H91" s="444">
        <f>Source!L76</f>
        <v>0</v>
      </c>
      <c r="I91" s="444">
        <f>Source!M76</f>
        <v>0</v>
      </c>
      <c r="J91" s="444">
        <f>Source!N76</f>
        <v>0</v>
      </c>
      <c r="K91" s="446">
        <f>Source!O76</f>
        <v>0</v>
      </c>
      <c r="L91" s="446">
        <f>Source!P76</f>
        <v>0</v>
      </c>
      <c r="M91" s="446">
        <f>Source!Q76</f>
        <v>0</v>
      </c>
      <c r="N91" s="447">
        <f>Source!U76</f>
        <v>0</v>
      </c>
      <c r="O91" s="448">
        <f>Source!V76</f>
        <v>0</v>
      </c>
      <c r="P91" s="449"/>
      <c r="Q91" s="450">
        <f>Source!X76</f>
        <v>0</v>
      </c>
      <c r="R91" s="215">
        <f>Source!Z76</f>
        <v>0</v>
      </c>
      <c r="S91" s="223">
        <f>Source!AA76</f>
        <v>0</v>
      </c>
      <c r="T91" s="216">
        <f>IF(Devise=DeviseInterne,Source!AB76,Source!AC76)</f>
        <v>0</v>
      </c>
      <c r="U91" s="57"/>
      <c r="V91" s="78"/>
      <c r="W91" s="78"/>
      <c r="X91" s="41"/>
      <c r="Y91" s="42"/>
    </row>
    <row r="92" spans="1:25" s="43" customFormat="1" ht="30" customHeight="1" thickTop="1" thickBot="1">
      <c r="A92" s="68"/>
      <c r="B92" s="440">
        <f>Source!G77</f>
        <v>0</v>
      </c>
      <c r="C92" s="441">
        <f>Source!C77</f>
        <v>0</v>
      </c>
      <c r="D92" s="442">
        <f>Source!D77</f>
        <v>0</v>
      </c>
      <c r="E92" s="443">
        <f>Source!J77</f>
        <v>0</v>
      </c>
      <c r="F92" s="444">
        <f>Source!B77</f>
        <v>0</v>
      </c>
      <c r="G92" s="445">
        <f>Source!K77</f>
        <v>0</v>
      </c>
      <c r="H92" s="444">
        <f>Source!L77</f>
        <v>0</v>
      </c>
      <c r="I92" s="444">
        <f>Source!M77</f>
        <v>0</v>
      </c>
      <c r="J92" s="444">
        <f>Source!N77</f>
        <v>0</v>
      </c>
      <c r="K92" s="446">
        <f>Source!O77</f>
        <v>0</v>
      </c>
      <c r="L92" s="446">
        <f>Source!P77</f>
        <v>0</v>
      </c>
      <c r="M92" s="446">
        <f>Source!Q77</f>
        <v>0</v>
      </c>
      <c r="N92" s="447">
        <f>Source!U77</f>
        <v>0</v>
      </c>
      <c r="O92" s="448">
        <f>Source!V77</f>
        <v>0</v>
      </c>
      <c r="P92" s="449"/>
      <c r="Q92" s="450">
        <f>Source!X77</f>
        <v>0</v>
      </c>
      <c r="R92" s="215">
        <f>Source!Z77</f>
        <v>0</v>
      </c>
      <c r="S92" s="223">
        <f>Source!AA77</f>
        <v>0</v>
      </c>
      <c r="T92" s="216">
        <f>IF(Devise=DeviseInterne,Source!AB77,Source!AC77)</f>
        <v>0</v>
      </c>
      <c r="U92" s="57"/>
      <c r="V92" s="78"/>
      <c r="W92" s="78"/>
      <c r="X92" s="41"/>
      <c r="Y92" s="42"/>
    </row>
    <row r="93" spans="1:25" s="43" customFormat="1" ht="30" customHeight="1" thickTop="1" thickBot="1">
      <c r="A93" s="68"/>
      <c r="B93" s="440">
        <f>Source!G78</f>
        <v>0</v>
      </c>
      <c r="C93" s="441">
        <f>Source!C78</f>
        <v>0</v>
      </c>
      <c r="D93" s="442">
        <f>Source!D78</f>
        <v>0</v>
      </c>
      <c r="E93" s="443">
        <f>Source!J78</f>
        <v>0</v>
      </c>
      <c r="F93" s="444">
        <f>Source!B78</f>
        <v>0</v>
      </c>
      <c r="G93" s="445">
        <f>Source!K78</f>
        <v>0</v>
      </c>
      <c r="H93" s="444">
        <f>Source!L78</f>
        <v>0</v>
      </c>
      <c r="I93" s="444">
        <f>Source!M78</f>
        <v>0</v>
      </c>
      <c r="J93" s="444">
        <f>Source!N78</f>
        <v>0</v>
      </c>
      <c r="K93" s="446">
        <f>Source!O78</f>
        <v>0</v>
      </c>
      <c r="L93" s="446">
        <f>Source!P78</f>
        <v>0</v>
      </c>
      <c r="M93" s="446">
        <f>Source!Q78</f>
        <v>0</v>
      </c>
      <c r="N93" s="447">
        <f>Source!U78</f>
        <v>0</v>
      </c>
      <c r="O93" s="448">
        <f>Source!V78</f>
        <v>0</v>
      </c>
      <c r="P93" s="449"/>
      <c r="Q93" s="450">
        <f>Source!X78</f>
        <v>0</v>
      </c>
      <c r="R93" s="215">
        <f>Source!Z78</f>
        <v>0</v>
      </c>
      <c r="S93" s="223">
        <f>Source!AA78</f>
        <v>0</v>
      </c>
      <c r="T93" s="216">
        <f>IF(Devise=DeviseInterne,Source!AB78,Source!AC78)</f>
        <v>0</v>
      </c>
      <c r="U93" s="57"/>
      <c r="V93" s="78"/>
      <c r="W93" s="78"/>
      <c r="X93" s="41"/>
      <c r="Y93" s="42"/>
    </row>
    <row r="94" spans="1:25" s="43" customFormat="1" ht="30" customHeight="1" thickTop="1" thickBot="1">
      <c r="A94" s="68"/>
      <c r="B94" s="440">
        <f>Source!G79</f>
        <v>0</v>
      </c>
      <c r="C94" s="441">
        <f>Source!C79</f>
        <v>0</v>
      </c>
      <c r="D94" s="442">
        <f>Source!D79</f>
        <v>0</v>
      </c>
      <c r="E94" s="443">
        <f>Source!J79</f>
        <v>0</v>
      </c>
      <c r="F94" s="444">
        <f>Source!B79</f>
        <v>0</v>
      </c>
      <c r="G94" s="445">
        <f>Source!K79</f>
        <v>0</v>
      </c>
      <c r="H94" s="444">
        <f>Source!L79</f>
        <v>0</v>
      </c>
      <c r="I94" s="444">
        <f>Source!M79</f>
        <v>0</v>
      </c>
      <c r="J94" s="444">
        <f>Source!N79</f>
        <v>0</v>
      </c>
      <c r="K94" s="446">
        <f>Source!O79</f>
        <v>0</v>
      </c>
      <c r="L94" s="446">
        <f>Source!P79</f>
        <v>0</v>
      </c>
      <c r="M94" s="446">
        <f>Source!Q79</f>
        <v>0</v>
      </c>
      <c r="N94" s="447">
        <f>Source!U79</f>
        <v>0</v>
      </c>
      <c r="O94" s="448">
        <f>Source!V79</f>
        <v>0</v>
      </c>
      <c r="P94" s="449"/>
      <c r="Q94" s="450">
        <f>Source!X79</f>
        <v>0</v>
      </c>
      <c r="R94" s="215">
        <f>Source!Z79</f>
        <v>0</v>
      </c>
      <c r="S94" s="223">
        <f>Source!AA79</f>
        <v>0</v>
      </c>
      <c r="T94" s="216">
        <f>IF(Devise=DeviseInterne,Source!AB79,Source!AC79)</f>
        <v>0</v>
      </c>
      <c r="U94" s="57"/>
      <c r="V94" s="78"/>
      <c r="W94" s="78"/>
      <c r="X94" s="41"/>
      <c r="Y94" s="42"/>
    </row>
    <row r="95" spans="1:25" s="43" customFormat="1" ht="30" customHeight="1" thickTop="1" thickBot="1">
      <c r="A95" s="68"/>
      <c r="B95" s="440">
        <f>Source!G80</f>
        <v>0</v>
      </c>
      <c r="C95" s="441">
        <f>Source!C80</f>
        <v>0</v>
      </c>
      <c r="D95" s="442">
        <f>Source!D80</f>
        <v>0</v>
      </c>
      <c r="E95" s="443">
        <f>Source!J80</f>
        <v>0</v>
      </c>
      <c r="F95" s="444">
        <f>Source!B80</f>
        <v>0</v>
      </c>
      <c r="G95" s="445">
        <f>Source!K80</f>
        <v>0</v>
      </c>
      <c r="H95" s="444">
        <f>Source!L80</f>
        <v>0</v>
      </c>
      <c r="I95" s="444">
        <f>Source!M80</f>
        <v>0</v>
      </c>
      <c r="J95" s="444">
        <f>Source!N80</f>
        <v>0</v>
      </c>
      <c r="K95" s="446">
        <f>Source!O80</f>
        <v>0</v>
      </c>
      <c r="L95" s="446">
        <f>Source!P80</f>
        <v>0</v>
      </c>
      <c r="M95" s="446">
        <f>Source!Q80</f>
        <v>0</v>
      </c>
      <c r="N95" s="447">
        <f>Source!U80</f>
        <v>0</v>
      </c>
      <c r="O95" s="448">
        <f>Source!V80</f>
        <v>0</v>
      </c>
      <c r="P95" s="449"/>
      <c r="Q95" s="450">
        <f>Source!X80</f>
        <v>0</v>
      </c>
      <c r="R95" s="215">
        <f>Source!Z80</f>
        <v>0</v>
      </c>
      <c r="S95" s="223">
        <f>Source!AA80</f>
        <v>0</v>
      </c>
      <c r="T95" s="216">
        <f>IF(Devise=DeviseInterne,Source!AB80,Source!AC80)</f>
        <v>0</v>
      </c>
      <c r="U95" s="57"/>
      <c r="V95" s="78"/>
      <c r="W95" s="78"/>
      <c r="X95" s="41"/>
      <c r="Y95" s="42"/>
    </row>
    <row r="96" spans="1:25" s="43" customFormat="1" ht="30" customHeight="1" thickTop="1" thickBot="1">
      <c r="A96" s="68"/>
      <c r="B96" s="440">
        <f>Source!G81</f>
        <v>0</v>
      </c>
      <c r="C96" s="441">
        <f>Source!C81</f>
        <v>0</v>
      </c>
      <c r="D96" s="442">
        <f>Source!D81</f>
        <v>0</v>
      </c>
      <c r="E96" s="443">
        <f>Source!J81</f>
        <v>0</v>
      </c>
      <c r="F96" s="444">
        <f>Source!B81</f>
        <v>0</v>
      </c>
      <c r="G96" s="445">
        <f>Source!K81</f>
        <v>0</v>
      </c>
      <c r="H96" s="444">
        <f>Source!L81</f>
        <v>0</v>
      </c>
      <c r="I96" s="444">
        <f>Source!M81</f>
        <v>0</v>
      </c>
      <c r="J96" s="444">
        <f>Source!N81</f>
        <v>0</v>
      </c>
      <c r="K96" s="446">
        <f>Source!O81</f>
        <v>0</v>
      </c>
      <c r="L96" s="446">
        <f>Source!P81</f>
        <v>0</v>
      </c>
      <c r="M96" s="446">
        <f>Source!Q81</f>
        <v>0</v>
      </c>
      <c r="N96" s="447">
        <f>Source!U81</f>
        <v>0</v>
      </c>
      <c r="O96" s="448">
        <f>Source!V81</f>
        <v>0</v>
      </c>
      <c r="P96" s="449"/>
      <c r="Q96" s="450">
        <f>Source!X81</f>
        <v>0</v>
      </c>
      <c r="R96" s="215">
        <f>Source!Z81</f>
        <v>0</v>
      </c>
      <c r="S96" s="223">
        <f>Source!AA81</f>
        <v>0</v>
      </c>
      <c r="T96" s="216">
        <f>IF(Devise=DeviseInterne,Source!AB81,Source!AC81)</f>
        <v>0</v>
      </c>
      <c r="U96" s="57"/>
      <c r="V96" s="78"/>
      <c r="W96" s="78"/>
      <c r="X96" s="41"/>
      <c r="Y96" s="42"/>
    </row>
    <row r="97" spans="1:25" s="43" customFormat="1" ht="30" customHeight="1" thickTop="1" thickBot="1">
      <c r="A97" s="68"/>
      <c r="B97" s="440">
        <f>Source!G82</f>
        <v>0</v>
      </c>
      <c r="C97" s="441">
        <f>Source!C82</f>
        <v>0</v>
      </c>
      <c r="D97" s="442">
        <f>Source!D82</f>
        <v>0</v>
      </c>
      <c r="E97" s="443">
        <f>Source!J82</f>
        <v>0</v>
      </c>
      <c r="F97" s="444">
        <f>Source!B82</f>
        <v>0</v>
      </c>
      <c r="G97" s="445">
        <f>Source!K82</f>
        <v>0</v>
      </c>
      <c r="H97" s="444">
        <f>Source!L82</f>
        <v>0</v>
      </c>
      <c r="I97" s="444">
        <f>Source!M82</f>
        <v>0</v>
      </c>
      <c r="J97" s="444">
        <f>Source!N82</f>
        <v>0</v>
      </c>
      <c r="K97" s="446">
        <f>Source!O82</f>
        <v>0</v>
      </c>
      <c r="L97" s="446">
        <f>Source!P82</f>
        <v>0</v>
      </c>
      <c r="M97" s="446">
        <f>Source!Q82</f>
        <v>0</v>
      </c>
      <c r="N97" s="447">
        <f>Source!U82</f>
        <v>0</v>
      </c>
      <c r="O97" s="448">
        <f>Source!V82</f>
        <v>0</v>
      </c>
      <c r="P97" s="449"/>
      <c r="Q97" s="450">
        <f>Source!X82</f>
        <v>0</v>
      </c>
      <c r="R97" s="215">
        <f>Source!Z82</f>
        <v>0</v>
      </c>
      <c r="S97" s="223">
        <f>Source!AA82</f>
        <v>0</v>
      </c>
      <c r="T97" s="216">
        <f>IF(Devise=DeviseInterne,Source!AB82,Source!AC82)</f>
        <v>0</v>
      </c>
      <c r="U97" s="57"/>
      <c r="V97" s="78"/>
      <c r="W97" s="78"/>
      <c r="X97" s="41"/>
      <c r="Y97" s="42"/>
    </row>
    <row r="98" spans="1:25" s="43" customFormat="1" ht="30" customHeight="1" thickTop="1" thickBot="1">
      <c r="A98" s="68"/>
      <c r="B98" s="440">
        <f>Source!G83</f>
        <v>0</v>
      </c>
      <c r="C98" s="441">
        <f>Source!C83</f>
        <v>0</v>
      </c>
      <c r="D98" s="442">
        <f>Source!D83</f>
        <v>0</v>
      </c>
      <c r="E98" s="443">
        <f>Source!J83</f>
        <v>0</v>
      </c>
      <c r="F98" s="444">
        <f>Source!B83</f>
        <v>0</v>
      </c>
      <c r="G98" s="445">
        <f>Source!K83</f>
        <v>0</v>
      </c>
      <c r="H98" s="444">
        <f>Source!L83</f>
        <v>0</v>
      </c>
      <c r="I98" s="444">
        <f>Source!M83</f>
        <v>0</v>
      </c>
      <c r="J98" s="444">
        <f>Source!N83</f>
        <v>0</v>
      </c>
      <c r="K98" s="446">
        <f>Source!O83</f>
        <v>0</v>
      </c>
      <c r="L98" s="446">
        <f>Source!P83</f>
        <v>0</v>
      </c>
      <c r="M98" s="446">
        <f>Source!Q83</f>
        <v>0</v>
      </c>
      <c r="N98" s="447">
        <f>Source!U83</f>
        <v>0</v>
      </c>
      <c r="O98" s="448">
        <f>Source!V83</f>
        <v>0</v>
      </c>
      <c r="P98" s="449"/>
      <c r="Q98" s="450">
        <f>Source!X83</f>
        <v>0</v>
      </c>
      <c r="R98" s="215">
        <f>Source!Z83</f>
        <v>0</v>
      </c>
      <c r="S98" s="223">
        <f>Source!AA83</f>
        <v>0</v>
      </c>
      <c r="T98" s="216">
        <f>IF(Devise=DeviseInterne,Source!AB83,Source!AC83)</f>
        <v>0</v>
      </c>
      <c r="U98" s="57"/>
      <c r="V98" s="78"/>
      <c r="W98" s="78"/>
      <c r="X98" s="41"/>
      <c r="Y98" s="42"/>
    </row>
    <row r="99" spans="1:25" s="43" customFormat="1" ht="30" customHeight="1" thickTop="1" thickBot="1">
      <c r="A99" s="68"/>
      <c r="B99" s="440">
        <f>Source!G84</f>
        <v>0</v>
      </c>
      <c r="C99" s="441">
        <f>Source!C84</f>
        <v>0</v>
      </c>
      <c r="D99" s="442">
        <f>Source!D84</f>
        <v>0</v>
      </c>
      <c r="E99" s="443">
        <f>Source!J84</f>
        <v>0</v>
      </c>
      <c r="F99" s="444">
        <f>Source!B84</f>
        <v>0</v>
      </c>
      <c r="G99" s="445">
        <f>Source!K84</f>
        <v>0</v>
      </c>
      <c r="H99" s="444">
        <f>Source!L84</f>
        <v>0</v>
      </c>
      <c r="I99" s="444">
        <f>Source!M84</f>
        <v>0</v>
      </c>
      <c r="J99" s="444">
        <f>Source!N84</f>
        <v>0</v>
      </c>
      <c r="K99" s="446">
        <f>Source!O84</f>
        <v>0</v>
      </c>
      <c r="L99" s="446">
        <f>Source!P84</f>
        <v>0</v>
      </c>
      <c r="M99" s="446">
        <f>Source!Q84</f>
        <v>0</v>
      </c>
      <c r="N99" s="447">
        <f>Source!U84</f>
        <v>0</v>
      </c>
      <c r="O99" s="448">
        <f>Source!V84</f>
        <v>0</v>
      </c>
      <c r="P99" s="449"/>
      <c r="Q99" s="450">
        <f>Source!X84</f>
        <v>0</v>
      </c>
      <c r="R99" s="215">
        <f>Source!Z84</f>
        <v>0</v>
      </c>
      <c r="S99" s="223">
        <f>Source!AA84</f>
        <v>0</v>
      </c>
      <c r="T99" s="216">
        <f>IF(Devise=DeviseInterne,Source!AB84,Source!AC84)</f>
        <v>0</v>
      </c>
      <c r="U99" s="57"/>
      <c r="V99" s="78"/>
      <c r="W99" s="78"/>
      <c r="X99" s="41"/>
      <c r="Y99" s="42"/>
    </row>
    <row r="100" spans="1:25" s="43" customFormat="1" ht="30" customHeight="1" thickTop="1" thickBot="1">
      <c r="A100" s="68"/>
      <c r="B100" s="440">
        <f>Source!G85</f>
        <v>0</v>
      </c>
      <c r="C100" s="441">
        <f>Source!C85</f>
        <v>0</v>
      </c>
      <c r="D100" s="442">
        <f>Source!D85</f>
        <v>0</v>
      </c>
      <c r="E100" s="443">
        <f>Source!J85</f>
        <v>0</v>
      </c>
      <c r="F100" s="444">
        <f>Source!B85</f>
        <v>0</v>
      </c>
      <c r="G100" s="445">
        <f>Source!K85</f>
        <v>0</v>
      </c>
      <c r="H100" s="444">
        <f>Source!L85</f>
        <v>0</v>
      </c>
      <c r="I100" s="444">
        <f>Source!M85</f>
        <v>0</v>
      </c>
      <c r="J100" s="444">
        <f>Source!N85</f>
        <v>0</v>
      </c>
      <c r="K100" s="446">
        <f>Source!O85</f>
        <v>0</v>
      </c>
      <c r="L100" s="446">
        <f>Source!P85</f>
        <v>0</v>
      </c>
      <c r="M100" s="446">
        <f>Source!Q85</f>
        <v>0</v>
      </c>
      <c r="N100" s="447">
        <f>Source!U85</f>
        <v>0</v>
      </c>
      <c r="O100" s="448">
        <f>Source!V85</f>
        <v>0</v>
      </c>
      <c r="P100" s="449"/>
      <c r="Q100" s="450">
        <f>Source!X85</f>
        <v>0</v>
      </c>
      <c r="R100" s="215">
        <f>Source!Z85</f>
        <v>0</v>
      </c>
      <c r="S100" s="223">
        <f>Source!AA85</f>
        <v>0</v>
      </c>
      <c r="T100" s="216">
        <f>IF(Devise=DeviseInterne,Source!AB85,Source!AC85)</f>
        <v>0</v>
      </c>
      <c r="U100" s="57"/>
      <c r="V100" s="78"/>
      <c r="W100" s="78"/>
      <c r="X100" s="41"/>
      <c r="Y100" s="42"/>
    </row>
    <row r="101" spans="1:25" s="43" customFormat="1" ht="30" customHeight="1" thickTop="1" thickBot="1">
      <c r="A101" s="68"/>
      <c r="B101" s="440">
        <f>Source!G86</f>
        <v>0</v>
      </c>
      <c r="C101" s="441">
        <f>Source!C86</f>
        <v>0</v>
      </c>
      <c r="D101" s="442">
        <f>Source!D86</f>
        <v>0</v>
      </c>
      <c r="E101" s="443">
        <f>Source!J86</f>
        <v>0</v>
      </c>
      <c r="F101" s="444">
        <f>Source!B86</f>
        <v>0</v>
      </c>
      <c r="G101" s="445">
        <f>Source!K86</f>
        <v>0</v>
      </c>
      <c r="H101" s="444">
        <f>Source!L86</f>
        <v>0</v>
      </c>
      <c r="I101" s="444">
        <f>Source!M86</f>
        <v>0</v>
      </c>
      <c r="J101" s="444">
        <f>Source!N86</f>
        <v>0</v>
      </c>
      <c r="K101" s="446">
        <f>Source!O86</f>
        <v>0</v>
      </c>
      <c r="L101" s="446">
        <f>Source!P86</f>
        <v>0</v>
      </c>
      <c r="M101" s="446">
        <f>Source!Q86</f>
        <v>0</v>
      </c>
      <c r="N101" s="447">
        <f>Source!U86</f>
        <v>0</v>
      </c>
      <c r="O101" s="448">
        <f>Source!V86</f>
        <v>0</v>
      </c>
      <c r="P101" s="449"/>
      <c r="Q101" s="450">
        <f>Source!X86</f>
        <v>0</v>
      </c>
      <c r="R101" s="215">
        <f>Source!Z86</f>
        <v>0</v>
      </c>
      <c r="S101" s="223">
        <f>Source!AA86</f>
        <v>0</v>
      </c>
      <c r="T101" s="216">
        <f>IF(Devise=DeviseInterne,Source!AB86,Source!AC86)</f>
        <v>0</v>
      </c>
      <c r="U101" s="57"/>
      <c r="V101" s="78"/>
      <c r="W101" s="78"/>
      <c r="X101" s="41"/>
      <c r="Y101" s="42"/>
    </row>
    <row r="102" spans="1:25" s="43" customFormat="1" ht="30" customHeight="1" thickTop="1" thickBot="1">
      <c r="A102" s="68"/>
      <c r="B102" s="440">
        <f>Source!G87</f>
        <v>0</v>
      </c>
      <c r="C102" s="441">
        <f>Source!C87</f>
        <v>0</v>
      </c>
      <c r="D102" s="442">
        <f>Source!D87</f>
        <v>0</v>
      </c>
      <c r="E102" s="443">
        <f>Source!J87</f>
        <v>0</v>
      </c>
      <c r="F102" s="444">
        <f>Source!B87</f>
        <v>0</v>
      </c>
      <c r="G102" s="445">
        <f>Source!K87</f>
        <v>0</v>
      </c>
      <c r="H102" s="444">
        <f>Source!L87</f>
        <v>0</v>
      </c>
      <c r="I102" s="444">
        <f>Source!M87</f>
        <v>0</v>
      </c>
      <c r="J102" s="444">
        <f>Source!N87</f>
        <v>0</v>
      </c>
      <c r="K102" s="446">
        <f>Source!O87</f>
        <v>0</v>
      </c>
      <c r="L102" s="446">
        <f>Source!P87</f>
        <v>0</v>
      </c>
      <c r="M102" s="446">
        <f>Source!Q87</f>
        <v>0</v>
      </c>
      <c r="N102" s="447">
        <f>Source!U87</f>
        <v>0</v>
      </c>
      <c r="O102" s="448">
        <f>Source!V87</f>
        <v>0</v>
      </c>
      <c r="P102" s="449"/>
      <c r="Q102" s="450">
        <f>Source!X87</f>
        <v>0</v>
      </c>
      <c r="R102" s="215">
        <f>Source!Z87</f>
        <v>0</v>
      </c>
      <c r="S102" s="223">
        <f>Source!AA87</f>
        <v>0</v>
      </c>
      <c r="T102" s="216">
        <f>IF(Devise=DeviseInterne,Source!AB87,Source!AC87)</f>
        <v>0</v>
      </c>
      <c r="U102" s="57"/>
      <c r="V102" s="78"/>
      <c r="W102" s="78"/>
      <c r="X102" s="41"/>
      <c r="Y102" s="42"/>
    </row>
    <row r="103" spans="1:25" s="43" customFormat="1" ht="30" customHeight="1" thickTop="1" thickBot="1">
      <c r="A103" s="68"/>
      <c r="B103" s="440">
        <f>Source!G88</f>
        <v>0</v>
      </c>
      <c r="C103" s="441">
        <f>Source!C88</f>
        <v>0</v>
      </c>
      <c r="D103" s="442">
        <f>Source!D88</f>
        <v>0</v>
      </c>
      <c r="E103" s="443">
        <f>Source!J88</f>
        <v>0</v>
      </c>
      <c r="F103" s="444">
        <f>Source!B88</f>
        <v>0</v>
      </c>
      <c r="G103" s="445">
        <f>Source!K88</f>
        <v>0</v>
      </c>
      <c r="H103" s="444">
        <f>Source!L88</f>
        <v>0</v>
      </c>
      <c r="I103" s="444">
        <f>Source!M88</f>
        <v>0</v>
      </c>
      <c r="J103" s="444">
        <f>Source!N88</f>
        <v>0</v>
      </c>
      <c r="K103" s="446">
        <f>Source!O88</f>
        <v>0</v>
      </c>
      <c r="L103" s="446">
        <f>Source!P88</f>
        <v>0</v>
      </c>
      <c r="M103" s="446">
        <f>Source!Q88</f>
        <v>0</v>
      </c>
      <c r="N103" s="447">
        <f>Source!U88</f>
        <v>0</v>
      </c>
      <c r="O103" s="448">
        <f>Source!V88</f>
        <v>0</v>
      </c>
      <c r="P103" s="449"/>
      <c r="Q103" s="450">
        <f>Source!X88</f>
        <v>0</v>
      </c>
      <c r="R103" s="215">
        <f>Source!Z88</f>
        <v>0</v>
      </c>
      <c r="S103" s="223">
        <f>Source!AA88</f>
        <v>0</v>
      </c>
      <c r="T103" s="216">
        <f>IF(Devise=DeviseInterne,Source!AB88,Source!AC88)</f>
        <v>0</v>
      </c>
      <c r="U103" s="57"/>
      <c r="V103" s="78"/>
      <c r="W103" s="78"/>
      <c r="X103" s="41"/>
      <c r="Y103" s="42"/>
    </row>
    <row r="104" spans="1:25" s="43" customFormat="1" ht="30" customHeight="1" thickTop="1" thickBot="1">
      <c r="A104" s="68"/>
      <c r="B104" s="440">
        <f>Source!G89</f>
        <v>0</v>
      </c>
      <c r="C104" s="441">
        <f>Source!C89</f>
        <v>0</v>
      </c>
      <c r="D104" s="442">
        <f>Source!D89</f>
        <v>0</v>
      </c>
      <c r="E104" s="443">
        <f>Source!J89</f>
        <v>0</v>
      </c>
      <c r="F104" s="444">
        <f>Source!B89</f>
        <v>0</v>
      </c>
      <c r="G104" s="445">
        <f>Source!K89</f>
        <v>0</v>
      </c>
      <c r="H104" s="444">
        <f>Source!L89</f>
        <v>0</v>
      </c>
      <c r="I104" s="444">
        <f>Source!M89</f>
        <v>0</v>
      </c>
      <c r="J104" s="444">
        <f>Source!N89</f>
        <v>0</v>
      </c>
      <c r="K104" s="446">
        <f>Source!O89</f>
        <v>0</v>
      </c>
      <c r="L104" s="446">
        <f>Source!P89</f>
        <v>0</v>
      </c>
      <c r="M104" s="446">
        <f>Source!Q89</f>
        <v>0</v>
      </c>
      <c r="N104" s="447">
        <f>Source!U89</f>
        <v>0</v>
      </c>
      <c r="O104" s="448">
        <f>Source!V89</f>
        <v>0</v>
      </c>
      <c r="P104" s="449"/>
      <c r="Q104" s="450">
        <f>Source!X89</f>
        <v>0</v>
      </c>
      <c r="R104" s="215">
        <f>Source!Z89</f>
        <v>0</v>
      </c>
      <c r="S104" s="223">
        <f>Source!AA89</f>
        <v>0</v>
      </c>
      <c r="T104" s="216">
        <f>IF(Devise=DeviseInterne,Source!AB89,Source!AC89)</f>
        <v>0</v>
      </c>
      <c r="U104" s="57"/>
      <c r="V104" s="78"/>
      <c r="W104" s="78"/>
      <c r="X104" s="41"/>
      <c r="Y104" s="42"/>
    </row>
    <row r="105" spans="1:25" s="43" customFormat="1" ht="30" customHeight="1" thickTop="1" thickBot="1">
      <c r="A105" s="68"/>
      <c r="B105" s="440">
        <f>Source!G90</f>
        <v>0</v>
      </c>
      <c r="C105" s="441">
        <f>Source!C90</f>
        <v>0</v>
      </c>
      <c r="D105" s="442">
        <f>Source!D90</f>
        <v>0</v>
      </c>
      <c r="E105" s="443">
        <f>Source!J90</f>
        <v>0</v>
      </c>
      <c r="F105" s="444">
        <f>Source!B90</f>
        <v>0</v>
      </c>
      <c r="G105" s="445">
        <f>Source!K90</f>
        <v>0</v>
      </c>
      <c r="H105" s="444">
        <f>Source!L90</f>
        <v>0</v>
      </c>
      <c r="I105" s="444">
        <f>Source!M90</f>
        <v>0</v>
      </c>
      <c r="J105" s="444">
        <f>Source!N90</f>
        <v>0</v>
      </c>
      <c r="K105" s="446">
        <f>Source!O90</f>
        <v>0</v>
      </c>
      <c r="L105" s="446">
        <f>Source!P90</f>
        <v>0</v>
      </c>
      <c r="M105" s="446">
        <f>Source!Q90</f>
        <v>0</v>
      </c>
      <c r="N105" s="447">
        <f>Source!U90</f>
        <v>0</v>
      </c>
      <c r="O105" s="448">
        <f>Source!V90</f>
        <v>0</v>
      </c>
      <c r="P105" s="449"/>
      <c r="Q105" s="450">
        <f>Source!X90</f>
        <v>0</v>
      </c>
      <c r="R105" s="215">
        <f>Source!Z90</f>
        <v>0</v>
      </c>
      <c r="S105" s="223">
        <f>Source!AA90</f>
        <v>0</v>
      </c>
      <c r="T105" s="216">
        <f>IF(Devise=DeviseInterne,Source!AB90,Source!AC90)</f>
        <v>0</v>
      </c>
      <c r="U105" s="57"/>
      <c r="V105" s="78"/>
      <c r="W105" s="78"/>
      <c r="X105" s="41"/>
      <c r="Y105" s="42"/>
    </row>
    <row r="106" spans="1:25" s="43" customFormat="1" ht="30" customHeight="1" thickTop="1" thickBot="1">
      <c r="A106" s="68"/>
      <c r="B106" s="440">
        <f>Source!G91</f>
        <v>0</v>
      </c>
      <c r="C106" s="441">
        <f>Source!C91</f>
        <v>0</v>
      </c>
      <c r="D106" s="442">
        <f>Source!D91</f>
        <v>0</v>
      </c>
      <c r="E106" s="443">
        <f>Source!J91</f>
        <v>0</v>
      </c>
      <c r="F106" s="444">
        <f>Source!B91</f>
        <v>0</v>
      </c>
      <c r="G106" s="445">
        <f>Source!K91</f>
        <v>0</v>
      </c>
      <c r="H106" s="444">
        <f>Source!L91</f>
        <v>0</v>
      </c>
      <c r="I106" s="444">
        <f>Source!M91</f>
        <v>0</v>
      </c>
      <c r="J106" s="444">
        <f>Source!N91</f>
        <v>0</v>
      </c>
      <c r="K106" s="446">
        <f>Source!O91</f>
        <v>0</v>
      </c>
      <c r="L106" s="446">
        <f>Source!P91</f>
        <v>0</v>
      </c>
      <c r="M106" s="446">
        <f>Source!Q91</f>
        <v>0</v>
      </c>
      <c r="N106" s="447">
        <f>Source!U91</f>
        <v>0</v>
      </c>
      <c r="O106" s="448">
        <f>Source!V91</f>
        <v>0</v>
      </c>
      <c r="P106" s="449"/>
      <c r="Q106" s="450">
        <f>Source!X91</f>
        <v>0</v>
      </c>
      <c r="R106" s="215">
        <f>Source!Z91</f>
        <v>0</v>
      </c>
      <c r="S106" s="223">
        <f>Source!AA91</f>
        <v>0</v>
      </c>
      <c r="T106" s="216">
        <f>IF(Devise=DeviseInterne,Source!AB91,Source!AC91)</f>
        <v>0</v>
      </c>
      <c r="U106" s="57"/>
      <c r="V106" s="78"/>
      <c r="W106" s="78"/>
      <c r="X106" s="41"/>
      <c r="Y106" s="42"/>
    </row>
    <row r="107" spans="1:25" s="43" customFormat="1" ht="30" customHeight="1" thickTop="1" thickBot="1">
      <c r="A107" s="68"/>
      <c r="B107" s="440">
        <f>Source!G92</f>
        <v>0</v>
      </c>
      <c r="C107" s="441">
        <f>Source!C92</f>
        <v>0</v>
      </c>
      <c r="D107" s="442">
        <f>Source!D92</f>
        <v>0</v>
      </c>
      <c r="E107" s="443">
        <f>Source!J92</f>
        <v>0</v>
      </c>
      <c r="F107" s="444">
        <f>Source!B92</f>
        <v>0</v>
      </c>
      <c r="G107" s="445">
        <f>Source!K92</f>
        <v>0</v>
      </c>
      <c r="H107" s="444">
        <f>Source!L92</f>
        <v>0</v>
      </c>
      <c r="I107" s="444">
        <f>Source!M92</f>
        <v>0</v>
      </c>
      <c r="J107" s="444">
        <f>Source!N92</f>
        <v>0</v>
      </c>
      <c r="K107" s="446">
        <f>Source!O92</f>
        <v>0</v>
      </c>
      <c r="L107" s="446">
        <f>Source!P92</f>
        <v>0</v>
      </c>
      <c r="M107" s="446">
        <f>Source!Q92</f>
        <v>0</v>
      </c>
      <c r="N107" s="447">
        <f>Source!U92</f>
        <v>0</v>
      </c>
      <c r="O107" s="448">
        <f>Source!V92</f>
        <v>0</v>
      </c>
      <c r="P107" s="449"/>
      <c r="Q107" s="450">
        <f>Source!X92</f>
        <v>0</v>
      </c>
      <c r="R107" s="215">
        <f>Source!Z92</f>
        <v>0</v>
      </c>
      <c r="S107" s="223">
        <f>Source!AA92</f>
        <v>0</v>
      </c>
      <c r="T107" s="216">
        <f>IF(Devise=DeviseInterne,Source!AB92,Source!AC92)</f>
        <v>0</v>
      </c>
      <c r="U107" s="57"/>
      <c r="V107" s="78"/>
      <c r="W107" s="78"/>
      <c r="X107" s="41"/>
      <c r="Y107" s="42"/>
    </row>
    <row r="108" spans="1:25" s="43" customFormat="1" ht="30" customHeight="1" thickTop="1" thickBot="1">
      <c r="A108" s="68"/>
      <c r="B108" s="440">
        <f>Source!G93</f>
        <v>0</v>
      </c>
      <c r="C108" s="441">
        <f>Source!C93</f>
        <v>0</v>
      </c>
      <c r="D108" s="442">
        <f>Source!D93</f>
        <v>0</v>
      </c>
      <c r="E108" s="443">
        <f>Source!J93</f>
        <v>0</v>
      </c>
      <c r="F108" s="444">
        <f>Source!B93</f>
        <v>0</v>
      </c>
      <c r="G108" s="445">
        <f>Source!K93</f>
        <v>0</v>
      </c>
      <c r="H108" s="444">
        <f>Source!L93</f>
        <v>0</v>
      </c>
      <c r="I108" s="444">
        <f>Source!M93</f>
        <v>0</v>
      </c>
      <c r="J108" s="444">
        <f>Source!N93</f>
        <v>0</v>
      </c>
      <c r="K108" s="446">
        <f>Source!O93</f>
        <v>0</v>
      </c>
      <c r="L108" s="446">
        <f>Source!P93</f>
        <v>0</v>
      </c>
      <c r="M108" s="446">
        <f>Source!Q93</f>
        <v>0</v>
      </c>
      <c r="N108" s="447">
        <f>Source!U93</f>
        <v>0</v>
      </c>
      <c r="O108" s="448">
        <f>Source!V93</f>
        <v>0</v>
      </c>
      <c r="P108" s="449"/>
      <c r="Q108" s="450">
        <f>Source!X93</f>
        <v>0</v>
      </c>
      <c r="R108" s="215">
        <f>Source!Z93</f>
        <v>0</v>
      </c>
      <c r="S108" s="223">
        <f>Source!AA93</f>
        <v>0</v>
      </c>
      <c r="T108" s="216">
        <f>IF(Devise=DeviseInterne,Source!AB93,Source!AC93)</f>
        <v>0</v>
      </c>
      <c r="U108" s="57"/>
      <c r="V108" s="78"/>
      <c r="W108" s="78"/>
      <c r="X108" s="41"/>
      <c r="Y108" s="42"/>
    </row>
    <row r="109" spans="1:25" s="43" customFormat="1" ht="30" customHeight="1" thickTop="1" thickBot="1">
      <c r="A109" s="68"/>
      <c r="B109" s="440">
        <f>Source!G94</f>
        <v>0</v>
      </c>
      <c r="C109" s="441">
        <f>Source!C94</f>
        <v>0</v>
      </c>
      <c r="D109" s="442">
        <f>Source!D94</f>
        <v>0</v>
      </c>
      <c r="E109" s="443">
        <f>Source!J94</f>
        <v>0</v>
      </c>
      <c r="F109" s="444">
        <f>Source!B94</f>
        <v>0</v>
      </c>
      <c r="G109" s="445">
        <f>Source!K94</f>
        <v>0</v>
      </c>
      <c r="H109" s="444">
        <f>Source!L94</f>
        <v>0</v>
      </c>
      <c r="I109" s="444">
        <f>Source!M94</f>
        <v>0</v>
      </c>
      <c r="J109" s="444">
        <f>Source!N94</f>
        <v>0</v>
      </c>
      <c r="K109" s="446">
        <f>Source!O94</f>
        <v>0</v>
      </c>
      <c r="L109" s="446">
        <f>Source!P94</f>
        <v>0</v>
      </c>
      <c r="M109" s="446">
        <f>Source!Q94</f>
        <v>0</v>
      </c>
      <c r="N109" s="447">
        <f>Source!U94</f>
        <v>0</v>
      </c>
      <c r="O109" s="448">
        <f>Source!V94</f>
        <v>0</v>
      </c>
      <c r="P109" s="449"/>
      <c r="Q109" s="450">
        <f>Source!X94</f>
        <v>0</v>
      </c>
      <c r="R109" s="215">
        <f>Source!Z94</f>
        <v>0</v>
      </c>
      <c r="S109" s="223">
        <f>Source!AA94</f>
        <v>0</v>
      </c>
      <c r="T109" s="216">
        <f>IF(Devise=DeviseInterne,Source!AB94,Source!AC94)</f>
        <v>0</v>
      </c>
      <c r="U109" s="57"/>
      <c r="V109" s="78"/>
      <c r="W109" s="78"/>
      <c r="X109" s="41"/>
      <c r="Y109" s="42"/>
    </row>
    <row r="110" spans="1:25" s="43" customFormat="1" ht="30" customHeight="1" thickTop="1" thickBot="1">
      <c r="A110" s="68"/>
      <c r="B110" s="440">
        <f>Source!G95</f>
        <v>0</v>
      </c>
      <c r="C110" s="441">
        <f>Source!C95</f>
        <v>0</v>
      </c>
      <c r="D110" s="442">
        <f>Source!D95</f>
        <v>0</v>
      </c>
      <c r="E110" s="443">
        <f>Source!J95</f>
        <v>0</v>
      </c>
      <c r="F110" s="444">
        <f>Source!B95</f>
        <v>0</v>
      </c>
      <c r="G110" s="445">
        <f>Source!K95</f>
        <v>0</v>
      </c>
      <c r="H110" s="444">
        <f>Source!L95</f>
        <v>0</v>
      </c>
      <c r="I110" s="444">
        <f>Source!M95</f>
        <v>0</v>
      </c>
      <c r="J110" s="444">
        <f>Source!N95</f>
        <v>0</v>
      </c>
      <c r="K110" s="446">
        <f>Source!O95</f>
        <v>0</v>
      </c>
      <c r="L110" s="446">
        <f>Source!P95</f>
        <v>0</v>
      </c>
      <c r="M110" s="446">
        <f>Source!Q95</f>
        <v>0</v>
      </c>
      <c r="N110" s="447">
        <f>Source!U95</f>
        <v>0</v>
      </c>
      <c r="O110" s="448">
        <f>Source!V95</f>
        <v>0</v>
      </c>
      <c r="P110" s="449"/>
      <c r="Q110" s="450">
        <f>Source!X95</f>
        <v>0</v>
      </c>
      <c r="R110" s="215">
        <f>Source!Z95</f>
        <v>0</v>
      </c>
      <c r="S110" s="223">
        <f>Source!AA95</f>
        <v>0</v>
      </c>
      <c r="T110" s="216">
        <f>IF(Devise=DeviseInterne,Source!AB95,Source!AC95)</f>
        <v>0</v>
      </c>
      <c r="U110" s="57"/>
      <c r="V110" s="78"/>
      <c r="W110" s="78"/>
      <c r="X110" s="41"/>
      <c r="Y110" s="42"/>
    </row>
    <row r="111" spans="1:25" s="43" customFormat="1" ht="30" customHeight="1" thickTop="1" thickBot="1">
      <c r="A111" s="68"/>
      <c r="B111" s="440">
        <f>Source!G96</f>
        <v>0</v>
      </c>
      <c r="C111" s="441">
        <f>Source!C96</f>
        <v>0</v>
      </c>
      <c r="D111" s="442">
        <f>Source!D96</f>
        <v>0</v>
      </c>
      <c r="E111" s="443">
        <f>Source!J96</f>
        <v>0</v>
      </c>
      <c r="F111" s="444">
        <f>Source!B96</f>
        <v>0</v>
      </c>
      <c r="G111" s="445">
        <f>Source!K96</f>
        <v>0</v>
      </c>
      <c r="H111" s="444">
        <f>Source!L96</f>
        <v>0</v>
      </c>
      <c r="I111" s="444">
        <f>Source!M96</f>
        <v>0</v>
      </c>
      <c r="J111" s="444">
        <f>Source!N96</f>
        <v>0</v>
      </c>
      <c r="K111" s="446">
        <f>Source!O96</f>
        <v>0</v>
      </c>
      <c r="L111" s="446">
        <f>Source!P96</f>
        <v>0</v>
      </c>
      <c r="M111" s="446">
        <f>Source!Q96</f>
        <v>0</v>
      </c>
      <c r="N111" s="447">
        <f>Source!U96</f>
        <v>0</v>
      </c>
      <c r="O111" s="448">
        <f>Source!V96</f>
        <v>0</v>
      </c>
      <c r="P111" s="449"/>
      <c r="Q111" s="450">
        <f>Source!X96</f>
        <v>0</v>
      </c>
      <c r="R111" s="215">
        <f>Source!Z96</f>
        <v>0</v>
      </c>
      <c r="S111" s="223">
        <f>Source!AA96</f>
        <v>0</v>
      </c>
      <c r="T111" s="216">
        <f>IF(Devise=DeviseInterne,Source!AB96,Source!AC96)</f>
        <v>0</v>
      </c>
      <c r="U111" s="57"/>
      <c r="V111" s="78"/>
      <c r="W111" s="78"/>
      <c r="X111" s="41"/>
      <c r="Y111" s="42"/>
    </row>
    <row r="112" spans="1:25" s="43" customFormat="1" ht="30" customHeight="1" thickTop="1" thickBot="1">
      <c r="A112" s="68"/>
      <c r="B112" s="440">
        <f>Source!G97</f>
        <v>0</v>
      </c>
      <c r="C112" s="441">
        <f>Source!C97</f>
        <v>0</v>
      </c>
      <c r="D112" s="442">
        <f>Source!D97</f>
        <v>0</v>
      </c>
      <c r="E112" s="443">
        <f>Source!J97</f>
        <v>0</v>
      </c>
      <c r="F112" s="444">
        <f>Source!B97</f>
        <v>0</v>
      </c>
      <c r="G112" s="445">
        <f>Source!K97</f>
        <v>0</v>
      </c>
      <c r="H112" s="444">
        <f>Source!L97</f>
        <v>0</v>
      </c>
      <c r="I112" s="444">
        <f>Source!M97</f>
        <v>0</v>
      </c>
      <c r="J112" s="444">
        <f>Source!N97</f>
        <v>0</v>
      </c>
      <c r="K112" s="446">
        <f>Source!O97</f>
        <v>0</v>
      </c>
      <c r="L112" s="446">
        <f>Source!P97</f>
        <v>0</v>
      </c>
      <c r="M112" s="446">
        <f>Source!Q97</f>
        <v>0</v>
      </c>
      <c r="N112" s="447">
        <f>Source!U97</f>
        <v>0</v>
      </c>
      <c r="O112" s="448">
        <f>Source!V97</f>
        <v>0</v>
      </c>
      <c r="P112" s="449"/>
      <c r="Q112" s="450">
        <f>Source!X97</f>
        <v>0</v>
      </c>
      <c r="R112" s="215">
        <f>Source!Z97</f>
        <v>0</v>
      </c>
      <c r="S112" s="223">
        <f>Source!AA97</f>
        <v>0</v>
      </c>
      <c r="T112" s="216">
        <f>IF(Devise=DeviseInterne,Source!AB97,Source!AC97)</f>
        <v>0</v>
      </c>
      <c r="U112" s="57"/>
      <c r="V112" s="78"/>
      <c r="W112" s="78"/>
      <c r="X112" s="41"/>
      <c r="Y112" s="42"/>
    </row>
    <row r="113" spans="1:25" s="43" customFormat="1" ht="30" customHeight="1" thickTop="1" thickBot="1">
      <c r="A113" s="68"/>
      <c r="B113" s="440">
        <f>Source!G98</f>
        <v>0</v>
      </c>
      <c r="C113" s="441">
        <f>Source!C98</f>
        <v>0</v>
      </c>
      <c r="D113" s="442">
        <f>Source!D98</f>
        <v>0</v>
      </c>
      <c r="E113" s="443">
        <f>Source!J98</f>
        <v>0</v>
      </c>
      <c r="F113" s="444">
        <f>Source!B98</f>
        <v>0</v>
      </c>
      <c r="G113" s="445">
        <f>Source!K98</f>
        <v>0</v>
      </c>
      <c r="H113" s="444">
        <f>Source!L98</f>
        <v>0</v>
      </c>
      <c r="I113" s="444">
        <f>Source!M98</f>
        <v>0</v>
      </c>
      <c r="J113" s="444">
        <f>Source!N98</f>
        <v>0</v>
      </c>
      <c r="K113" s="446">
        <f>Source!O98</f>
        <v>0</v>
      </c>
      <c r="L113" s="446">
        <f>Source!P98</f>
        <v>0</v>
      </c>
      <c r="M113" s="446">
        <f>Source!Q98</f>
        <v>0</v>
      </c>
      <c r="N113" s="447">
        <f>Source!U98</f>
        <v>0</v>
      </c>
      <c r="O113" s="448">
        <f>Source!V98</f>
        <v>0</v>
      </c>
      <c r="P113" s="449"/>
      <c r="Q113" s="450">
        <f>Source!X98</f>
        <v>0</v>
      </c>
      <c r="R113" s="215">
        <f>Source!Z98</f>
        <v>0</v>
      </c>
      <c r="S113" s="223">
        <f>Source!AA98</f>
        <v>0</v>
      </c>
      <c r="T113" s="216">
        <f>IF(Devise=DeviseInterne,Source!AB98,Source!AC98)</f>
        <v>0</v>
      </c>
      <c r="U113" s="57"/>
      <c r="V113" s="78"/>
      <c r="W113" s="78"/>
      <c r="X113" s="41"/>
      <c r="Y113" s="42"/>
    </row>
    <row r="114" spans="1:25" s="43" customFormat="1" ht="30" customHeight="1" thickTop="1" thickBot="1">
      <c r="A114" s="68"/>
      <c r="B114" s="440">
        <f>Source!G99</f>
        <v>0</v>
      </c>
      <c r="C114" s="441">
        <f>Source!C99</f>
        <v>0</v>
      </c>
      <c r="D114" s="442">
        <f>Source!D99</f>
        <v>0</v>
      </c>
      <c r="E114" s="443">
        <f>Source!J99</f>
        <v>0</v>
      </c>
      <c r="F114" s="444">
        <f>Source!B99</f>
        <v>0</v>
      </c>
      <c r="G114" s="445">
        <f>Source!K99</f>
        <v>0</v>
      </c>
      <c r="H114" s="444">
        <f>Source!L99</f>
        <v>0</v>
      </c>
      <c r="I114" s="444">
        <f>Source!M99</f>
        <v>0</v>
      </c>
      <c r="J114" s="444">
        <f>Source!N99</f>
        <v>0</v>
      </c>
      <c r="K114" s="446">
        <f>Source!O99</f>
        <v>0</v>
      </c>
      <c r="L114" s="446">
        <f>Source!P99</f>
        <v>0</v>
      </c>
      <c r="M114" s="446">
        <f>Source!Q99</f>
        <v>0</v>
      </c>
      <c r="N114" s="447">
        <f>Source!U99</f>
        <v>0</v>
      </c>
      <c r="O114" s="448">
        <f>Source!V99</f>
        <v>0</v>
      </c>
      <c r="P114" s="449"/>
      <c r="Q114" s="450">
        <f>Source!X99</f>
        <v>0</v>
      </c>
      <c r="R114" s="215">
        <f>Source!Z99</f>
        <v>0</v>
      </c>
      <c r="S114" s="223">
        <f>Source!AA99</f>
        <v>0</v>
      </c>
      <c r="T114" s="216">
        <f>IF(Devise=DeviseInterne,Source!AB99,Source!AC99)</f>
        <v>0</v>
      </c>
      <c r="U114" s="57"/>
      <c r="V114" s="78"/>
      <c r="W114" s="78"/>
      <c r="X114" s="41"/>
      <c r="Y114" s="42"/>
    </row>
    <row r="115" spans="1:25" s="43" customFormat="1" ht="30" customHeight="1" thickTop="1" thickBot="1">
      <c r="A115" s="68"/>
      <c r="B115" s="440">
        <f>Source!G100</f>
        <v>0</v>
      </c>
      <c r="C115" s="441">
        <f>Source!C100</f>
        <v>0</v>
      </c>
      <c r="D115" s="442">
        <f>Source!D100</f>
        <v>0</v>
      </c>
      <c r="E115" s="443">
        <f>Source!J100</f>
        <v>0</v>
      </c>
      <c r="F115" s="444">
        <f>Source!B100</f>
        <v>0</v>
      </c>
      <c r="G115" s="445">
        <f>Source!K100</f>
        <v>0</v>
      </c>
      <c r="H115" s="444">
        <f>Source!L100</f>
        <v>0</v>
      </c>
      <c r="I115" s="444">
        <f>Source!M100</f>
        <v>0</v>
      </c>
      <c r="J115" s="444">
        <f>Source!N100</f>
        <v>0</v>
      </c>
      <c r="K115" s="446">
        <f>Source!O100</f>
        <v>0</v>
      </c>
      <c r="L115" s="446">
        <f>Source!P100</f>
        <v>0</v>
      </c>
      <c r="M115" s="446">
        <f>Source!Q100</f>
        <v>0</v>
      </c>
      <c r="N115" s="447">
        <f>Source!U100</f>
        <v>0</v>
      </c>
      <c r="O115" s="448">
        <f>Source!V100</f>
        <v>0</v>
      </c>
      <c r="P115" s="449"/>
      <c r="Q115" s="450">
        <f>Source!X100</f>
        <v>0</v>
      </c>
      <c r="R115" s="215">
        <f>Source!Z100</f>
        <v>0</v>
      </c>
      <c r="S115" s="223">
        <f>Source!AA100</f>
        <v>0</v>
      </c>
      <c r="T115" s="216">
        <f>IF(Devise=DeviseInterne,Source!AB100,Source!AC100)</f>
        <v>0</v>
      </c>
      <c r="U115" s="57"/>
      <c r="V115" s="78"/>
      <c r="W115" s="78"/>
      <c r="X115" s="41"/>
      <c r="Y115" s="42"/>
    </row>
    <row r="116" spans="1:25" s="43" customFormat="1" ht="30" customHeight="1" thickTop="1" thickBot="1">
      <c r="A116" s="68"/>
      <c r="B116" s="440">
        <f>Source!G101</f>
        <v>0</v>
      </c>
      <c r="C116" s="441">
        <f>Source!C101</f>
        <v>0</v>
      </c>
      <c r="D116" s="442">
        <f>Source!D101</f>
        <v>0</v>
      </c>
      <c r="E116" s="443">
        <f>Source!J101</f>
        <v>0</v>
      </c>
      <c r="F116" s="444">
        <f>Source!B101</f>
        <v>0</v>
      </c>
      <c r="G116" s="445">
        <f>Source!K101</f>
        <v>0</v>
      </c>
      <c r="H116" s="444">
        <f>Source!L101</f>
        <v>0</v>
      </c>
      <c r="I116" s="444">
        <f>Source!M101</f>
        <v>0</v>
      </c>
      <c r="J116" s="444">
        <f>Source!N101</f>
        <v>0</v>
      </c>
      <c r="K116" s="446">
        <f>Source!O101</f>
        <v>0</v>
      </c>
      <c r="L116" s="446">
        <f>Source!P101</f>
        <v>0</v>
      </c>
      <c r="M116" s="446">
        <f>Source!Q101</f>
        <v>0</v>
      </c>
      <c r="N116" s="447">
        <f>Source!U101</f>
        <v>0</v>
      </c>
      <c r="O116" s="448">
        <f>Source!V101</f>
        <v>0</v>
      </c>
      <c r="P116" s="449"/>
      <c r="Q116" s="450">
        <f>Source!X101</f>
        <v>0</v>
      </c>
      <c r="R116" s="215">
        <f>Source!Z101</f>
        <v>0</v>
      </c>
      <c r="S116" s="223">
        <f>Source!AA101</f>
        <v>0</v>
      </c>
      <c r="T116" s="216">
        <f>IF(Devise=DeviseInterne,Source!AB101,Source!AC101)</f>
        <v>0</v>
      </c>
      <c r="U116" s="57"/>
      <c r="V116" s="78"/>
      <c r="W116" s="78"/>
      <c r="X116" s="41"/>
      <c r="Y116" s="42"/>
    </row>
    <row r="117" spans="1:25" s="43" customFormat="1" ht="30" customHeight="1" thickTop="1" thickBot="1">
      <c r="A117" s="68"/>
      <c r="B117" s="440">
        <f>Source!G102</f>
        <v>0</v>
      </c>
      <c r="C117" s="441">
        <f>Source!C102</f>
        <v>0</v>
      </c>
      <c r="D117" s="442">
        <f>Source!D102</f>
        <v>0</v>
      </c>
      <c r="E117" s="443">
        <f>Source!J102</f>
        <v>0</v>
      </c>
      <c r="F117" s="444">
        <f>Source!B102</f>
        <v>0</v>
      </c>
      <c r="G117" s="445">
        <f>Source!K102</f>
        <v>0</v>
      </c>
      <c r="H117" s="444">
        <f>Source!L102</f>
        <v>0</v>
      </c>
      <c r="I117" s="444">
        <f>Source!M102</f>
        <v>0</v>
      </c>
      <c r="J117" s="444">
        <f>Source!N102</f>
        <v>0</v>
      </c>
      <c r="K117" s="446">
        <f>Source!O102</f>
        <v>0</v>
      </c>
      <c r="L117" s="446">
        <f>Source!P102</f>
        <v>0</v>
      </c>
      <c r="M117" s="446">
        <f>Source!Q102</f>
        <v>0</v>
      </c>
      <c r="N117" s="447">
        <f>Source!U102</f>
        <v>0</v>
      </c>
      <c r="O117" s="448">
        <f>Source!V102</f>
        <v>0</v>
      </c>
      <c r="P117" s="449"/>
      <c r="Q117" s="450">
        <f>Source!X102</f>
        <v>0</v>
      </c>
      <c r="R117" s="215">
        <f>Source!Z102</f>
        <v>0</v>
      </c>
      <c r="S117" s="223">
        <f>Source!AA102</f>
        <v>0</v>
      </c>
      <c r="T117" s="216">
        <f>IF(Devise=DeviseInterne,Source!AB102,Source!AC102)</f>
        <v>0</v>
      </c>
      <c r="U117" s="57"/>
      <c r="V117" s="78"/>
      <c r="W117" s="78"/>
      <c r="X117" s="41"/>
      <c r="Y117" s="42"/>
    </row>
    <row r="118" spans="1:25" s="43" customFormat="1" ht="30" customHeight="1" thickTop="1" thickBot="1">
      <c r="A118" s="68"/>
      <c r="B118" s="440">
        <f>Source!G103</f>
        <v>0</v>
      </c>
      <c r="C118" s="441">
        <f>Source!C103</f>
        <v>0</v>
      </c>
      <c r="D118" s="442">
        <f>Source!D103</f>
        <v>0</v>
      </c>
      <c r="E118" s="443">
        <f>Source!J103</f>
        <v>0</v>
      </c>
      <c r="F118" s="444">
        <f>Source!B103</f>
        <v>0</v>
      </c>
      <c r="G118" s="445">
        <f>Source!K103</f>
        <v>0</v>
      </c>
      <c r="H118" s="444">
        <f>Source!L103</f>
        <v>0</v>
      </c>
      <c r="I118" s="444">
        <f>Source!M103</f>
        <v>0</v>
      </c>
      <c r="J118" s="444">
        <f>Source!N103</f>
        <v>0</v>
      </c>
      <c r="K118" s="446">
        <f>Source!O103</f>
        <v>0</v>
      </c>
      <c r="L118" s="446">
        <f>Source!P103</f>
        <v>0</v>
      </c>
      <c r="M118" s="446">
        <f>Source!Q103</f>
        <v>0</v>
      </c>
      <c r="N118" s="447">
        <f>Source!U103</f>
        <v>0</v>
      </c>
      <c r="O118" s="448">
        <f>Source!V103</f>
        <v>0</v>
      </c>
      <c r="P118" s="449"/>
      <c r="Q118" s="450">
        <f>Source!X103</f>
        <v>0</v>
      </c>
      <c r="R118" s="215">
        <f>Source!Z103</f>
        <v>0</v>
      </c>
      <c r="S118" s="223">
        <f>Source!AA103</f>
        <v>0</v>
      </c>
      <c r="T118" s="216">
        <f>IF(Devise=DeviseInterne,Source!AB103,Source!AC103)</f>
        <v>0</v>
      </c>
      <c r="U118" s="57"/>
      <c r="V118" s="78"/>
      <c r="W118" s="78"/>
      <c r="X118" s="41"/>
      <c r="Y118" s="42"/>
    </row>
    <row r="119" spans="1:25" s="43" customFormat="1" ht="30" customHeight="1" thickTop="1" thickBot="1">
      <c r="A119" s="68"/>
      <c r="B119" s="440">
        <f>Source!G104</f>
        <v>0</v>
      </c>
      <c r="C119" s="441">
        <f>Source!C104</f>
        <v>0</v>
      </c>
      <c r="D119" s="442">
        <f>Source!D104</f>
        <v>0</v>
      </c>
      <c r="E119" s="443">
        <f>Source!J104</f>
        <v>0</v>
      </c>
      <c r="F119" s="444">
        <f>Source!B104</f>
        <v>0</v>
      </c>
      <c r="G119" s="445">
        <f>Source!K104</f>
        <v>0</v>
      </c>
      <c r="H119" s="444">
        <f>Source!L104</f>
        <v>0</v>
      </c>
      <c r="I119" s="444">
        <f>Source!M104</f>
        <v>0</v>
      </c>
      <c r="J119" s="444">
        <f>Source!N104</f>
        <v>0</v>
      </c>
      <c r="K119" s="446">
        <f>Source!O104</f>
        <v>0</v>
      </c>
      <c r="L119" s="446">
        <f>Source!P104</f>
        <v>0</v>
      </c>
      <c r="M119" s="446">
        <f>Source!Q104</f>
        <v>0</v>
      </c>
      <c r="N119" s="447">
        <f>Source!U104</f>
        <v>0</v>
      </c>
      <c r="O119" s="448">
        <f>Source!V104</f>
        <v>0</v>
      </c>
      <c r="P119" s="449"/>
      <c r="Q119" s="450">
        <f>Source!X104</f>
        <v>0</v>
      </c>
      <c r="R119" s="215">
        <f>Source!Z104</f>
        <v>0</v>
      </c>
      <c r="S119" s="223">
        <f>Source!AA104</f>
        <v>0</v>
      </c>
      <c r="T119" s="216">
        <f>IF(Devise=DeviseInterne,Source!AB104,Source!AC104)</f>
        <v>0</v>
      </c>
      <c r="U119" s="57"/>
      <c r="V119" s="78"/>
      <c r="W119" s="78"/>
      <c r="X119" s="41"/>
      <c r="Y119" s="42"/>
    </row>
    <row r="120" spans="1:25" s="43" customFormat="1" ht="30" customHeight="1" thickTop="1" thickBot="1">
      <c r="A120" s="68"/>
      <c r="B120" s="440">
        <f>Source!G105</f>
        <v>0</v>
      </c>
      <c r="C120" s="441">
        <f>Source!C105</f>
        <v>0</v>
      </c>
      <c r="D120" s="442">
        <f>Source!D105</f>
        <v>0</v>
      </c>
      <c r="E120" s="443">
        <f>Source!J105</f>
        <v>0</v>
      </c>
      <c r="F120" s="444">
        <f>Source!B105</f>
        <v>0</v>
      </c>
      <c r="G120" s="445">
        <f>Source!K105</f>
        <v>0</v>
      </c>
      <c r="H120" s="444">
        <f>Source!L105</f>
        <v>0</v>
      </c>
      <c r="I120" s="444">
        <f>Source!M105</f>
        <v>0</v>
      </c>
      <c r="J120" s="444">
        <f>Source!N105</f>
        <v>0</v>
      </c>
      <c r="K120" s="446">
        <f>Source!O105</f>
        <v>0</v>
      </c>
      <c r="L120" s="446">
        <f>Source!P105</f>
        <v>0</v>
      </c>
      <c r="M120" s="446">
        <f>Source!Q105</f>
        <v>0</v>
      </c>
      <c r="N120" s="447">
        <f>Source!U105</f>
        <v>0</v>
      </c>
      <c r="O120" s="448">
        <f>Source!V105</f>
        <v>0</v>
      </c>
      <c r="P120" s="449"/>
      <c r="Q120" s="450">
        <f>Source!X105</f>
        <v>0</v>
      </c>
      <c r="R120" s="215">
        <f>Source!Z105</f>
        <v>0</v>
      </c>
      <c r="S120" s="223">
        <f>Source!AA105</f>
        <v>0</v>
      </c>
      <c r="T120" s="216">
        <f>IF(Devise=DeviseInterne,Source!AB105,Source!AC105)</f>
        <v>0</v>
      </c>
      <c r="U120" s="57"/>
      <c r="V120" s="78"/>
      <c r="W120" s="78"/>
      <c r="X120" s="41"/>
      <c r="Y120" s="42"/>
    </row>
    <row r="121" spans="1:25" s="43" customFormat="1" ht="30" customHeight="1" thickTop="1" thickBot="1">
      <c r="A121" s="68"/>
      <c r="B121" s="440">
        <f>Source!G106</f>
        <v>0</v>
      </c>
      <c r="C121" s="441">
        <f>Source!C106</f>
        <v>0</v>
      </c>
      <c r="D121" s="442">
        <f>Source!D106</f>
        <v>0</v>
      </c>
      <c r="E121" s="443">
        <f>Source!J106</f>
        <v>0</v>
      </c>
      <c r="F121" s="444">
        <f>Source!B106</f>
        <v>0</v>
      </c>
      <c r="G121" s="445">
        <f>Source!K106</f>
        <v>0</v>
      </c>
      <c r="H121" s="444">
        <f>Source!L106</f>
        <v>0</v>
      </c>
      <c r="I121" s="444">
        <f>Source!M106</f>
        <v>0</v>
      </c>
      <c r="J121" s="444">
        <f>Source!N106</f>
        <v>0</v>
      </c>
      <c r="K121" s="446">
        <f>Source!O106</f>
        <v>0</v>
      </c>
      <c r="L121" s="446">
        <f>Source!P106</f>
        <v>0</v>
      </c>
      <c r="M121" s="446">
        <f>Source!Q106</f>
        <v>0</v>
      </c>
      <c r="N121" s="447">
        <f>Source!U106</f>
        <v>0</v>
      </c>
      <c r="O121" s="448">
        <f>Source!V106</f>
        <v>0</v>
      </c>
      <c r="P121" s="449"/>
      <c r="Q121" s="450">
        <f>Source!X106</f>
        <v>0</v>
      </c>
      <c r="R121" s="215">
        <f>Source!Z106</f>
        <v>0</v>
      </c>
      <c r="S121" s="223">
        <f>Source!AA106</f>
        <v>0</v>
      </c>
      <c r="T121" s="216">
        <f>IF(Devise=DeviseInterne,Source!AB106,Source!AC106)</f>
        <v>0</v>
      </c>
      <c r="U121" s="57"/>
      <c r="V121" s="78"/>
      <c r="W121" s="78"/>
      <c r="X121" s="41"/>
      <c r="Y121" s="42"/>
    </row>
    <row r="122" spans="1:25" s="43" customFormat="1" ht="30" customHeight="1" thickTop="1" thickBot="1">
      <c r="A122" s="68"/>
      <c r="B122" s="440">
        <f>Source!G107</f>
        <v>0</v>
      </c>
      <c r="C122" s="441">
        <f>Source!C107</f>
        <v>0</v>
      </c>
      <c r="D122" s="442">
        <f>Source!D107</f>
        <v>0</v>
      </c>
      <c r="E122" s="443">
        <f>Source!J107</f>
        <v>0</v>
      </c>
      <c r="F122" s="444">
        <f>Source!B107</f>
        <v>0</v>
      </c>
      <c r="G122" s="445">
        <f>Source!K107</f>
        <v>0</v>
      </c>
      <c r="H122" s="444">
        <f>Source!L107</f>
        <v>0</v>
      </c>
      <c r="I122" s="444">
        <f>Source!M107</f>
        <v>0</v>
      </c>
      <c r="J122" s="444">
        <f>Source!N107</f>
        <v>0</v>
      </c>
      <c r="K122" s="446">
        <f>Source!O107</f>
        <v>0</v>
      </c>
      <c r="L122" s="446">
        <f>Source!P107</f>
        <v>0</v>
      </c>
      <c r="M122" s="446">
        <f>Source!Q107</f>
        <v>0</v>
      </c>
      <c r="N122" s="447">
        <f>Source!U107</f>
        <v>0</v>
      </c>
      <c r="O122" s="448">
        <f>Source!V107</f>
        <v>0</v>
      </c>
      <c r="P122" s="449"/>
      <c r="Q122" s="450">
        <f>Source!X107</f>
        <v>0</v>
      </c>
      <c r="R122" s="215">
        <f>Source!Z107</f>
        <v>0</v>
      </c>
      <c r="S122" s="223">
        <f>Source!AA107</f>
        <v>0</v>
      </c>
      <c r="T122" s="216">
        <f>IF(Devise=DeviseInterne,Source!AB107,Source!AC107)</f>
        <v>0</v>
      </c>
      <c r="U122" s="57"/>
      <c r="V122" s="78"/>
      <c r="W122" s="78"/>
      <c r="X122" s="41"/>
      <c r="Y122" s="42"/>
    </row>
    <row r="123" spans="1:25" s="43" customFormat="1" ht="30" customHeight="1" thickTop="1" thickBot="1">
      <c r="A123" s="68"/>
      <c r="B123" s="440">
        <f>Source!G108</f>
        <v>0</v>
      </c>
      <c r="C123" s="441">
        <f>Source!C108</f>
        <v>0</v>
      </c>
      <c r="D123" s="442">
        <f>Source!D108</f>
        <v>0</v>
      </c>
      <c r="E123" s="443">
        <f>Source!J108</f>
        <v>0</v>
      </c>
      <c r="F123" s="444">
        <f>Source!B108</f>
        <v>0</v>
      </c>
      <c r="G123" s="445">
        <f>Source!K108</f>
        <v>0</v>
      </c>
      <c r="H123" s="444">
        <f>Source!L108</f>
        <v>0</v>
      </c>
      <c r="I123" s="444">
        <f>Source!M108</f>
        <v>0</v>
      </c>
      <c r="J123" s="444">
        <f>Source!N108</f>
        <v>0</v>
      </c>
      <c r="K123" s="446">
        <f>Source!O108</f>
        <v>0</v>
      </c>
      <c r="L123" s="446">
        <f>Source!P108</f>
        <v>0</v>
      </c>
      <c r="M123" s="446">
        <f>Source!Q108</f>
        <v>0</v>
      </c>
      <c r="N123" s="447">
        <f>Source!U108</f>
        <v>0</v>
      </c>
      <c r="O123" s="448">
        <f>Source!V108</f>
        <v>0</v>
      </c>
      <c r="P123" s="449"/>
      <c r="Q123" s="450">
        <f>Source!X108</f>
        <v>0</v>
      </c>
      <c r="R123" s="215">
        <f>Source!Z108</f>
        <v>0</v>
      </c>
      <c r="S123" s="223">
        <f>Source!AA108</f>
        <v>0</v>
      </c>
      <c r="T123" s="216">
        <f>IF(Devise=DeviseInterne,Source!AB108,Source!AC108)</f>
        <v>0</v>
      </c>
      <c r="U123" s="57"/>
      <c r="V123" s="78"/>
      <c r="W123" s="78"/>
      <c r="X123" s="41"/>
      <c r="Y123" s="42"/>
    </row>
    <row r="124" spans="1:25" s="43" customFormat="1" ht="30" customHeight="1" thickTop="1" thickBot="1">
      <c r="A124" s="68"/>
      <c r="B124" s="440">
        <f>Source!G109</f>
        <v>0</v>
      </c>
      <c r="C124" s="441">
        <f>Source!C109</f>
        <v>0</v>
      </c>
      <c r="D124" s="442">
        <f>Source!D109</f>
        <v>0</v>
      </c>
      <c r="E124" s="443">
        <f>Source!J109</f>
        <v>0</v>
      </c>
      <c r="F124" s="444">
        <f>Source!B109</f>
        <v>0</v>
      </c>
      <c r="G124" s="445">
        <f>Source!K109</f>
        <v>0</v>
      </c>
      <c r="H124" s="444">
        <f>Source!L109</f>
        <v>0</v>
      </c>
      <c r="I124" s="444">
        <f>Source!M109</f>
        <v>0</v>
      </c>
      <c r="J124" s="444">
        <f>Source!N109</f>
        <v>0</v>
      </c>
      <c r="K124" s="446">
        <f>Source!O109</f>
        <v>0</v>
      </c>
      <c r="L124" s="446">
        <f>Source!P109</f>
        <v>0</v>
      </c>
      <c r="M124" s="446">
        <f>Source!Q109</f>
        <v>0</v>
      </c>
      <c r="N124" s="447">
        <f>Source!U109</f>
        <v>0</v>
      </c>
      <c r="O124" s="448">
        <f>Source!V109</f>
        <v>0</v>
      </c>
      <c r="P124" s="449"/>
      <c r="Q124" s="450">
        <f>Source!X109</f>
        <v>0</v>
      </c>
      <c r="R124" s="215">
        <f>Source!Z109</f>
        <v>0</v>
      </c>
      <c r="S124" s="223">
        <f>Source!AA109</f>
        <v>0</v>
      </c>
      <c r="T124" s="216">
        <f>IF(Devise=DeviseInterne,Source!AB109,Source!AC109)</f>
        <v>0</v>
      </c>
      <c r="U124" s="57"/>
      <c r="V124" s="78"/>
      <c r="W124" s="78"/>
      <c r="X124" s="41"/>
      <c r="Y124" s="42"/>
    </row>
    <row r="125" spans="1:25" s="43" customFormat="1" ht="30" customHeight="1" thickTop="1" thickBot="1">
      <c r="A125" s="68"/>
      <c r="B125" s="440">
        <f>Source!G110</f>
        <v>0</v>
      </c>
      <c r="C125" s="441">
        <f>Source!C110</f>
        <v>0</v>
      </c>
      <c r="D125" s="442">
        <f>Source!D110</f>
        <v>0</v>
      </c>
      <c r="E125" s="443">
        <f>Source!J110</f>
        <v>0</v>
      </c>
      <c r="F125" s="444">
        <f>Source!B110</f>
        <v>0</v>
      </c>
      <c r="G125" s="445">
        <f>Source!K110</f>
        <v>0</v>
      </c>
      <c r="H125" s="444">
        <f>Source!L110</f>
        <v>0</v>
      </c>
      <c r="I125" s="444">
        <f>Source!M110</f>
        <v>0</v>
      </c>
      <c r="J125" s="444">
        <f>Source!N110</f>
        <v>0</v>
      </c>
      <c r="K125" s="446">
        <f>Source!O110</f>
        <v>0</v>
      </c>
      <c r="L125" s="446">
        <f>Source!P110</f>
        <v>0</v>
      </c>
      <c r="M125" s="446">
        <f>Source!Q110</f>
        <v>0</v>
      </c>
      <c r="N125" s="447">
        <f>Source!U110</f>
        <v>0</v>
      </c>
      <c r="O125" s="448">
        <f>Source!V110</f>
        <v>0</v>
      </c>
      <c r="P125" s="449"/>
      <c r="Q125" s="450">
        <f>Source!X110</f>
        <v>0</v>
      </c>
      <c r="R125" s="215">
        <f>Source!Z110</f>
        <v>0</v>
      </c>
      <c r="S125" s="223">
        <f>Source!AA110</f>
        <v>0</v>
      </c>
      <c r="T125" s="216">
        <f>IF(Devise=DeviseInterne,Source!AB110,Source!AC110)</f>
        <v>0</v>
      </c>
      <c r="U125" s="57"/>
      <c r="V125" s="78"/>
      <c r="W125" s="78"/>
      <c r="X125" s="41"/>
      <c r="Y125" s="42"/>
    </row>
    <row r="126" spans="1:25" s="43" customFormat="1" ht="30" customHeight="1" thickTop="1" thickBot="1">
      <c r="A126" s="68"/>
      <c r="B126" s="440">
        <f>Source!G111</f>
        <v>0</v>
      </c>
      <c r="C126" s="441">
        <f>Source!C111</f>
        <v>0</v>
      </c>
      <c r="D126" s="442">
        <f>Source!D111</f>
        <v>0</v>
      </c>
      <c r="E126" s="443">
        <f>Source!J111</f>
        <v>0</v>
      </c>
      <c r="F126" s="444">
        <f>Source!B111</f>
        <v>0</v>
      </c>
      <c r="G126" s="445">
        <f>Source!K111</f>
        <v>0</v>
      </c>
      <c r="H126" s="444">
        <f>Source!L111</f>
        <v>0</v>
      </c>
      <c r="I126" s="444">
        <f>Source!M111</f>
        <v>0</v>
      </c>
      <c r="J126" s="444">
        <f>Source!N111</f>
        <v>0</v>
      </c>
      <c r="K126" s="446">
        <f>Source!O111</f>
        <v>0</v>
      </c>
      <c r="L126" s="446">
        <f>Source!P111</f>
        <v>0</v>
      </c>
      <c r="M126" s="446">
        <f>Source!Q111</f>
        <v>0</v>
      </c>
      <c r="N126" s="447">
        <f>Source!U111</f>
        <v>0</v>
      </c>
      <c r="O126" s="448">
        <f>Source!V111</f>
        <v>0</v>
      </c>
      <c r="P126" s="449"/>
      <c r="Q126" s="450">
        <f>Source!X111</f>
        <v>0</v>
      </c>
      <c r="R126" s="215">
        <f>Source!Z111</f>
        <v>0</v>
      </c>
      <c r="S126" s="223">
        <f>Source!AA111</f>
        <v>0</v>
      </c>
      <c r="T126" s="216">
        <f>IF(Devise=DeviseInterne,Source!AB111,Source!AC111)</f>
        <v>0</v>
      </c>
      <c r="U126" s="57"/>
      <c r="V126" s="78"/>
      <c r="W126" s="78"/>
      <c r="X126" s="41"/>
      <c r="Y126" s="42"/>
    </row>
    <row r="127" spans="1:25" s="43" customFormat="1" ht="30" customHeight="1" thickTop="1" thickBot="1">
      <c r="A127" s="68"/>
      <c r="B127" s="440">
        <f>Source!G112</f>
        <v>0</v>
      </c>
      <c r="C127" s="441">
        <f>Source!C112</f>
        <v>0</v>
      </c>
      <c r="D127" s="442">
        <f>Source!D112</f>
        <v>0</v>
      </c>
      <c r="E127" s="443">
        <f>Source!J112</f>
        <v>0</v>
      </c>
      <c r="F127" s="444">
        <f>Source!B112</f>
        <v>0</v>
      </c>
      <c r="G127" s="445">
        <f>Source!K112</f>
        <v>0</v>
      </c>
      <c r="H127" s="444">
        <f>Source!L112</f>
        <v>0</v>
      </c>
      <c r="I127" s="444">
        <f>Source!M112</f>
        <v>0</v>
      </c>
      <c r="J127" s="444">
        <f>Source!N112</f>
        <v>0</v>
      </c>
      <c r="K127" s="446">
        <f>Source!O112</f>
        <v>0</v>
      </c>
      <c r="L127" s="446">
        <f>Source!P112</f>
        <v>0</v>
      </c>
      <c r="M127" s="446">
        <f>Source!Q112</f>
        <v>0</v>
      </c>
      <c r="N127" s="447">
        <f>Source!U112</f>
        <v>0</v>
      </c>
      <c r="O127" s="448">
        <f>Source!V112</f>
        <v>0</v>
      </c>
      <c r="P127" s="449"/>
      <c r="Q127" s="450">
        <f>Source!X112</f>
        <v>0</v>
      </c>
      <c r="R127" s="215">
        <f>Source!Z112</f>
        <v>0</v>
      </c>
      <c r="S127" s="223">
        <f>Source!AA112</f>
        <v>0</v>
      </c>
      <c r="T127" s="216">
        <f>IF(Devise=DeviseInterne,Source!AB112,Source!AC112)</f>
        <v>0</v>
      </c>
      <c r="U127" s="57"/>
      <c r="V127" s="78"/>
      <c r="W127" s="78"/>
      <c r="X127" s="41"/>
      <c r="Y127" s="42"/>
    </row>
    <row r="128" spans="1:25" s="43" customFormat="1" ht="30" customHeight="1" thickTop="1" thickBot="1">
      <c r="A128" s="68"/>
      <c r="B128" s="440">
        <f>Source!G113</f>
        <v>0</v>
      </c>
      <c r="C128" s="441">
        <f>Source!C113</f>
        <v>0</v>
      </c>
      <c r="D128" s="442">
        <f>Source!D113</f>
        <v>0</v>
      </c>
      <c r="E128" s="443">
        <f>Source!J113</f>
        <v>0</v>
      </c>
      <c r="F128" s="444">
        <f>Source!B113</f>
        <v>0</v>
      </c>
      <c r="G128" s="445">
        <f>Source!K113</f>
        <v>0</v>
      </c>
      <c r="H128" s="444">
        <f>Source!L113</f>
        <v>0</v>
      </c>
      <c r="I128" s="444">
        <f>Source!M113</f>
        <v>0</v>
      </c>
      <c r="J128" s="444">
        <f>Source!N113</f>
        <v>0</v>
      </c>
      <c r="K128" s="446">
        <f>Source!O113</f>
        <v>0</v>
      </c>
      <c r="L128" s="446">
        <f>Source!P113</f>
        <v>0</v>
      </c>
      <c r="M128" s="446">
        <f>Source!Q113</f>
        <v>0</v>
      </c>
      <c r="N128" s="447">
        <f>Source!U113</f>
        <v>0</v>
      </c>
      <c r="O128" s="448">
        <f>Source!V113</f>
        <v>0</v>
      </c>
      <c r="P128" s="449"/>
      <c r="Q128" s="450">
        <f>Source!X113</f>
        <v>0</v>
      </c>
      <c r="R128" s="215">
        <f>Source!Z113</f>
        <v>0</v>
      </c>
      <c r="S128" s="223">
        <f>Source!AA113</f>
        <v>0</v>
      </c>
      <c r="T128" s="216">
        <f>IF(Devise=DeviseInterne,Source!AB113,Source!AC113)</f>
        <v>0</v>
      </c>
      <c r="U128" s="57"/>
      <c r="V128" s="78"/>
      <c r="W128" s="78"/>
      <c r="X128" s="41"/>
      <c r="Y128" s="42"/>
    </row>
    <row r="129" spans="1:25" s="43" customFormat="1" ht="30" customHeight="1" thickTop="1" thickBot="1">
      <c r="A129" s="68"/>
      <c r="B129" s="440">
        <f>Source!G114</f>
        <v>0</v>
      </c>
      <c r="C129" s="441">
        <f>Source!C114</f>
        <v>0</v>
      </c>
      <c r="D129" s="442">
        <f>Source!D114</f>
        <v>0</v>
      </c>
      <c r="E129" s="443">
        <f>Source!J114</f>
        <v>0</v>
      </c>
      <c r="F129" s="444">
        <f>Source!B114</f>
        <v>0</v>
      </c>
      <c r="G129" s="445">
        <f>Source!K114</f>
        <v>0</v>
      </c>
      <c r="H129" s="444">
        <f>Source!L114</f>
        <v>0</v>
      </c>
      <c r="I129" s="444">
        <f>Source!M114</f>
        <v>0</v>
      </c>
      <c r="J129" s="444">
        <f>Source!N114</f>
        <v>0</v>
      </c>
      <c r="K129" s="446">
        <f>Source!O114</f>
        <v>0</v>
      </c>
      <c r="L129" s="446">
        <f>Source!P114</f>
        <v>0</v>
      </c>
      <c r="M129" s="446">
        <f>Source!Q114</f>
        <v>0</v>
      </c>
      <c r="N129" s="447">
        <f>Source!U114</f>
        <v>0</v>
      </c>
      <c r="O129" s="448">
        <f>Source!V114</f>
        <v>0</v>
      </c>
      <c r="P129" s="449"/>
      <c r="Q129" s="450">
        <f>Source!X114</f>
        <v>0</v>
      </c>
      <c r="R129" s="215">
        <f>Source!Z114</f>
        <v>0</v>
      </c>
      <c r="S129" s="223">
        <f>Source!AA114</f>
        <v>0</v>
      </c>
      <c r="T129" s="216">
        <f>IF(Devise=DeviseInterne,Source!AB114,Source!AC114)</f>
        <v>0</v>
      </c>
      <c r="U129" s="57"/>
      <c r="V129" s="78"/>
      <c r="W129" s="78"/>
      <c r="X129" s="41"/>
      <c r="Y129" s="42"/>
    </row>
    <row r="130" spans="1:25" s="43" customFormat="1" ht="30" customHeight="1" thickTop="1" thickBot="1">
      <c r="A130" s="68"/>
      <c r="B130" s="440">
        <f>Source!G115</f>
        <v>0</v>
      </c>
      <c r="C130" s="441">
        <f>Source!C115</f>
        <v>0</v>
      </c>
      <c r="D130" s="442">
        <f>Source!D115</f>
        <v>0</v>
      </c>
      <c r="E130" s="443">
        <f>Source!J115</f>
        <v>0</v>
      </c>
      <c r="F130" s="444">
        <f>Source!B115</f>
        <v>0</v>
      </c>
      <c r="G130" s="445">
        <f>Source!K115</f>
        <v>0</v>
      </c>
      <c r="H130" s="444">
        <f>Source!L115</f>
        <v>0</v>
      </c>
      <c r="I130" s="444">
        <f>Source!M115</f>
        <v>0</v>
      </c>
      <c r="J130" s="444">
        <f>Source!N115</f>
        <v>0</v>
      </c>
      <c r="K130" s="446">
        <f>Source!O115</f>
        <v>0</v>
      </c>
      <c r="L130" s="446">
        <f>Source!P115</f>
        <v>0</v>
      </c>
      <c r="M130" s="446">
        <f>Source!Q115</f>
        <v>0</v>
      </c>
      <c r="N130" s="447">
        <f>Source!U115</f>
        <v>0</v>
      </c>
      <c r="O130" s="448">
        <f>Source!V115</f>
        <v>0</v>
      </c>
      <c r="P130" s="449"/>
      <c r="Q130" s="450">
        <f>Source!X115</f>
        <v>0</v>
      </c>
      <c r="R130" s="215">
        <f>Source!Z115</f>
        <v>0</v>
      </c>
      <c r="S130" s="223">
        <f>Source!AA115</f>
        <v>0</v>
      </c>
      <c r="T130" s="216">
        <f>IF(Devise=DeviseInterne,Source!AB115,Source!AC115)</f>
        <v>0</v>
      </c>
      <c r="U130" s="57"/>
      <c r="V130" s="78"/>
      <c r="W130" s="78"/>
      <c r="X130" s="41"/>
      <c r="Y130" s="42"/>
    </row>
    <row r="131" spans="1:25" s="43" customFormat="1" ht="30" customHeight="1" thickTop="1" thickBot="1">
      <c r="A131" s="68"/>
      <c r="B131" s="440">
        <f>Source!G116</f>
        <v>0</v>
      </c>
      <c r="C131" s="441">
        <f>Source!C116</f>
        <v>0</v>
      </c>
      <c r="D131" s="442">
        <f>Source!D116</f>
        <v>0</v>
      </c>
      <c r="E131" s="443">
        <f>Source!J116</f>
        <v>0</v>
      </c>
      <c r="F131" s="444">
        <f>Source!B116</f>
        <v>0</v>
      </c>
      <c r="G131" s="445">
        <f>Source!K116</f>
        <v>0</v>
      </c>
      <c r="H131" s="444">
        <f>Source!L116</f>
        <v>0</v>
      </c>
      <c r="I131" s="444">
        <f>Source!M116</f>
        <v>0</v>
      </c>
      <c r="J131" s="444">
        <f>Source!N116</f>
        <v>0</v>
      </c>
      <c r="K131" s="446">
        <f>Source!O116</f>
        <v>0</v>
      </c>
      <c r="L131" s="446">
        <f>Source!P116</f>
        <v>0</v>
      </c>
      <c r="M131" s="446">
        <f>Source!Q116</f>
        <v>0</v>
      </c>
      <c r="N131" s="447">
        <f>Source!U116</f>
        <v>0</v>
      </c>
      <c r="O131" s="448">
        <f>Source!V116</f>
        <v>0</v>
      </c>
      <c r="P131" s="449"/>
      <c r="Q131" s="450">
        <f>Source!X116</f>
        <v>0</v>
      </c>
      <c r="R131" s="215">
        <f>Source!Z116</f>
        <v>0</v>
      </c>
      <c r="S131" s="223">
        <f>Source!AA116</f>
        <v>0</v>
      </c>
      <c r="T131" s="216">
        <f>IF(Devise=DeviseInterne,Source!AB116,Source!AC116)</f>
        <v>0</v>
      </c>
      <c r="U131" s="57"/>
      <c r="V131" s="78"/>
      <c r="W131" s="78"/>
      <c r="X131" s="41"/>
      <c r="Y131" s="42"/>
    </row>
    <row r="132" spans="1:25" s="43" customFormat="1" ht="30" customHeight="1" thickTop="1" thickBot="1">
      <c r="A132" s="68"/>
      <c r="B132" s="440">
        <f>Source!G117</f>
        <v>0</v>
      </c>
      <c r="C132" s="441">
        <f>Source!C117</f>
        <v>0</v>
      </c>
      <c r="D132" s="442">
        <f>Source!D117</f>
        <v>0</v>
      </c>
      <c r="E132" s="443">
        <f>Source!J117</f>
        <v>0</v>
      </c>
      <c r="F132" s="444">
        <f>Source!B117</f>
        <v>0</v>
      </c>
      <c r="G132" s="445">
        <f>Source!K117</f>
        <v>0</v>
      </c>
      <c r="H132" s="444">
        <f>Source!L117</f>
        <v>0</v>
      </c>
      <c r="I132" s="444">
        <f>Source!M117</f>
        <v>0</v>
      </c>
      <c r="J132" s="444">
        <f>Source!N117</f>
        <v>0</v>
      </c>
      <c r="K132" s="446">
        <f>Source!O117</f>
        <v>0</v>
      </c>
      <c r="L132" s="446">
        <f>Source!P117</f>
        <v>0</v>
      </c>
      <c r="M132" s="446">
        <f>Source!Q117</f>
        <v>0</v>
      </c>
      <c r="N132" s="447">
        <f>Source!U117</f>
        <v>0</v>
      </c>
      <c r="O132" s="448">
        <f>Source!V117</f>
        <v>0</v>
      </c>
      <c r="P132" s="449"/>
      <c r="Q132" s="450">
        <f>Source!X117</f>
        <v>0</v>
      </c>
      <c r="R132" s="215">
        <f>Source!Z117</f>
        <v>0</v>
      </c>
      <c r="S132" s="223">
        <f>Source!AA117</f>
        <v>0</v>
      </c>
      <c r="T132" s="216">
        <f>IF(Devise=DeviseInterne,Source!AB117,Source!AC117)</f>
        <v>0</v>
      </c>
      <c r="U132" s="57"/>
      <c r="V132" s="78"/>
      <c r="W132" s="78"/>
      <c r="X132" s="41"/>
      <c r="Y132" s="42"/>
    </row>
    <row r="133" spans="1:25" s="43" customFormat="1" ht="30" customHeight="1" thickTop="1" thickBot="1">
      <c r="A133" s="68"/>
      <c r="B133" s="440">
        <f>Source!G118</f>
        <v>0</v>
      </c>
      <c r="C133" s="441">
        <f>Source!C118</f>
        <v>0</v>
      </c>
      <c r="D133" s="442">
        <f>Source!D118</f>
        <v>0</v>
      </c>
      <c r="E133" s="443">
        <f>Source!J118</f>
        <v>0</v>
      </c>
      <c r="F133" s="444">
        <f>Source!B118</f>
        <v>0</v>
      </c>
      <c r="G133" s="445">
        <f>Source!K118</f>
        <v>0</v>
      </c>
      <c r="H133" s="444">
        <f>Source!L118</f>
        <v>0</v>
      </c>
      <c r="I133" s="444">
        <f>Source!M118</f>
        <v>0</v>
      </c>
      <c r="J133" s="444">
        <f>Source!N118</f>
        <v>0</v>
      </c>
      <c r="K133" s="446">
        <f>Source!O118</f>
        <v>0</v>
      </c>
      <c r="L133" s="446">
        <f>Source!P118</f>
        <v>0</v>
      </c>
      <c r="M133" s="446">
        <f>Source!Q118</f>
        <v>0</v>
      </c>
      <c r="N133" s="447">
        <f>Source!U118</f>
        <v>0</v>
      </c>
      <c r="O133" s="448">
        <f>Source!V118</f>
        <v>0</v>
      </c>
      <c r="P133" s="449"/>
      <c r="Q133" s="450">
        <f>Source!X118</f>
        <v>0</v>
      </c>
      <c r="R133" s="215">
        <f>Source!Z118</f>
        <v>0</v>
      </c>
      <c r="S133" s="223">
        <f>Source!AA118</f>
        <v>0</v>
      </c>
      <c r="T133" s="216">
        <f>IF(Devise=DeviseInterne,Source!AB118,Source!AC118)</f>
        <v>0</v>
      </c>
      <c r="U133" s="57"/>
      <c r="V133" s="78"/>
      <c r="W133" s="78"/>
      <c r="X133" s="41"/>
      <c r="Y133" s="42"/>
    </row>
    <row r="134" spans="1:25" s="43" customFormat="1" ht="30" customHeight="1" thickTop="1" thickBot="1">
      <c r="A134" s="68"/>
      <c r="B134" s="440">
        <f>Source!G119</f>
        <v>0</v>
      </c>
      <c r="C134" s="441">
        <f>Source!C119</f>
        <v>0</v>
      </c>
      <c r="D134" s="442">
        <f>Source!D119</f>
        <v>0</v>
      </c>
      <c r="E134" s="443">
        <f>Source!J119</f>
        <v>0</v>
      </c>
      <c r="F134" s="444">
        <f>Source!B119</f>
        <v>0</v>
      </c>
      <c r="G134" s="445">
        <f>Source!K119</f>
        <v>0</v>
      </c>
      <c r="H134" s="444">
        <f>Source!L119</f>
        <v>0</v>
      </c>
      <c r="I134" s="444">
        <f>Source!M119</f>
        <v>0</v>
      </c>
      <c r="J134" s="444">
        <f>Source!N119</f>
        <v>0</v>
      </c>
      <c r="K134" s="446">
        <f>Source!O119</f>
        <v>0</v>
      </c>
      <c r="L134" s="446">
        <f>Source!P119</f>
        <v>0</v>
      </c>
      <c r="M134" s="446">
        <f>Source!Q119</f>
        <v>0</v>
      </c>
      <c r="N134" s="447">
        <f>Source!U119</f>
        <v>0</v>
      </c>
      <c r="O134" s="448">
        <f>Source!V119</f>
        <v>0</v>
      </c>
      <c r="P134" s="449"/>
      <c r="Q134" s="450">
        <f>Source!X119</f>
        <v>0</v>
      </c>
      <c r="R134" s="215">
        <f>Source!Z119</f>
        <v>0</v>
      </c>
      <c r="S134" s="223">
        <f>Source!AA119</f>
        <v>0</v>
      </c>
      <c r="T134" s="216">
        <f>IF(Devise=DeviseInterne,Source!AB119,Source!AC119)</f>
        <v>0</v>
      </c>
      <c r="U134" s="57"/>
      <c r="V134" s="78"/>
      <c r="W134" s="78"/>
      <c r="X134" s="41"/>
      <c r="Y134" s="42"/>
    </row>
    <row r="135" spans="1:25" s="43" customFormat="1" ht="30" customHeight="1" thickTop="1" thickBot="1">
      <c r="A135" s="68"/>
      <c r="B135" s="440">
        <f>Source!G120</f>
        <v>0</v>
      </c>
      <c r="C135" s="441">
        <f>Source!C120</f>
        <v>0</v>
      </c>
      <c r="D135" s="442">
        <f>Source!D120</f>
        <v>0</v>
      </c>
      <c r="E135" s="443">
        <f>Source!J120</f>
        <v>0</v>
      </c>
      <c r="F135" s="444">
        <f>Source!B120</f>
        <v>0</v>
      </c>
      <c r="G135" s="445">
        <f>Source!K120</f>
        <v>0</v>
      </c>
      <c r="H135" s="444">
        <f>Source!L120</f>
        <v>0</v>
      </c>
      <c r="I135" s="444">
        <f>Source!M120</f>
        <v>0</v>
      </c>
      <c r="J135" s="444">
        <f>Source!N120</f>
        <v>0</v>
      </c>
      <c r="K135" s="446">
        <f>Source!O120</f>
        <v>0</v>
      </c>
      <c r="L135" s="446">
        <f>Source!P120</f>
        <v>0</v>
      </c>
      <c r="M135" s="446">
        <f>Source!Q120</f>
        <v>0</v>
      </c>
      <c r="N135" s="447">
        <f>Source!U120</f>
        <v>0</v>
      </c>
      <c r="O135" s="448">
        <f>Source!V120</f>
        <v>0</v>
      </c>
      <c r="P135" s="449"/>
      <c r="Q135" s="450">
        <f>Source!X120</f>
        <v>0</v>
      </c>
      <c r="R135" s="215">
        <f>Source!Z120</f>
        <v>0</v>
      </c>
      <c r="S135" s="223">
        <f>Source!AA120</f>
        <v>0</v>
      </c>
      <c r="T135" s="216">
        <f>IF(Devise=DeviseInterne,Source!AB120,Source!AC120)</f>
        <v>0</v>
      </c>
      <c r="U135" s="57"/>
      <c r="V135" s="78"/>
      <c r="W135" s="78"/>
      <c r="X135" s="41"/>
      <c r="Y135" s="42"/>
    </row>
    <row r="136" spans="1:25" s="43" customFormat="1" ht="30" customHeight="1" thickTop="1" thickBot="1">
      <c r="A136" s="68"/>
      <c r="B136" s="440">
        <f>Source!G121</f>
        <v>0</v>
      </c>
      <c r="C136" s="441">
        <f>Source!C121</f>
        <v>0</v>
      </c>
      <c r="D136" s="442">
        <f>Source!D121</f>
        <v>0</v>
      </c>
      <c r="E136" s="443">
        <f>Source!J121</f>
        <v>0</v>
      </c>
      <c r="F136" s="444">
        <f>Source!B121</f>
        <v>0</v>
      </c>
      <c r="G136" s="445">
        <f>Source!K121</f>
        <v>0</v>
      </c>
      <c r="H136" s="444">
        <f>Source!L121</f>
        <v>0</v>
      </c>
      <c r="I136" s="444">
        <f>Source!M121</f>
        <v>0</v>
      </c>
      <c r="J136" s="444">
        <f>Source!N121</f>
        <v>0</v>
      </c>
      <c r="K136" s="446">
        <f>Source!O121</f>
        <v>0</v>
      </c>
      <c r="L136" s="446">
        <f>Source!P121</f>
        <v>0</v>
      </c>
      <c r="M136" s="446">
        <f>Source!Q121</f>
        <v>0</v>
      </c>
      <c r="N136" s="447">
        <f>Source!U121</f>
        <v>0</v>
      </c>
      <c r="O136" s="448">
        <f>Source!V121</f>
        <v>0</v>
      </c>
      <c r="P136" s="449"/>
      <c r="Q136" s="450">
        <f>Source!X121</f>
        <v>0</v>
      </c>
      <c r="R136" s="215">
        <f>Source!Z121</f>
        <v>0</v>
      </c>
      <c r="S136" s="223">
        <f>Source!AA121</f>
        <v>0</v>
      </c>
      <c r="T136" s="216">
        <f>IF(Devise=DeviseInterne,Source!AB121,Source!AC121)</f>
        <v>0</v>
      </c>
      <c r="U136" s="57"/>
      <c r="V136" s="78"/>
      <c r="W136" s="78"/>
      <c r="X136" s="41"/>
      <c r="Y136" s="42"/>
    </row>
    <row r="137" spans="1:25" s="43" customFormat="1" ht="30" customHeight="1" thickTop="1" thickBot="1">
      <c r="A137" s="68"/>
      <c r="B137" s="440">
        <f>Source!G122</f>
        <v>0</v>
      </c>
      <c r="C137" s="441">
        <f>Source!C122</f>
        <v>0</v>
      </c>
      <c r="D137" s="442">
        <f>Source!D122</f>
        <v>0</v>
      </c>
      <c r="E137" s="443">
        <f>Source!J122</f>
        <v>0</v>
      </c>
      <c r="F137" s="444">
        <f>Source!B122</f>
        <v>0</v>
      </c>
      <c r="G137" s="445">
        <f>Source!K122</f>
        <v>0</v>
      </c>
      <c r="H137" s="444">
        <f>Source!L122</f>
        <v>0</v>
      </c>
      <c r="I137" s="444">
        <f>Source!M122</f>
        <v>0</v>
      </c>
      <c r="J137" s="444">
        <f>Source!N122</f>
        <v>0</v>
      </c>
      <c r="K137" s="446">
        <f>Source!O122</f>
        <v>0</v>
      </c>
      <c r="L137" s="446">
        <f>Source!P122</f>
        <v>0</v>
      </c>
      <c r="M137" s="446">
        <f>Source!Q122</f>
        <v>0</v>
      </c>
      <c r="N137" s="447">
        <f>Source!U122</f>
        <v>0</v>
      </c>
      <c r="O137" s="448">
        <f>Source!V122</f>
        <v>0</v>
      </c>
      <c r="P137" s="449"/>
      <c r="Q137" s="450">
        <f>Source!X122</f>
        <v>0</v>
      </c>
      <c r="R137" s="215">
        <f>Source!Z122</f>
        <v>0</v>
      </c>
      <c r="S137" s="223">
        <f>Source!AA122</f>
        <v>0</v>
      </c>
      <c r="T137" s="216">
        <f>IF(Devise=DeviseInterne,Source!AB122,Source!AC122)</f>
        <v>0</v>
      </c>
      <c r="U137" s="57"/>
      <c r="V137" s="78"/>
      <c r="W137" s="78"/>
      <c r="X137" s="41"/>
      <c r="Y137" s="42"/>
    </row>
    <row r="138" spans="1:25" s="43" customFormat="1" ht="30" customHeight="1" thickTop="1" thickBot="1">
      <c r="A138" s="68"/>
      <c r="B138" s="440">
        <f>Source!G123</f>
        <v>0</v>
      </c>
      <c r="C138" s="441">
        <f>Source!C123</f>
        <v>0</v>
      </c>
      <c r="D138" s="442">
        <f>Source!D123</f>
        <v>0</v>
      </c>
      <c r="E138" s="443">
        <f>Source!J123</f>
        <v>0</v>
      </c>
      <c r="F138" s="444">
        <f>Source!B123</f>
        <v>0</v>
      </c>
      <c r="G138" s="445">
        <f>Source!K123</f>
        <v>0</v>
      </c>
      <c r="H138" s="444">
        <f>Source!L123</f>
        <v>0</v>
      </c>
      <c r="I138" s="444">
        <f>Source!M123</f>
        <v>0</v>
      </c>
      <c r="J138" s="444">
        <f>Source!N123</f>
        <v>0</v>
      </c>
      <c r="K138" s="446">
        <f>Source!O123</f>
        <v>0</v>
      </c>
      <c r="L138" s="446">
        <f>Source!P123</f>
        <v>0</v>
      </c>
      <c r="M138" s="446">
        <f>Source!Q123</f>
        <v>0</v>
      </c>
      <c r="N138" s="447">
        <f>Source!U123</f>
        <v>0</v>
      </c>
      <c r="O138" s="448">
        <f>Source!V123</f>
        <v>0</v>
      </c>
      <c r="P138" s="449"/>
      <c r="Q138" s="450">
        <f>Source!X123</f>
        <v>0</v>
      </c>
      <c r="R138" s="215">
        <f>Source!Z123</f>
        <v>0</v>
      </c>
      <c r="S138" s="223">
        <f>Source!AA123</f>
        <v>0</v>
      </c>
      <c r="T138" s="216">
        <f>IF(Devise=DeviseInterne,Source!AB123,Source!AC123)</f>
        <v>0</v>
      </c>
      <c r="U138" s="57"/>
      <c r="V138" s="78"/>
      <c r="W138" s="78"/>
      <c r="X138" s="41"/>
      <c r="Y138" s="42"/>
    </row>
    <row r="139" spans="1:25" s="43" customFormat="1" ht="30" customHeight="1" thickTop="1" thickBot="1">
      <c r="A139" s="68"/>
      <c r="B139" s="440">
        <f>Source!G124</f>
        <v>0</v>
      </c>
      <c r="C139" s="441">
        <f>Source!C124</f>
        <v>0</v>
      </c>
      <c r="D139" s="442">
        <f>Source!D124</f>
        <v>0</v>
      </c>
      <c r="E139" s="443">
        <f>Source!J124</f>
        <v>0</v>
      </c>
      <c r="F139" s="444">
        <f>Source!B124</f>
        <v>0</v>
      </c>
      <c r="G139" s="445">
        <f>Source!K124</f>
        <v>0</v>
      </c>
      <c r="H139" s="444">
        <f>Source!L124</f>
        <v>0</v>
      </c>
      <c r="I139" s="444">
        <f>Source!M124</f>
        <v>0</v>
      </c>
      <c r="J139" s="444">
        <f>Source!N124</f>
        <v>0</v>
      </c>
      <c r="K139" s="446">
        <f>Source!O124</f>
        <v>0</v>
      </c>
      <c r="L139" s="446">
        <f>Source!P124</f>
        <v>0</v>
      </c>
      <c r="M139" s="446">
        <f>Source!Q124</f>
        <v>0</v>
      </c>
      <c r="N139" s="447">
        <f>Source!U124</f>
        <v>0</v>
      </c>
      <c r="O139" s="448">
        <f>Source!V124</f>
        <v>0</v>
      </c>
      <c r="P139" s="449"/>
      <c r="Q139" s="450">
        <f>Source!X124</f>
        <v>0</v>
      </c>
      <c r="R139" s="215">
        <f>Source!Z124</f>
        <v>0</v>
      </c>
      <c r="S139" s="223">
        <f>Source!AA124</f>
        <v>0</v>
      </c>
      <c r="T139" s="216">
        <f>IF(Devise=DeviseInterne,Source!AB124,Source!AC124)</f>
        <v>0</v>
      </c>
      <c r="U139" s="57"/>
      <c r="V139" s="78"/>
      <c r="W139" s="78"/>
      <c r="X139" s="41"/>
      <c r="Y139" s="42"/>
    </row>
    <row r="140" spans="1:25" s="43" customFormat="1" ht="30" customHeight="1" thickTop="1" thickBot="1">
      <c r="A140" s="68"/>
      <c r="B140" s="440">
        <f>Source!G125</f>
        <v>0</v>
      </c>
      <c r="C140" s="441">
        <f>Source!C125</f>
        <v>0</v>
      </c>
      <c r="D140" s="442">
        <f>Source!D125</f>
        <v>0</v>
      </c>
      <c r="E140" s="443">
        <f>Source!J125</f>
        <v>0</v>
      </c>
      <c r="F140" s="444">
        <f>Source!B125</f>
        <v>0</v>
      </c>
      <c r="G140" s="445">
        <f>Source!K125</f>
        <v>0</v>
      </c>
      <c r="H140" s="444">
        <f>Source!L125</f>
        <v>0</v>
      </c>
      <c r="I140" s="444">
        <f>Source!M125</f>
        <v>0</v>
      </c>
      <c r="J140" s="444">
        <f>Source!N125</f>
        <v>0</v>
      </c>
      <c r="K140" s="446">
        <f>Source!O125</f>
        <v>0</v>
      </c>
      <c r="L140" s="446">
        <f>Source!P125</f>
        <v>0</v>
      </c>
      <c r="M140" s="446">
        <f>Source!Q125</f>
        <v>0</v>
      </c>
      <c r="N140" s="447">
        <f>Source!U125</f>
        <v>0</v>
      </c>
      <c r="O140" s="448">
        <f>Source!V125</f>
        <v>0</v>
      </c>
      <c r="P140" s="449"/>
      <c r="Q140" s="450">
        <f>Source!X125</f>
        <v>0</v>
      </c>
      <c r="R140" s="215">
        <f>Source!Z125</f>
        <v>0</v>
      </c>
      <c r="S140" s="223">
        <f>Source!AA125</f>
        <v>0</v>
      </c>
      <c r="T140" s="216">
        <f>IF(Devise=DeviseInterne,Source!AB125,Source!AC125)</f>
        <v>0</v>
      </c>
      <c r="U140" s="57"/>
      <c r="V140" s="78"/>
      <c r="W140" s="78"/>
      <c r="X140" s="41"/>
      <c r="Y140" s="42"/>
    </row>
    <row r="141" spans="1:25" s="43" customFormat="1" ht="30" customHeight="1" thickTop="1" thickBot="1">
      <c r="A141" s="68"/>
      <c r="B141" s="440">
        <f>Source!G126</f>
        <v>0</v>
      </c>
      <c r="C141" s="441">
        <f>Source!C126</f>
        <v>0</v>
      </c>
      <c r="D141" s="442">
        <f>Source!D126</f>
        <v>0</v>
      </c>
      <c r="E141" s="443">
        <f>Source!J126</f>
        <v>0</v>
      </c>
      <c r="F141" s="444">
        <f>Source!B126</f>
        <v>0</v>
      </c>
      <c r="G141" s="445">
        <f>Source!K126</f>
        <v>0</v>
      </c>
      <c r="H141" s="444">
        <f>Source!L126</f>
        <v>0</v>
      </c>
      <c r="I141" s="444">
        <f>Source!M126</f>
        <v>0</v>
      </c>
      <c r="J141" s="444">
        <f>Source!N126</f>
        <v>0</v>
      </c>
      <c r="K141" s="446">
        <f>Source!O126</f>
        <v>0</v>
      </c>
      <c r="L141" s="446">
        <f>Source!P126</f>
        <v>0</v>
      </c>
      <c r="M141" s="446">
        <f>Source!Q126</f>
        <v>0</v>
      </c>
      <c r="N141" s="447">
        <f>Source!U126</f>
        <v>0</v>
      </c>
      <c r="O141" s="448">
        <f>Source!V126</f>
        <v>0</v>
      </c>
      <c r="P141" s="449"/>
      <c r="Q141" s="450">
        <f>Source!X126</f>
        <v>0</v>
      </c>
      <c r="R141" s="215">
        <f>Source!Z126</f>
        <v>0</v>
      </c>
      <c r="S141" s="223">
        <f>Source!AA126</f>
        <v>0</v>
      </c>
      <c r="T141" s="216">
        <f>IF(Devise=DeviseInterne,Source!AB126,Source!AC126)</f>
        <v>0</v>
      </c>
      <c r="U141" s="57"/>
      <c r="V141" s="78"/>
      <c r="W141" s="78"/>
      <c r="X141" s="41"/>
      <c r="Y141" s="42"/>
    </row>
    <row r="142" spans="1:25" s="43" customFormat="1" ht="30" customHeight="1" thickTop="1" thickBot="1">
      <c r="A142" s="68"/>
      <c r="B142" s="440">
        <f>Source!G127</f>
        <v>0</v>
      </c>
      <c r="C142" s="441">
        <f>Source!C127</f>
        <v>0</v>
      </c>
      <c r="D142" s="442">
        <f>Source!D127</f>
        <v>0</v>
      </c>
      <c r="E142" s="443">
        <f>Source!J127</f>
        <v>0</v>
      </c>
      <c r="F142" s="444">
        <f>Source!B127</f>
        <v>0</v>
      </c>
      <c r="G142" s="445">
        <f>Source!K127</f>
        <v>0</v>
      </c>
      <c r="H142" s="444">
        <f>Source!L127</f>
        <v>0</v>
      </c>
      <c r="I142" s="444">
        <f>Source!M127</f>
        <v>0</v>
      </c>
      <c r="J142" s="444">
        <f>Source!N127</f>
        <v>0</v>
      </c>
      <c r="K142" s="446">
        <f>Source!O127</f>
        <v>0</v>
      </c>
      <c r="L142" s="446">
        <f>Source!P127</f>
        <v>0</v>
      </c>
      <c r="M142" s="446">
        <f>Source!Q127</f>
        <v>0</v>
      </c>
      <c r="N142" s="447">
        <f>Source!U127</f>
        <v>0</v>
      </c>
      <c r="O142" s="448">
        <f>Source!V127</f>
        <v>0</v>
      </c>
      <c r="P142" s="449"/>
      <c r="Q142" s="450">
        <f>Source!X127</f>
        <v>0</v>
      </c>
      <c r="R142" s="215">
        <f>Source!Z127</f>
        <v>0</v>
      </c>
      <c r="S142" s="223">
        <f>Source!AA127</f>
        <v>0</v>
      </c>
      <c r="T142" s="216">
        <f>IF(Devise=DeviseInterne,Source!AB127,Source!AC127)</f>
        <v>0</v>
      </c>
      <c r="U142" s="57"/>
      <c r="V142" s="78"/>
      <c r="W142" s="78"/>
      <c r="X142" s="41"/>
      <c r="Y142" s="42"/>
    </row>
    <row r="143" spans="1:25" s="43" customFormat="1" ht="30" customHeight="1" thickTop="1" thickBot="1">
      <c r="A143" s="68"/>
      <c r="B143" s="440">
        <f>Source!G128</f>
        <v>0</v>
      </c>
      <c r="C143" s="441">
        <f>Source!C128</f>
        <v>0</v>
      </c>
      <c r="D143" s="442">
        <f>Source!D128</f>
        <v>0</v>
      </c>
      <c r="E143" s="443">
        <f>Source!J128</f>
        <v>0</v>
      </c>
      <c r="F143" s="444">
        <f>Source!B128</f>
        <v>0</v>
      </c>
      <c r="G143" s="445">
        <f>Source!K128</f>
        <v>0</v>
      </c>
      <c r="H143" s="444">
        <f>Source!L128</f>
        <v>0</v>
      </c>
      <c r="I143" s="444">
        <f>Source!M128</f>
        <v>0</v>
      </c>
      <c r="J143" s="444">
        <f>Source!N128</f>
        <v>0</v>
      </c>
      <c r="K143" s="446">
        <f>Source!O128</f>
        <v>0</v>
      </c>
      <c r="L143" s="446">
        <f>Source!P128</f>
        <v>0</v>
      </c>
      <c r="M143" s="446">
        <f>Source!Q128</f>
        <v>0</v>
      </c>
      <c r="N143" s="447">
        <f>Source!U128</f>
        <v>0</v>
      </c>
      <c r="O143" s="448">
        <f>Source!V128</f>
        <v>0</v>
      </c>
      <c r="P143" s="449"/>
      <c r="Q143" s="450">
        <f>Source!X128</f>
        <v>0</v>
      </c>
      <c r="R143" s="215">
        <f>Source!Z128</f>
        <v>0</v>
      </c>
      <c r="S143" s="223">
        <f>Source!AA128</f>
        <v>0</v>
      </c>
      <c r="T143" s="216">
        <f>IF(Devise=DeviseInterne,Source!AB128,Source!AC128)</f>
        <v>0</v>
      </c>
      <c r="U143" s="57"/>
      <c r="V143" s="78"/>
      <c r="W143" s="78"/>
      <c r="X143" s="41"/>
      <c r="Y143" s="42"/>
    </row>
    <row r="144" spans="1:25" s="43" customFormat="1" ht="30" customHeight="1" thickTop="1" thickBot="1">
      <c r="A144" s="68"/>
      <c r="B144" s="440">
        <f>Source!G129</f>
        <v>0</v>
      </c>
      <c r="C144" s="441">
        <f>Source!C129</f>
        <v>0</v>
      </c>
      <c r="D144" s="442">
        <f>Source!D129</f>
        <v>0</v>
      </c>
      <c r="E144" s="443">
        <f>Source!J129</f>
        <v>0</v>
      </c>
      <c r="F144" s="444">
        <f>Source!B129</f>
        <v>0</v>
      </c>
      <c r="G144" s="445">
        <f>Source!K129</f>
        <v>0</v>
      </c>
      <c r="H144" s="444">
        <f>Source!L129</f>
        <v>0</v>
      </c>
      <c r="I144" s="444">
        <f>Source!M129</f>
        <v>0</v>
      </c>
      <c r="J144" s="444">
        <f>Source!N129</f>
        <v>0</v>
      </c>
      <c r="K144" s="446">
        <f>Source!O129</f>
        <v>0</v>
      </c>
      <c r="L144" s="446">
        <f>Source!P129</f>
        <v>0</v>
      </c>
      <c r="M144" s="446">
        <f>Source!Q129</f>
        <v>0</v>
      </c>
      <c r="N144" s="447">
        <f>Source!U129</f>
        <v>0</v>
      </c>
      <c r="O144" s="448">
        <f>Source!V129</f>
        <v>0</v>
      </c>
      <c r="P144" s="449"/>
      <c r="Q144" s="450">
        <f>Source!X129</f>
        <v>0</v>
      </c>
      <c r="R144" s="215">
        <f>Source!Z129</f>
        <v>0</v>
      </c>
      <c r="S144" s="223">
        <f>Source!AA129</f>
        <v>0</v>
      </c>
      <c r="T144" s="216">
        <f>IF(Devise=DeviseInterne,Source!AB129,Source!AC129)</f>
        <v>0</v>
      </c>
      <c r="U144" s="57"/>
      <c r="V144" s="78"/>
      <c r="W144" s="78"/>
      <c r="X144" s="41"/>
      <c r="Y144" s="42"/>
    </row>
    <row r="145" spans="1:25" s="43" customFormat="1" ht="30" customHeight="1" thickTop="1" thickBot="1">
      <c r="A145" s="68"/>
      <c r="B145" s="440">
        <f>Source!G130</f>
        <v>0</v>
      </c>
      <c r="C145" s="441">
        <f>Source!C130</f>
        <v>0</v>
      </c>
      <c r="D145" s="442">
        <f>Source!D130</f>
        <v>0</v>
      </c>
      <c r="E145" s="443">
        <f>Source!J130</f>
        <v>0</v>
      </c>
      <c r="F145" s="444">
        <f>Source!B130</f>
        <v>0</v>
      </c>
      <c r="G145" s="445">
        <f>Source!K130</f>
        <v>0</v>
      </c>
      <c r="H145" s="444">
        <f>Source!L130</f>
        <v>0</v>
      </c>
      <c r="I145" s="444">
        <f>Source!M130</f>
        <v>0</v>
      </c>
      <c r="J145" s="444">
        <f>Source!N130</f>
        <v>0</v>
      </c>
      <c r="K145" s="446">
        <f>Source!O130</f>
        <v>0</v>
      </c>
      <c r="L145" s="446">
        <f>Source!P130</f>
        <v>0</v>
      </c>
      <c r="M145" s="446">
        <f>Source!Q130</f>
        <v>0</v>
      </c>
      <c r="N145" s="447">
        <f>Source!U130</f>
        <v>0</v>
      </c>
      <c r="O145" s="448">
        <f>Source!V130</f>
        <v>0</v>
      </c>
      <c r="P145" s="449"/>
      <c r="Q145" s="450">
        <f>Source!X130</f>
        <v>0</v>
      </c>
      <c r="R145" s="215">
        <f>Source!Z130</f>
        <v>0</v>
      </c>
      <c r="S145" s="223">
        <f>Source!AA130</f>
        <v>0</v>
      </c>
      <c r="T145" s="216">
        <f>IF(Devise=DeviseInterne,Source!AB130,Source!AC130)</f>
        <v>0</v>
      </c>
      <c r="U145" s="57"/>
      <c r="V145" s="78"/>
      <c r="W145" s="78"/>
      <c r="X145" s="41"/>
      <c r="Y145" s="42"/>
    </row>
    <row r="146" spans="1:25" s="43" customFormat="1" ht="30" customHeight="1" thickTop="1" thickBot="1">
      <c r="A146" s="68"/>
      <c r="B146" s="440">
        <f>Source!G131</f>
        <v>0</v>
      </c>
      <c r="C146" s="441">
        <f>Source!C131</f>
        <v>0</v>
      </c>
      <c r="D146" s="442">
        <f>Source!D131</f>
        <v>0</v>
      </c>
      <c r="E146" s="443">
        <f>Source!J131</f>
        <v>0</v>
      </c>
      <c r="F146" s="444">
        <f>Source!B131</f>
        <v>0</v>
      </c>
      <c r="G146" s="445">
        <f>Source!K131</f>
        <v>0</v>
      </c>
      <c r="H146" s="444">
        <f>Source!L131</f>
        <v>0</v>
      </c>
      <c r="I146" s="444">
        <f>Source!M131</f>
        <v>0</v>
      </c>
      <c r="J146" s="444">
        <f>Source!N131</f>
        <v>0</v>
      </c>
      <c r="K146" s="446">
        <f>Source!O131</f>
        <v>0</v>
      </c>
      <c r="L146" s="446">
        <f>Source!P131</f>
        <v>0</v>
      </c>
      <c r="M146" s="446">
        <f>Source!Q131</f>
        <v>0</v>
      </c>
      <c r="N146" s="447">
        <f>Source!U131</f>
        <v>0</v>
      </c>
      <c r="O146" s="448">
        <f>Source!V131</f>
        <v>0</v>
      </c>
      <c r="P146" s="449"/>
      <c r="Q146" s="450">
        <f>Source!X131</f>
        <v>0</v>
      </c>
      <c r="R146" s="215">
        <f>Source!Z131</f>
        <v>0</v>
      </c>
      <c r="S146" s="223">
        <f>Source!AA131</f>
        <v>0</v>
      </c>
      <c r="T146" s="216">
        <f>IF(Devise=DeviseInterne,Source!AB131,Source!AC131)</f>
        <v>0</v>
      </c>
      <c r="U146" s="57"/>
      <c r="V146" s="78"/>
      <c r="W146" s="78"/>
      <c r="X146" s="41"/>
      <c r="Y146" s="42"/>
    </row>
    <row r="147" spans="1:25" s="43" customFormat="1" ht="30" customHeight="1" thickTop="1" thickBot="1">
      <c r="A147" s="68"/>
      <c r="B147" s="440">
        <f>Source!G132</f>
        <v>0</v>
      </c>
      <c r="C147" s="441">
        <f>Source!C132</f>
        <v>0</v>
      </c>
      <c r="D147" s="442">
        <f>Source!D132</f>
        <v>0</v>
      </c>
      <c r="E147" s="443">
        <f>Source!J132</f>
        <v>0</v>
      </c>
      <c r="F147" s="444">
        <f>Source!B132</f>
        <v>0</v>
      </c>
      <c r="G147" s="445">
        <f>Source!K132</f>
        <v>0</v>
      </c>
      <c r="H147" s="444">
        <f>Source!L132</f>
        <v>0</v>
      </c>
      <c r="I147" s="444">
        <f>Source!M132</f>
        <v>0</v>
      </c>
      <c r="J147" s="444">
        <f>Source!N132</f>
        <v>0</v>
      </c>
      <c r="K147" s="446">
        <f>Source!O132</f>
        <v>0</v>
      </c>
      <c r="L147" s="446">
        <f>Source!P132</f>
        <v>0</v>
      </c>
      <c r="M147" s="446">
        <f>Source!Q132</f>
        <v>0</v>
      </c>
      <c r="N147" s="447">
        <f>Source!U132</f>
        <v>0</v>
      </c>
      <c r="O147" s="448">
        <f>Source!V132</f>
        <v>0</v>
      </c>
      <c r="P147" s="449"/>
      <c r="Q147" s="450">
        <f>Source!X132</f>
        <v>0</v>
      </c>
      <c r="R147" s="215">
        <f>Source!Z132</f>
        <v>0</v>
      </c>
      <c r="S147" s="223">
        <f>Source!AA132</f>
        <v>0</v>
      </c>
      <c r="T147" s="216">
        <f>IF(Devise=DeviseInterne,Source!AB132,Source!AC132)</f>
        <v>0</v>
      </c>
      <c r="U147" s="57"/>
      <c r="V147" s="78"/>
      <c r="W147" s="78"/>
      <c r="X147" s="41"/>
      <c r="Y147" s="42"/>
    </row>
    <row r="148" spans="1:25" s="43" customFormat="1" ht="30" customHeight="1" thickTop="1" thickBot="1">
      <c r="A148" s="68"/>
      <c r="B148" s="440">
        <f>Source!G133</f>
        <v>0</v>
      </c>
      <c r="C148" s="441">
        <f>Source!C133</f>
        <v>0</v>
      </c>
      <c r="D148" s="442">
        <f>Source!D133</f>
        <v>0</v>
      </c>
      <c r="E148" s="443">
        <f>Source!J133</f>
        <v>0</v>
      </c>
      <c r="F148" s="444">
        <f>Source!B133</f>
        <v>0</v>
      </c>
      <c r="G148" s="445">
        <f>Source!K133</f>
        <v>0</v>
      </c>
      <c r="H148" s="444">
        <f>Source!L133</f>
        <v>0</v>
      </c>
      <c r="I148" s="444">
        <f>Source!M133</f>
        <v>0</v>
      </c>
      <c r="J148" s="444">
        <f>Source!N133</f>
        <v>0</v>
      </c>
      <c r="K148" s="446">
        <f>Source!O133</f>
        <v>0</v>
      </c>
      <c r="L148" s="446">
        <f>Source!P133</f>
        <v>0</v>
      </c>
      <c r="M148" s="446">
        <f>Source!Q133</f>
        <v>0</v>
      </c>
      <c r="N148" s="447">
        <f>Source!U133</f>
        <v>0</v>
      </c>
      <c r="O148" s="448">
        <f>Source!V133</f>
        <v>0</v>
      </c>
      <c r="P148" s="449"/>
      <c r="Q148" s="450">
        <f>Source!X133</f>
        <v>0</v>
      </c>
      <c r="R148" s="215">
        <f>Source!Z133</f>
        <v>0</v>
      </c>
      <c r="S148" s="223">
        <f>Source!AA133</f>
        <v>0</v>
      </c>
      <c r="T148" s="216">
        <f>IF(Devise=DeviseInterne,Source!AB133,Source!AC133)</f>
        <v>0</v>
      </c>
      <c r="U148" s="57"/>
      <c r="V148" s="78"/>
      <c r="W148" s="78"/>
      <c r="X148" s="41"/>
      <c r="Y148" s="42"/>
    </row>
    <row r="149" spans="1:25" s="43" customFormat="1" ht="30" customHeight="1" thickTop="1" thickBot="1">
      <c r="A149" s="68"/>
      <c r="B149" s="440">
        <f>Source!G134</f>
        <v>0</v>
      </c>
      <c r="C149" s="441">
        <f>Source!C134</f>
        <v>0</v>
      </c>
      <c r="D149" s="442">
        <f>Source!D134</f>
        <v>0</v>
      </c>
      <c r="E149" s="443">
        <f>Source!J134</f>
        <v>0</v>
      </c>
      <c r="F149" s="444">
        <f>Source!B134</f>
        <v>0</v>
      </c>
      <c r="G149" s="445">
        <f>Source!K134</f>
        <v>0</v>
      </c>
      <c r="H149" s="444">
        <f>Source!L134</f>
        <v>0</v>
      </c>
      <c r="I149" s="444">
        <f>Source!M134</f>
        <v>0</v>
      </c>
      <c r="J149" s="444">
        <f>Source!N134</f>
        <v>0</v>
      </c>
      <c r="K149" s="446">
        <f>Source!O134</f>
        <v>0</v>
      </c>
      <c r="L149" s="446">
        <f>Source!P134</f>
        <v>0</v>
      </c>
      <c r="M149" s="446">
        <f>Source!Q134</f>
        <v>0</v>
      </c>
      <c r="N149" s="447">
        <f>Source!U134</f>
        <v>0</v>
      </c>
      <c r="O149" s="448">
        <f>Source!V134</f>
        <v>0</v>
      </c>
      <c r="P149" s="449"/>
      <c r="Q149" s="450">
        <f>Source!X134</f>
        <v>0</v>
      </c>
      <c r="R149" s="215">
        <f>Source!Z134</f>
        <v>0</v>
      </c>
      <c r="S149" s="223">
        <f>Source!AA134</f>
        <v>0</v>
      </c>
      <c r="T149" s="216">
        <f>IF(Devise=DeviseInterne,Source!AB134,Source!AC134)</f>
        <v>0</v>
      </c>
      <c r="U149" s="57"/>
      <c r="V149" s="78"/>
      <c r="W149" s="78"/>
      <c r="X149" s="41"/>
      <c r="Y149" s="42"/>
    </row>
    <row r="150" spans="1:25" s="43" customFormat="1" ht="30" customHeight="1" thickTop="1" thickBot="1">
      <c r="A150" s="68"/>
      <c r="B150" s="440">
        <f>Source!G135</f>
        <v>0</v>
      </c>
      <c r="C150" s="441">
        <f>Source!C135</f>
        <v>0</v>
      </c>
      <c r="D150" s="442">
        <f>Source!D135</f>
        <v>0</v>
      </c>
      <c r="E150" s="443">
        <f>Source!J135</f>
        <v>0</v>
      </c>
      <c r="F150" s="444">
        <f>Source!B135</f>
        <v>0</v>
      </c>
      <c r="G150" s="445">
        <f>Source!K135</f>
        <v>0</v>
      </c>
      <c r="H150" s="444">
        <f>Source!L135</f>
        <v>0</v>
      </c>
      <c r="I150" s="444">
        <f>Source!M135</f>
        <v>0</v>
      </c>
      <c r="J150" s="444">
        <f>Source!N135</f>
        <v>0</v>
      </c>
      <c r="K150" s="446">
        <f>Source!O135</f>
        <v>0</v>
      </c>
      <c r="L150" s="446">
        <f>Source!P135</f>
        <v>0</v>
      </c>
      <c r="M150" s="446">
        <f>Source!Q135</f>
        <v>0</v>
      </c>
      <c r="N150" s="447">
        <f>Source!U135</f>
        <v>0</v>
      </c>
      <c r="O150" s="448">
        <f>Source!V135</f>
        <v>0</v>
      </c>
      <c r="P150" s="449"/>
      <c r="Q150" s="450">
        <f>Source!X135</f>
        <v>0</v>
      </c>
      <c r="R150" s="215">
        <f>Source!Z135</f>
        <v>0</v>
      </c>
      <c r="S150" s="223">
        <f>Source!AA135</f>
        <v>0</v>
      </c>
      <c r="T150" s="216">
        <f>IF(Devise=DeviseInterne,Source!AB135,Source!AC135)</f>
        <v>0</v>
      </c>
      <c r="U150" s="57"/>
      <c r="V150" s="78"/>
      <c r="W150" s="78"/>
      <c r="X150" s="41"/>
      <c r="Y150" s="42"/>
    </row>
    <row r="151" spans="1:25" s="43" customFormat="1" ht="30" customHeight="1" thickTop="1" thickBot="1">
      <c r="A151" s="68"/>
      <c r="B151" s="440">
        <f>Source!G136</f>
        <v>0</v>
      </c>
      <c r="C151" s="441">
        <f>Source!C136</f>
        <v>0</v>
      </c>
      <c r="D151" s="442">
        <f>Source!D136</f>
        <v>0</v>
      </c>
      <c r="E151" s="443">
        <f>Source!J136</f>
        <v>0</v>
      </c>
      <c r="F151" s="444">
        <f>Source!B136</f>
        <v>0</v>
      </c>
      <c r="G151" s="445">
        <f>Source!K136</f>
        <v>0</v>
      </c>
      <c r="H151" s="444">
        <f>Source!L136</f>
        <v>0</v>
      </c>
      <c r="I151" s="444">
        <f>Source!M136</f>
        <v>0</v>
      </c>
      <c r="J151" s="444">
        <f>Source!N136</f>
        <v>0</v>
      </c>
      <c r="K151" s="446">
        <f>Source!O136</f>
        <v>0</v>
      </c>
      <c r="L151" s="446">
        <f>Source!P136</f>
        <v>0</v>
      </c>
      <c r="M151" s="446">
        <f>Source!Q136</f>
        <v>0</v>
      </c>
      <c r="N151" s="447">
        <f>Source!U136</f>
        <v>0</v>
      </c>
      <c r="O151" s="448">
        <f>Source!V136</f>
        <v>0</v>
      </c>
      <c r="P151" s="449"/>
      <c r="Q151" s="450">
        <f>Source!X136</f>
        <v>0</v>
      </c>
      <c r="R151" s="215">
        <f>Source!Z136</f>
        <v>0</v>
      </c>
      <c r="S151" s="223">
        <f>Source!AA136</f>
        <v>0</v>
      </c>
      <c r="T151" s="216">
        <f>IF(Devise=DeviseInterne,Source!AB136,Source!AC136)</f>
        <v>0</v>
      </c>
      <c r="U151" s="57"/>
      <c r="V151" s="78"/>
      <c r="W151" s="78"/>
      <c r="X151" s="41"/>
      <c r="Y151" s="42"/>
    </row>
    <row r="152" spans="1:25" s="43" customFormat="1" ht="30" customHeight="1" thickTop="1" thickBot="1">
      <c r="A152" s="68"/>
      <c r="B152" s="440">
        <f>Source!G137</f>
        <v>0</v>
      </c>
      <c r="C152" s="441">
        <f>Source!C137</f>
        <v>0</v>
      </c>
      <c r="D152" s="442">
        <f>Source!D137</f>
        <v>0</v>
      </c>
      <c r="E152" s="443">
        <f>Source!J137</f>
        <v>0</v>
      </c>
      <c r="F152" s="444">
        <f>Source!B137</f>
        <v>0</v>
      </c>
      <c r="G152" s="445">
        <f>Source!K137</f>
        <v>0</v>
      </c>
      <c r="H152" s="444">
        <f>Source!L137</f>
        <v>0</v>
      </c>
      <c r="I152" s="444">
        <f>Source!M137</f>
        <v>0</v>
      </c>
      <c r="J152" s="444">
        <f>Source!N137</f>
        <v>0</v>
      </c>
      <c r="K152" s="446">
        <f>Source!O137</f>
        <v>0</v>
      </c>
      <c r="L152" s="446">
        <f>Source!P137</f>
        <v>0</v>
      </c>
      <c r="M152" s="446">
        <f>Source!Q137</f>
        <v>0</v>
      </c>
      <c r="N152" s="447">
        <f>Source!U137</f>
        <v>0</v>
      </c>
      <c r="O152" s="448">
        <f>Source!V137</f>
        <v>0</v>
      </c>
      <c r="P152" s="449"/>
      <c r="Q152" s="450">
        <f>Source!X137</f>
        <v>0</v>
      </c>
      <c r="R152" s="215">
        <f>Source!Z137</f>
        <v>0</v>
      </c>
      <c r="S152" s="223">
        <f>Source!AA137</f>
        <v>0</v>
      </c>
      <c r="T152" s="216">
        <f>IF(Devise=DeviseInterne,Source!AB137,Source!AC137)</f>
        <v>0</v>
      </c>
      <c r="U152" s="57"/>
      <c r="V152" s="78"/>
      <c r="W152" s="78"/>
      <c r="X152" s="41"/>
      <c r="Y152" s="42"/>
    </row>
    <row r="153" spans="1:25" s="43" customFormat="1" ht="30" customHeight="1" thickTop="1" thickBot="1">
      <c r="A153" s="68"/>
      <c r="B153" s="440">
        <f>Source!G138</f>
        <v>0</v>
      </c>
      <c r="C153" s="441">
        <f>Source!C138</f>
        <v>0</v>
      </c>
      <c r="D153" s="442">
        <f>Source!D138</f>
        <v>0</v>
      </c>
      <c r="E153" s="443">
        <f>Source!J138</f>
        <v>0</v>
      </c>
      <c r="F153" s="444">
        <f>Source!B138</f>
        <v>0</v>
      </c>
      <c r="G153" s="445">
        <f>Source!K138</f>
        <v>0</v>
      </c>
      <c r="H153" s="444">
        <f>Source!L138</f>
        <v>0</v>
      </c>
      <c r="I153" s="444">
        <f>Source!M138</f>
        <v>0</v>
      </c>
      <c r="J153" s="444">
        <f>Source!N138</f>
        <v>0</v>
      </c>
      <c r="K153" s="446">
        <f>Source!O138</f>
        <v>0</v>
      </c>
      <c r="L153" s="446">
        <f>Source!P138</f>
        <v>0</v>
      </c>
      <c r="M153" s="446">
        <f>Source!Q138</f>
        <v>0</v>
      </c>
      <c r="N153" s="447">
        <f>Source!U138</f>
        <v>0</v>
      </c>
      <c r="O153" s="448">
        <f>Source!V138</f>
        <v>0</v>
      </c>
      <c r="P153" s="449"/>
      <c r="Q153" s="450">
        <f>Source!X138</f>
        <v>0</v>
      </c>
      <c r="R153" s="215">
        <f>Source!Z138</f>
        <v>0</v>
      </c>
      <c r="S153" s="223">
        <f>Source!AA138</f>
        <v>0</v>
      </c>
      <c r="T153" s="216">
        <f>IF(Devise=DeviseInterne,Source!AB138,Source!AC138)</f>
        <v>0</v>
      </c>
      <c r="U153" s="57"/>
      <c r="V153" s="78"/>
      <c r="W153" s="78"/>
      <c r="X153" s="41"/>
      <c r="Y153" s="42"/>
    </row>
    <row r="154" spans="1:25" s="43" customFormat="1" ht="30" customHeight="1" thickTop="1" thickBot="1">
      <c r="A154" s="68"/>
      <c r="B154" s="440">
        <f>Source!G139</f>
        <v>0</v>
      </c>
      <c r="C154" s="441">
        <f>Source!C139</f>
        <v>0</v>
      </c>
      <c r="D154" s="442">
        <f>Source!D139</f>
        <v>0</v>
      </c>
      <c r="E154" s="443">
        <f>Source!J139</f>
        <v>0</v>
      </c>
      <c r="F154" s="444">
        <f>Source!B139</f>
        <v>0</v>
      </c>
      <c r="G154" s="445">
        <f>Source!K139</f>
        <v>0</v>
      </c>
      <c r="H154" s="444">
        <f>Source!L139</f>
        <v>0</v>
      </c>
      <c r="I154" s="444">
        <f>Source!M139</f>
        <v>0</v>
      </c>
      <c r="J154" s="444">
        <f>Source!N139</f>
        <v>0</v>
      </c>
      <c r="K154" s="446">
        <f>Source!O139</f>
        <v>0</v>
      </c>
      <c r="L154" s="446">
        <f>Source!P139</f>
        <v>0</v>
      </c>
      <c r="M154" s="446">
        <f>Source!Q139</f>
        <v>0</v>
      </c>
      <c r="N154" s="447">
        <f>Source!U139</f>
        <v>0</v>
      </c>
      <c r="O154" s="448">
        <f>Source!V139</f>
        <v>0</v>
      </c>
      <c r="P154" s="449"/>
      <c r="Q154" s="450">
        <f>Source!X139</f>
        <v>0</v>
      </c>
      <c r="R154" s="215">
        <f>Source!Z139</f>
        <v>0</v>
      </c>
      <c r="S154" s="223">
        <f>Source!AA139</f>
        <v>0</v>
      </c>
      <c r="T154" s="216">
        <f>IF(Devise=DeviseInterne,Source!AB139,Source!AC139)</f>
        <v>0</v>
      </c>
      <c r="U154" s="57"/>
      <c r="V154" s="78"/>
      <c r="W154" s="78"/>
      <c r="X154" s="41"/>
      <c r="Y154" s="42"/>
    </row>
    <row r="155" spans="1:25" s="43" customFormat="1" ht="30" customHeight="1" thickTop="1" thickBot="1">
      <c r="A155" s="68"/>
      <c r="B155" s="440">
        <f>Source!G140</f>
        <v>0</v>
      </c>
      <c r="C155" s="441">
        <f>Source!C140</f>
        <v>0</v>
      </c>
      <c r="D155" s="442">
        <f>Source!D140</f>
        <v>0</v>
      </c>
      <c r="E155" s="443">
        <f>Source!J140</f>
        <v>0</v>
      </c>
      <c r="F155" s="444">
        <f>Source!B140</f>
        <v>0</v>
      </c>
      <c r="G155" s="445">
        <f>Source!K140</f>
        <v>0</v>
      </c>
      <c r="H155" s="444">
        <f>Source!L140</f>
        <v>0</v>
      </c>
      <c r="I155" s="444">
        <f>Source!M140</f>
        <v>0</v>
      </c>
      <c r="J155" s="444">
        <f>Source!N140</f>
        <v>0</v>
      </c>
      <c r="K155" s="446">
        <f>Source!O140</f>
        <v>0</v>
      </c>
      <c r="L155" s="446">
        <f>Source!P140</f>
        <v>0</v>
      </c>
      <c r="M155" s="446">
        <f>Source!Q140</f>
        <v>0</v>
      </c>
      <c r="N155" s="447">
        <f>Source!U140</f>
        <v>0</v>
      </c>
      <c r="O155" s="448">
        <f>Source!V140</f>
        <v>0</v>
      </c>
      <c r="P155" s="449"/>
      <c r="Q155" s="450">
        <f>Source!X140</f>
        <v>0</v>
      </c>
      <c r="R155" s="215">
        <f>Source!Z140</f>
        <v>0</v>
      </c>
      <c r="S155" s="223">
        <f>Source!AA140</f>
        <v>0</v>
      </c>
      <c r="T155" s="216">
        <f>IF(Devise=DeviseInterne,Source!AB140,Source!AC140)</f>
        <v>0</v>
      </c>
      <c r="U155" s="57"/>
      <c r="V155" s="78"/>
      <c r="W155" s="78"/>
      <c r="X155" s="41"/>
      <c r="Y155" s="42"/>
    </row>
    <row r="156" spans="1:25" s="43" customFormat="1" ht="30" customHeight="1" thickTop="1" thickBot="1">
      <c r="A156" s="68"/>
      <c r="B156" s="440">
        <f>Source!G141</f>
        <v>0</v>
      </c>
      <c r="C156" s="441">
        <f>Source!C141</f>
        <v>0</v>
      </c>
      <c r="D156" s="442">
        <f>Source!D141</f>
        <v>0</v>
      </c>
      <c r="E156" s="443">
        <f>Source!J141</f>
        <v>0</v>
      </c>
      <c r="F156" s="444">
        <f>Source!B141</f>
        <v>0</v>
      </c>
      <c r="G156" s="445">
        <f>Source!K141</f>
        <v>0</v>
      </c>
      <c r="H156" s="444">
        <f>Source!L141</f>
        <v>0</v>
      </c>
      <c r="I156" s="444">
        <f>Source!M141</f>
        <v>0</v>
      </c>
      <c r="J156" s="444">
        <f>Source!N141</f>
        <v>0</v>
      </c>
      <c r="K156" s="446">
        <f>Source!O141</f>
        <v>0</v>
      </c>
      <c r="L156" s="446">
        <f>Source!P141</f>
        <v>0</v>
      </c>
      <c r="M156" s="446">
        <f>Source!Q141</f>
        <v>0</v>
      </c>
      <c r="N156" s="447">
        <f>Source!U141</f>
        <v>0</v>
      </c>
      <c r="O156" s="448">
        <f>Source!V141</f>
        <v>0</v>
      </c>
      <c r="P156" s="449"/>
      <c r="Q156" s="450">
        <f>Source!X141</f>
        <v>0</v>
      </c>
      <c r="R156" s="215">
        <f>Source!Z141</f>
        <v>0</v>
      </c>
      <c r="S156" s="223">
        <f>Source!AA141</f>
        <v>0</v>
      </c>
      <c r="T156" s="216">
        <f>IF(Devise=DeviseInterne,Source!AB141,Source!AC141)</f>
        <v>0</v>
      </c>
      <c r="U156" s="57"/>
      <c r="V156" s="78"/>
      <c r="W156" s="78"/>
      <c r="X156" s="41"/>
      <c r="Y156" s="42"/>
    </row>
    <row r="157" spans="1:25" s="43" customFormat="1" ht="30" customHeight="1" thickTop="1" thickBot="1">
      <c r="A157" s="68"/>
      <c r="B157" s="440">
        <f>Source!G142</f>
        <v>0</v>
      </c>
      <c r="C157" s="441">
        <f>Source!C142</f>
        <v>0</v>
      </c>
      <c r="D157" s="442">
        <f>Source!D142</f>
        <v>0</v>
      </c>
      <c r="E157" s="443">
        <f>Source!J142</f>
        <v>0</v>
      </c>
      <c r="F157" s="444">
        <f>Source!B142</f>
        <v>0</v>
      </c>
      <c r="G157" s="445">
        <f>Source!K142</f>
        <v>0</v>
      </c>
      <c r="H157" s="444">
        <f>Source!L142</f>
        <v>0</v>
      </c>
      <c r="I157" s="444">
        <f>Source!M142</f>
        <v>0</v>
      </c>
      <c r="J157" s="444">
        <f>Source!N142</f>
        <v>0</v>
      </c>
      <c r="K157" s="446">
        <f>Source!O142</f>
        <v>0</v>
      </c>
      <c r="L157" s="446">
        <f>Source!P142</f>
        <v>0</v>
      </c>
      <c r="M157" s="446">
        <f>Source!Q142</f>
        <v>0</v>
      </c>
      <c r="N157" s="447">
        <f>Source!U142</f>
        <v>0</v>
      </c>
      <c r="O157" s="448">
        <f>Source!V142</f>
        <v>0</v>
      </c>
      <c r="P157" s="449"/>
      <c r="Q157" s="450">
        <f>Source!X142</f>
        <v>0</v>
      </c>
      <c r="R157" s="215">
        <f>Source!Z142</f>
        <v>0</v>
      </c>
      <c r="S157" s="223">
        <f>Source!AA142</f>
        <v>0</v>
      </c>
      <c r="T157" s="216">
        <f>IF(Devise=DeviseInterne,Source!AB142,Source!AC142)</f>
        <v>0</v>
      </c>
      <c r="U157" s="57"/>
      <c r="V157" s="78"/>
      <c r="W157" s="78"/>
      <c r="X157" s="41"/>
      <c r="Y157" s="42"/>
    </row>
    <row r="158" spans="1:25" s="43" customFormat="1" ht="30" customHeight="1" thickTop="1" thickBot="1">
      <c r="A158" s="68"/>
      <c r="B158" s="440">
        <f>Source!G143</f>
        <v>0</v>
      </c>
      <c r="C158" s="441">
        <f>Source!C143</f>
        <v>0</v>
      </c>
      <c r="D158" s="442">
        <f>Source!D143</f>
        <v>0</v>
      </c>
      <c r="E158" s="443">
        <f>Source!J143</f>
        <v>0</v>
      </c>
      <c r="F158" s="444">
        <f>Source!B143</f>
        <v>0</v>
      </c>
      <c r="G158" s="445">
        <f>Source!K143</f>
        <v>0</v>
      </c>
      <c r="H158" s="444">
        <f>Source!L143</f>
        <v>0</v>
      </c>
      <c r="I158" s="444">
        <f>Source!M143</f>
        <v>0</v>
      </c>
      <c r="J158" s="444">
        <f>Source!N143</f>
        <v>0</v>
      </c>
      <c r="K158" s="446">
        <f>Source!O143</f>
        <v>0</v>
      </c>
      <c r="L158" s="446">
        <f>Source!P143</f>
        <v>0</v>
      </c>
      <c r="M158" s="446">
        <f>Source!Q143</f>
        <v>0</v>
      </c>
      <c r="N158" s="447">
        <f>Source!U143</f>
        <v>0</v>
      </c>
      <c r="O158" s="448">
        <f>Source!V143</f>
        <v>0</v>
      </c>
      <c r="P158" s="449"/>
      <c r="Q158" s="450">
        <f>Source!X143</f>
        <v>0</v>
      </c>
      <c r="R158" s="215">
        <f>Source!Z143</f>
        <v>0</v>
      </c>
      <c r="S158" s="223">
        <f>Source!AA143</f>
        <v>0</v>
      </c>
      <c r="T158" s="216">
        <f>IF(Devise=DeviseInterne,Source!AB143,Source!AC143)</f>
        <v>0</v>
      </c>
      <c r="U158" s="57"/>
      <c r="V158" s="78"/>
      <c r="W158" s="78"/>
      <c r="X158" s="41"/>
      <c r="Y158" s="42"/>
    </row>
    <row r="159" spans="1:25" s="43" customFormat="1" ht="30" customHeight="1" thickTop="1" thickBot="1">
      <c r="A159" s="68"/>
      <c r="B159" s="440">
        <f>Source!G144</f>
        <v>0</v>
      </c>
      <c r="C159" s="441">
        <f>Source!C144</f>
        <v>0</v>
      </c>
      <c r="D159" s="442">
        <f>Source!D144</f>
        <v>0</v>
      </c>
      <c r="E159" s="443">
        <f>Source!J144</f>
        <v>0</v>
      </c>
      <c r="F159" s="444">
        <f>Source!B144</f>
        <v>0</v>
      </c>
      <c r="G159" s="445">
        <f>Source!K144</f>
        <v>0</v>
      </c>
      <c r="H159" s="444">
        <f>Source!L144</f>
        <v>0</v>
      </c>
      <c r="I159" s="444">
        <f>Source!M144</f>
        <v>0</v>
      </c>
      <c r="J159" s="444">
        <f>Source!N144</f>
        <v>0</v>
      </c>
      <c r="K159" s="446">
        <f>Source!O144</f>
        <v>0</v>
      </c>
      <c r="L159" s="446">
        <f>Source!P144</f>
        <v>0</v>
      </c>
      <c r="M159" s="446">
        <f>Source!Q144</f>
        <v>0</v>
      </c>
      <c r="N159" s="447">
        <f>Source!U144</f>
        <v>0</v>
      </c>
      <c r="O159" s="448">
        <f>Source!V144</f>
        <v>0</v>
      </c>
      <c r="P159" s="449"/>
      <c r="Q159" s="450">
        <f>Source!X144</f>
        <v>0</v>
      </c>
      <c r="R159" s="215">
        <f>Source!Z144</f>
        <v>0</v>
      </c>
      <c r="S159" s="223">
        <f>Source!AA144</f>
        <v>0</v>
      </c>
      <c r="T159" s="216">
        <f>IF(Devise=DeviseInterne,Source!AB144,Source!AC144)</f>
        <v>0</v>
      </c>
      <c r="U159" s="57"/>
      <c r="V159" s="78"/>
      <c r="W159" s="78"/>
      <c r="X159" s="41"/>
      <c r="Y159" s="42"/>
    </row>
    <row r="160" spans="1:25" s="43" customFormat="1" ht="30" customHeight="1" thickTop="1" thickBot="1">
      <c r="A160" s="68"/>
      <c r="B160" s="440">
        <f>Source!G145</f>
        <v>0</v>
      </c>
      <c r="C160" s="441">
        <f>Source!C145</f>
        <v>0</v>
      </c>
      <c r="D160" s="442">
        <f>Source!D145</f>
        <v>0</v>
      </c>
      <c r="E160" s="443">
        <f>Source!J145</f>
        <v>0</v>
      </c>
      <c r="F160" s="444">
        <f>Source!B145</f>
        <v>0</v>
      </c>
      <c r="G160" s="445">
        <f>Source!K145</f>
        <v>0</v>
      </c>
      <c r="H160" s="444">
        <f>Source!L145</f>
        <v>0</v>
      </c>
      <c r="I160" s="444">
        <f>Source!M145</f>
        <v>0</v>
      </c>
      <c r="J160" s="444">
        <f>Source!N145</f>
        <v>0</v>
      </c>
      <c r="K160" s="446">
        <f>Source!O145</f>
        <v>0</v>
      </c>
      <c r="L160" s="446">
        <f>Source!P145</f>
        <v>0</v>
      </c>
      <c r="M160" s="446">
        <f>Source!Q145</f>
        <v>0</v>
      </c>
      <c r="N160" s="447">
        <f>Source!U145</f>
        <v>0</v>
      </c>
      <c r="O160" s="448">
        <f>Source!V145</f>
        <v>0</v>
      </c>
      <c r="P160" s="449"/>
      <c r="Q160" s="450">
        <f>Source!X145</f>
        <v>0</v>
      </c>
      <c r="R160" s="215">
        <f>Source!Z145</f>
        <v>0</v>
      </c>
      <c r="S160" s="223">
        <f>Source!AA145</f>
        <v>0</v>
      </c>
      <c r="T160" s="216">
        <f>IF(Devise=DeviseInterne,Source!AB145,Source!AC145)</f>
        <v>0</v>
      </c>
      <c r="U160" s="57"/>
      <c r="V160" s="78"/>
      <c r="W160" s="78"/>
      <c r="X160" s="41"/>
      <c r="Y160" s="42"/>
    </row>
    <row r="161" spans="1:25" s="43" customFormat="1" ht="30" customHeight="1" thickTop="1" thickBot="1">
      <c r="A161" s="68"/>
      <c r="B161" s="440">
        <f>Source!G146</f>
        <v>0</v>
      </c>
      <c r="C161" s="441">
        <f>Source!C146</f>
        <v>0</v>
      </c>
      <c r="D161" s="442">
        <f>Source!D146</f>
        <v>0</v>
      </c>
      <c r="E161" s="443">
        <f>Source!J146</f>
        <v>0</v>
      </c>
      <c r="F161" s="444">
        <f>Source!B146</f>
        <v>0</v>
      </c>
      <c r="G161" s="445">
        <f>Source!K146</f>
        <v>0</v>
      </c>
      <c r="H161" s="444">
        <f>Source!L146</f>
        <v>0</v>
      </c>
      <c r="I161" s="444">
        <f>Source!M146</f>
        <v>0</v>
      </c>
      <c r="J161" s="444">
        <f>Source!N146</f>
        <v>0</v>
      </c>
      <c r="K161" s="446">
        <f>Source!O146</f>
        <v>0</v>
      </c>
      <c r="L161" s="446">
        <f>Source!P146</f>
        <v>0</v>
      </c>
      <c r="M161" s="446">
        <f>Source!Q146</f>
        <v>0</v>
      </c>
      <c r="N161" s="447">
        <f>Source!U146</f>
        <v>0</v>
      </c>
      <c r="O161" s="448">
        <f>Source!V146</f>
        <v>0</v>
      </c>
      <c r="P161" s="449"/>
      <c r="Q161" s="450">
        <f>Source!X146</f>
        <v>0</v>
      </c>
      <c r="R161" s="215">
        <f>Source!Z146</f>
        <v>0</v>
      </c>
      <c r="S161" s="223">
        <f>Source!AA146</f>
        <v>0</v>
      </c>
      <c r="T161" s="216">
        <f>IF(Devise=DeviseInterne,Source!AB146,Source!AC146)</f>
        <v>0</v>
      </c>
      <c r="U161" s="57"/>
      <c r="V161" s="78"/>
      <c r="W161" s="78"/>
      <c r="X161" s="41"/>
      <c r="Y161" s="42"/>
    </row>
    <row r="162" spans="1:25" s="43" customFormat="1" ht="30" customHeight="1" thickTop="1" thickBot="1">
      <c r="A162" s="68"/>
      <c r="B162" s="440">
        <f>Source!G147</f>
        <v>0</v>
      </c>
      <c r="C162" s="441">
        <f>Source!C147</f>
        <v>0</v>
      </c>
      <c r="D162" s="442">
        <f>Source!D147</f>
        <v>0</v>
      </c>
      <c r="E162" s="443">
        <f>Source!J147</f>
        <v>0</v>
      </c>
      <c r="F162" s="444">
        <f>Source!B147</f>
        <v>0</v>
      </c>
      <c r="G162" s="445">
        <f>Source!K147</f>
        <v>0</v>
      </c>
      <c r="H162" s="444">
        <f>Source!L147</f>
        <v>0</v>
      </c>
      <c r="I162" s="444">
        <f>Source!M147</f>
        <v>0</v>
      </c>
      <c r="J162" s="444">
        <f>Source!N147</f>
        <v>0</v>
      </c>
      <c r="K162" s="446">
        <f>Source!O147</f>
        <v>0</v>
      </c>
      <c r="L162" s="446">
        <f>Source!P147</f>
        <v>0</v>
      </c>
      <c r="M162" s="446">
        <f>Source!Q147</f>
        <v>0</v>
      </c>
      <c r="N162" s="447">
        <f>Source!U147</f>
        <v>0</v>
      </c>
      <c r="O162" s="448">
        <f>Source!V147</f>
        <v>0</v>
      </c>
      <c r="P162" s="449"/>
      <c r="Q162" s="450">
        <f>Source!X147</f>
        <v>0</v>
      </c>
      <c r="R162" s="215">
        <f>Source!Z147</f>
        <v>0</v>
      </c>
      <c r="S162" s="223">
        <f>Source!AA147</f>
        <v>0</v>
      </c>
      <c r="T162" s="216">
        <f>IF(Devise=DeviseInterne,Source!AB147,Source!AC147)</f>
        <v>0</v>
      </c>
      <c r="U162" s="57"/>
      <c r="V162" s="78"/>
      <c r="W162" s="78"/>
      <c r="X162" s="41"/>
      <c r="Y162" s="42"/>
    </row>
    <row r="163" spans="1:25" s="43" customFormat="1" ht="30" customHeight="1" thickTop="1" thickBot="1">
      <c r="A163" s="68"/>
      <c r="B163" s="440">
        <f>Source!G148</f>
        <v>0</v>
      </c>
      <c r="C163" s="441">
        <f>Source!C148</f>
        <v>0</v>
      </c>
      <c r="D163" s="442">
        <f>Source!D148</f>
        <v>0</v>
      </c>
      <c r="E163" s="443">
        <f>Source!J148</f>
        <v>0</v>
      </c>
      <c r="F163" s="444">
        <f>Source!B148</f>
        <v>0</v>
      </c>
      <c r="G163" s="445">
        <f>Source!K148</f>
        <v>0</v>
      </c>
      <c r="H163" s="444">
        <f>Source!L148</f>
        <v>0</v>
      </c>
      <c r="I163" s="444">
        <f>Source!M148</f>
        <v>0</v>
      </c>
      <c r="J163" s="444">
        <f>Source!N148</f>
        <v>0</v>
      </c>
      <c r="K163" s="446">
        <f>Source!O148</f>
        <v>0</v>
      </c>
      <c r="L163" s="446">
        <f>Source!P148</f>
        <v>0</v>
      </c>
      <c r="M163" s="446">
        <f>Source!Q148</f>
        <v>0</v>
      </c>
      <c r="N163" s="447">
        <f>Source!U148</f>
        <v>0</v>
      </c>
      <c r="O163" s="448">
        <f>Source!V148</f>
        <v>0</v>
      </c>
      <c r="P163" s="449"/>
      <c r="Q163" s="450">
        <f>Source!X148</f>
        <v>0</v>
      </c>
      <c r="R163" s="215">
        <f>Source!Z148</f>
        <v>0</v>
      </c>
      <c r="S163" s="223">
        <f>Source!AA148</f>
        <v>0</v>
      </c>
      <c r="T163" s="216">
        <f>IF(Devise=DeviseInterne,Source!AB148,Source!AC148)</f>
        <v>0</v>
      </c>
      <c r="U163" s="57"/>
      <c r="V163" s="78"/>
      <c r="W163" s="78"/>
      <c r="X163" s="41"/>
      <c r="Y163" s="42"/>
    </row>
    <row r="164" spans="1:25" s="43" customFormat="1" ht="30" customHeight="1" thickTop="1" thickBot="1">
      <c r="A164" s="68"/>
      <c r="B164" s="440">
        <f>Source!G149</f>
        <v>0</v>
      </c>
      <c r="C164" s="441">
        <f>Source!C149</f>
        <v>0</v>
      </c>
      <c r="D164" s="442">
        <f>Source!D149</f>
        <v>0</v>
      </c>
      <c r="E164" s="443">
        <f>Source!J149</f>
        <v>0</v>
      </c>
      <c r="F164" s="444">
        <f>Source!B149</f>
        <v>0</v>
      </c>
      <c r="G164" s="445">
        <f>Source!K149</f>
        <v>0</v>
      </c>
      <c r="H164" s="444">
        <f>Source!L149</f>
        <v>0</v>
      </c>
      <c r="I164" s="444">
        <f>Source!M149</f>
        <v>0</v>
      </c>
      <c r="J164" s="444">
        <f>Source!N149</f>
        <v>0</v>
      </c>
      <c r="K164" s="446">
        <f>Source!O149</f>
        <v>0</v>
      </c>
      <c r="L164" s="446">
        <f>Source!P149</f>
        <v>0</v>
      </c>
      <c r="M164" s="446">
        <f>Source!Q149</f>
        <v>0</v>
      </c>
      <c r="N164" s="447">
        <f>Source!U149</f>
        <v>0</v>
      </c>
      <c r="O164" s="448">
        <f>Source!V149</f>
        <v>0</v>
      </c>
      <c r="P164" s="449"/>
      <c r="Q164" s="450">
        <f>Source!X149</f>
        <v>0</v>
      </c>
      <c r="R164" s="215">
        <f>Source!Z149</f>
        <v>0</v>
      </c>
      <c r="S164" s="223">
        <f>Source!AA149</f>
        <v>0</v>
      </c>
      <c r="T164" s="216">
        <f>IF(Devise=DeviseInterne,Source!AB149,Source!AC149)</f>
        <v>0</v>
      </c>
      <c r="U164" s="57"/>
      <c r="V164" s="78"/>
      <c r="W164" s="78"/>
      <c r="X164" s="41"/>
      <c r="Y164" s="42"/>
    </row>
    <row r="165" spans="1:25" s="43" customFormat="1" ht="30" customHeight="1" thickTop="1" thickBot="1">
      <c r="A165" s="68"/>
      <c r="B165" s="440">
        <f>Source!G150</f>
        <v>0</v>
      </c>
      <c r="C165" s="441">
        <f>Source!C150</f>
        <v>0</v>
      </c>
      <c r="D165" s="442">
        <f>Source!D150</f>
        <v>0</v>
      </c>
      <c r="E165" s="443">
        <f>Source!J150</f>
        <v>0</v>
      </c>
      <c r="F165" s="444">
        <f>Source!B150</f>
        <v>0</v>
      </c>
      <c r="G165" s="445">
        <f>Source!K150</f>
        <v>0</v>
      </c>
      <c r="H165" s="444">
        <f>Source!L150</f>
        <v>0</v>
      </c>
      <c r="I165" s="444">
        <f>Source!M150</f>
        <v>0</v>
      </c>
      <c r="J165" s="444">
        <f>Source!N150</f>
        <v>0</v>
      </c>
      <c r="K165" s="446">
        <f>Source!O150</f>
        <v>0</v>
      </c>
      <c r="L165" s="446">
        <f>Source!P150</f>
        <v>0</v>
      </c>
      <c r="M165" s="446">
        <f>Source!Q150</f>
        <v>0</v>
      </c>
      <c r="N165" s="447">
        <f>Source!U150</f>
        <v>0</v>
      </c>
      <c r="O165" s="448">
        <f>Source!V150</f>
        <v>0</v>
      </c>
      <c r="P165" s="449"/>
      <c r="Q165" s="450">
        <f>Source!X150</f>
        <v>0</v>
      </c>
      <c r="R165" s="215">
        <f>Source!Z150</f>
        <v>0</v>
      </c>
      <c r="S165" s="223">
        <f>Source!AA150</f>
        <v>0</v>
      </c>
      <c r="T165" s="216">
        <f>IF(Devise=DeviseInterne,Source!AB150,Source!AC150)</f>
        <v>0</v>
      </c>
      <c r="U165" s="57"/>
      <c r="V165" s="78"/>
      <c r="W165" s="78"/>
      <c r="X165" s="41"/>
      <c r="Y165" s="42"/>
    </row>
    <row r="166" spans="1:25" s="43" customFormat="1" ht="30" customHeight="1" thickTop="1" thickBot="1">
      <c r="A166" s="68"/>
      <c r="B166" s="440">
        <f>Source!G151</f>
        <v>0</v>
      </c>
      <c r="C166" s="441">
        <f>Source!C151</f>
        <v>0</v>
      </c>
      <c r="D166" s="442">
        <f>Source!D151</f>
        <v>0</v>
      </c>
      <c r="E166" s="443">
        <f>Source!J151</f>
        <v>0</v>
      </c>
      <c r="F166" s="444">
        <f>Source!B151</f>
        <v>0</v>
      </c>
      <c r="G166" s="445">
        <f>Source!K151</f>
        <v>0</v>
      </c>
      <c r="H166" s="444">
        <f>Source!L151</f>
        <v>0</v>
      </c>
      <c r="I166" s="444">
        <f>Source!M151</f>
        <v>0</v>
      </c>
      <c r="J166" s="444">
        <f>Source!N151</f>
        <v>0</v>
      </c>
      <c r="K166" s="446">
        <f>Source!O151</f>
        <v>0</v>
      </c>
      <c r="L166" s="446">
        <f>Source!P151</f>
        <v>0</v>
      </c>
      <c r="M166" s="446">
        <f>Source!Q151</f>
        <v>0</v>
      </c>
      <c r="N166" s="447">
        <f>Source!U151</f>
        <v>0</v>
      </c>
      <c r="O166" s="448">
        <f>Source!V151</f>
        <v>0</v>
      </c>
      <c r="P166" s="449"/>
      <c r="Q166" s="450">
        <f>Source!X151</f>
        <v>0</v>
      </c>
      <c r="R166" s="215">
        <f>Source!Z151</f>
        <v>0</v>
      </c>
      <c r="S166" s="223">
        <f>Source!AA151</f>
        <v>0</v>
      </c>
      <c r="T166" s="216">
        <f>IF(Devise=DeviseInterne,Source!AB151,Source!AC151)</f>
        <v>0</v>
      </c>
      <c r="U166" s="57"/>
      <c r="V166" s="78"/>
      <c r="W166" s="78"/>
      <c r="X166" s="41"/>
      <c r="Y166" s="42"/>
    </row>
    <row r="167" spans="1:25" s="43" customFormat="1" ht="30" customHeight="1" thickTop="1" thickBot="1">
      <c r="A167" s="68"/>
      <c r="B167" s="440">
        <f>Source!G152</f>
        <v>0</v>
      </c>
      <c r="C167" s="441">
        <f>Source!C152</f>
        <v>0</v>
      </c>
      <c r="D167" s="442">
        <f>Source!D152</f>
        <v>0</v>
      </c>
      <c r="E167" s="443">
        <f>Source!J152</f>
        <v>0</v>
      </c>
      <c r="F167" s="444">
        <f>Source!B152</f>
        <v>0</v>
      </c>
      <c r="G167" s="445">
        <f>Source!K152</f>
        <v>0</v>
      </c>
      <c r="H167" s="444">
        <f>Source!L152</f>
        <v>0</v>
      </c>
      <c r="I167" s="444">
        <f>Source!M152</f>
        <v>0</v>
      </c>
      <c r="J167" s="444">
        <f>Source!N152</f>
        <v>0</v>
      </c>
      <c r="K167" s="446">
        <f>Source!O152</f>
        <v>0</v>
      </c>
      <c r="L167" s="446">
        <f>Source!P152</f>
        <v>0</v>
      </c>
      <c r="M167" s="446">
        <f>Source!Q152</f>
        <v>0</v>
      </c>
      <c r="N167" s="447">
        <f>Source!U152</f>
        <v>0</v>
      </c>
      <c r="O167" s="448">
        <f>Source!V152</f>
        <v>0</v>
      </c>
      <c r="P167" s="449"/>
      <c r="Q167" s="450">
        <f>Source!X152</f>
        <v>0</v>
      </c>
      <c r="R167" s="215">
        <f>Source!Z152</f>
        <v>0</v>
      </c>
      <c r="S167" s="223">
        <f>Source!AA152</f>
        <v>0</v>
      </c>
      <c r="T167" s="216">
        <f>IF(Devise=DeviseInterne,Source!AB152,Source!AC152)</f>
        <v>0</v>
      </c>
      <c r="U167" s="57"/>
      <c r="V167" s="78"/>
      <c r="W167" s="78"/>
      <c r="X167" s="41"/>
      <c r="Y167" s="42"/>
    </row>
    <row r="168" spans="1:25" s="43" customFormat="1" ht="30" customHeight="1" thickTop="1" thickBot="1">
      <c r="A168" s="68"/>
      <c r="B168" s="440">
        <f>Source!G153</f>
        <v>0</v>
      </c>
      <c r="C168" s="441">
        <f>Source!C153</f>
        <v>0</v>
      </c>
      <c r="D168" s="442">
        <f>Source!D153</f>
        <v>0</v>
      </c>
      <c r="E168" s="443">
        <f>Source!J153</f>
        <v>0</v>
      </c>
      <c r="F168" s="444">
        <f>Source!B153</f>
        <v>0</v>
      </c>
      <c r="G168" s="445">
        <f>Source!K153</f>
        <v>0</v>
      </c>
      <c r="H168" s="444">
        <f>Source!L153</f>
        <v>0</v>
      </c>
      <c r="I168" s="444">
        <f>Source!M153</f>
        <v>0</v>
      </c>
      <c r="J168" s="444">
        <f>Source!N153</f>
        <v>0</v>
      </c>
      <c r="K168" s="446">
        <f>Source!O153</f>
        <v>0</v>
      </c>
      <c r="L168" s="446">
        <f>Source!P153</f>
        <v>0</v>
      </c>
      <c r="M168" s="446">
        <f>Source!Q153</f>
        <v>0</v>
      </c>
      <c r="N168" s="447">
        <f>Source!U153</f>
        <v>0</v>
      </c>
      <c r="O168" s="448">
        <f>Source!V153</f>
        <v>0</v>
      </c>
      <c r="P168" s="449"/>
      <c r="Q168" s="450">
        <f>Source!X153</f>
        <v>0</v>
      </c>
      <c r="R168" s="215">
        <f>Source!Z153</f>
        <v>0</v>
      </c>
      <c r="S168" s="223">
        <f>Source!AA153</f>
        <v>0</v>
      </c>
      <c r="T168" s="216">
        <f>IF(Devise=DeviseInterne,Source!AB153,Source!AC153)</f>
        <v>0</v>
      </c>
      <c r="U168" s="57"/>
      <c r="V168" s="78"/>
      <c r="W168" s="78"/>
      <c r="X168" s="41"/>
      <c r="Y168" s="42"/>
    </row>
    <row r="169" spans="1:25" s="43" customFormat="1" ht="30" customHeight="1" thickTop="1" thickBot="1">
      <c r="A169" s="68"/>
      <c r="B169" s="440">
        <f>Source!G154</f>
        <v>0</v>
      </c>
      <c r="C169" s="441">
        <f>Source!C154</f>
        <v>0</v>
      </c>
      <c r="D169" s="442">
        <f>Source!D154</f>
        <v>0</v>
      </c>
      <c r="E169" s="443">
        <f>Source!J154</f>
        <v>0</v>
      </c>
      <c r="F169" s="444">
        <f>Source!B154</f>
        <v>0</v>
      </c>
      <c r="G169" s="445">
        <f>Source!K154</f>
        <v>0</v>
      </c>
      <c r="H169" s="444">
        <f>Source!L154</f>
        <v>0</v>
      </c>
      <c r="I169" s="444">
        <f>Source!M154</f>
        <v>0</v>
      </c>
      <c r="J169" s="444">
        <f>Source!N154</f>
        <v>0</v>
      </c>
      <c r="K169" s="446">
        <f>Source!O154</f>
        <v>0</v>
      </c>
      <c r="L169" s="446">
        <f>Source!P154</f>
        <v>0</v>
      </c>
      <c r="M169" s="446">
        <f>Source!Q154</f>
        <v>0</v>
      </c>
      <c r="N169" s="447">
        <f>Source!U154</f>
        <v>0</v>
      </c>
      <c r="O169" s="448">
        <f>Source!V154</f>
        <v>0</v>
      </c>
      <c r="P169" s="449"/>
      <c r="Q169" s="450">
        <f>Source!X154</f>
        <v>0</v>
      </c>
      <c r="R169" s="215">
        <f>Source!Z154</f>
        <v>0</v>
      </c>
      <c r="S169" s="223">
        <f>Source!AA154</f>
        <v>0</v>
      </c>
      <c r="T169" s="216">
        <f>IF(Devise=DeviseInterne,Source!AB154,Source!AC154)</f>
        <v>0</v>
      </c>
      <c r="U169" s="57"/>
      <c r="V169" s="78"/>
      <c r="W169" s="78"/>
      <c r="X169" s="41"/>
      <c r="Y169" s="42"/>
    </row>
    <row r="170" spans="1:25" s="43" customFormat="1" ht="30" customHeight="1" thickTop="1" thickBot="1">
      <c r="A170" s="68"/>
      <c r="B170" s="440">
        <f>Source!G155</f>
        <v>0</v>
      </c>
      <c r="C170" s="441">
        <f>Source!C155</f>
        <v>0</v>
      </c>
      <c r="D170" s="442">
        <f>Source!D155</f>
        <v>0</v>
      </c>
      <c r="E170" s="443">
        <f>Source!J155</f>
        <v>0</v>
      </c>
      <c r="F170" s="444">
        <f>Source!B155</f>
        <v>0</v>
      </c>
      <c r="G170" s="445">
        <f>Source!K155</f>
        <v>0</v>
      </c>
      <c r="H170" s="444">
        <f>Source!L155</f>
        <v>0</v>
      </c>
      <c r="I170" s="444">
        <f>Source!M155</f>
        <v>0</v>
      </c>
      <c r="J170" s="444">
        <f>Source!N155</f>
        <v>0</v>
      </c>
      <c r="K170" s="446">
        <f>Source!O155</f>
        <v>0</v>
      </c>
      <c r="L170" s="446">
        <f>Source!P155</f>
        <v>0</v>
      </c>
      <c r="M170" s="446">
        <f>Source!Q155</f>
        <v>0</v>
      </c>
      <c r="N170" s="447">
        <f>Source!U155</f>
        <v>0</v>
      </c>
      <c r="O170" s="448">
        <f>Source!V155</f>
        <v>0</v>
      </c>
      <c r="P170" s="449"/>
      <c r="Q170" s="450">
        <f>Source!X155</f>
        <v>0</v>
      </c>
      <c r="R170" s="215">
        <f>Source!Z155</f>
        <v>0</v>
      </c>
      <c r="S170" s="223">
        <f>Source!AA155</f>
        <v>0</v>
      </c>
      <c r="T170" s="216">
        <f>IF(Devise=DeviseInterne,Source!AB155,Source!AC155)</f>
        <v>0</v>
      </c>
      <c r="U170" s="57"/>
      <c r="V170" s="78"/>
      <c r="W170" s="78"/>
      <c r="X170" s="41"/>
      <c r="Y170" s="42"/>
    </row>
    <row r="171" spans="1:25" s="43" customFormat="1" ht="30" customHeight="1" thickTop="1" thickBot="1">
      <c r="A171" s="68"/>
      <c r="B171" s="440">
        <f>Source!G156</f>
        <v>0</v>
      </c>
      <c r="C171" s="441">
        <f>Source!C156</f>
        <v>0</v>
      </c>
      <c r="D171" s="442">
        <f>Source!D156</f>
        <v>0</v>
      </c>
      <c r="E171" s="443">
        <f>Source!J156</f>
        <v>0</v>
      </c>
      <c r="F171" s="444">
        <f>Source!B156</f>
        <v>0</v>
      </c>
      <c r="G171" s="445">
        <f>Source!K156</f>
        <v>0</v>
      </c>
      <c r="H171" s="444">
        <f>Source!L156</f>
        <v>0</v>
      </c>
      <c r="I171" s="444">
        <f>Source!M156</f>
        <v>0</v>
      </c>
      <c r="J171" s="444">
        <f>Source!N156</f>
        <v>0</v>
      </c>
      <c r="K171" s="446">
        <f>Source!O156</f>
        <v>0</v>
      </c>
      <c r="L171" s="446">
        <f>Source!P156</f>
        <v>0</v>
      </c>
      <c r="M171" s="446">
        <f>Source!Q156</f>
        <v>0</v>
      </c>
      <c r="N171" s="447">
        <f>Source!U156</f>
        <v>0</v>
      </c>
      <c r="O171" s="448">
        <f>Source!V156</f>
        <v>0</v>
      </c>
      <c r="P171" s="449"/>
      <c r="Q171" s="450">
        <f>Source!X156</f>
        <v>0</v>
      </c>
      <c r="R171" s="215">
        <f>Source!Z156</f>
        <v>0</v>
      </c>
      <c r="S171" s="223">
        <f>Source!AA156</f>
        <v>0</v>
      </c>
      <c r="T171" s="216">
        <f>IF(Devise=DeviseInterne,Source!AB156,Source!AC156)</f>
        <v>0</v>
      </c>
      <c r="U171" s="57"/>
      <c r="V171" s="78"/>
      <c r="W171" s="78"/>
      <c r="X171" s="41"/>
      <c r="Y171" s="42"/>
    </row>
    <row r="172" spans="1:25" s="43" customFormat="1" ht="30" customHeight="1" thickTop="1" thickBot="1">
      <c r="A172" s="68"/>
      <c r="B172" s="440">
        <f>Source!G157</f>
        <v>0</v>
      </c>
      <c r="C172" s="441">
        <f>Source!C157</f>
        <v>0</v>
      </c>
      <c r="D172" s="442">
        <f>Source!D157</f>
        <v>0</v>
      </c>
      <c r="E172" s="443">
        <f>Source!J157</f>
        <v>0</v>
      </c>
      <c r="F172" s="444">
        <f>Source!B157</f>
        <v>0</v>
      </c>
      <c r="G172" s="445">
        <f>Source!K157</f>
        <v>0</v>
      </c>
      <c r="H172" s="444">
        <f>Source!L157</f>
        <v>0</v>
      </c>
      <c r="I172" s="444">
        <f>Source!M157</f>
        <v>0</v>
      </c>
      <c r="J172" s="444">
        <f>Source!N157</f>
        <v>0</v>
      </c>
      <c r="K172" s="446">
        <f>Source!O157</f>
        <v>0</v>
      </c>
      <c r="L172" s="446">
        <f>Source!P157</f>
        <v>0</v>
      </c>
      <c r="M172" s="446">
        <f>Source!Q157</f>
        <v>0</v>
      </c>
      <c r="N172" s="447">
        <f>Source!U157</f>
        <v>0</v>
      </c>
      <c r="O172" s="448">
        <f>Source!V157</f>
        <v>0</v>
      </c>
      <c r="P172" s="449"/>
      <c r="Q172" s="450">
        <f>Source!X157</f>
        <v>0</v>
      </c>
      <c r="R172" s="215">
        <f>Source!Z157</f>
        <v>0</v>
      </c>
      <c r="S172" s="223">
        <f>Source!AA157</f>
        <v>0</v>
      </c>
      <c r="T172" s="216">
        <f>IF(Devise=DeviseInterne,Source!AB157,Source!AC157)</f>
        <v>0</v>
      </c>
      <c r="U172" s="57"/>
      <c r="V172" s="78"/>
      <c r="W172" s="78"/>
      <c r="X172" s="41"/>
      <c r="Y172" s="42"/>
    </row>
    <row r="173" spans="1:25" s="43" customFormat="1" ht="30" customHeight="1" thickTop="1" thickBot="1">
      <c r="A173" s="68"/>
      <c r="B173" s="440">
        <f>Source!G158</f>
        <v>0</v>
      </c>
      <c r="C173" s="441">
        <f>Source!C158</f>
        <v>0</v>
      </c>
      <c r="D173" s="442">
        <f>Source!D158</f>
        <v>0</v>
      </c>
      <c r="E173" s="443">
        <f>Source!J158</f>
        <v>0</v>
      </c>
      <c r="F173" s="444">
        <f>Source!B158</f>
        <v>0</v>
      </c>
      <c r="G173" s="445">
        <f>Source!K158</f>
        <v>0</v>
      </c>
      <c r="H173" s="444">
        <f>Source!L158</f>
        <v>0</v>
      </c>
      <c r="I173" s="444">
        <f>Source!M158</f>
        <v>0</v>
      </c>
      <c r="J173" s="444">
        <f>Source!N158</f>
        <v>0</v>
      </c>
      <c r="K173" s="446">
        <f>Source!O158</f>
        <v>0</v>
      </c>
      <c r="L173" s="446">
        <f>Source!P158</f>
        <v>0</v>
      </c>
      <c r="M173" s="446">
        <f>Source!Q158</f>
        <v>0</v>
      </c>
      <c r="N173" s="447">
        <f>Source!U158</f>
        <v>0</v>
      </c>
      <c r="O173" s="448">
        <f>Source!V158</f>
        <v>0</v>
      </c>
      <c r="P173" s="449"/>
      <c r="Q173" s="450">
        <f>Source!X158</f>
        <v>0</v>
      </c>
      <c r="R173" s="215">
        <f>Source!Z158</f>
        <v>0</v>
      </c>
      <c r="S173" s="223">
        <f>Source!AA158</f>
        <v>0</v>
      </c>
      <c r="T173" s="216">
        <f>IF(Devise=DeviseInterne,Source!AB158,Source!AC158)</f>
        <v>0</v>
      </c>
      <c r="U173" s="57"/>
      <c r="V173" s="78"/>
      <c r="W173" s="78"/>
      <c r="X173" s="41"/>
      <c r="Y173" s="42"/>
    </row>
    <row r="174" spans="1:25" s="43" customFormat="1" ht="30" customHeight="1" thickTop="1" thickBot="1">
      <c r="A174" s="68"/>
      <c r="B174" s="440">
        <f>Source!G159</f>
        <v>0</v>
      </c>
      <c r="C174" s="441">
        <f>Source!C159</f>
        <v>0</v>
      </c>
      <c r="D174" s="442">
        <f>Source!D159</f>
        <v>0</v>
      </c>
      <c r="E174" s="443">
        <f>Source!J159</f>
        <v>0</v>
      </c>
      <c r="F174" s="444">
        <f>Source!B159</f>
        <v>0</v>
      </c>
      <c r="G174" s="445">
        <f>Source!K159</f>
        <v>0</v>
      </c>
      <c r="H174" s="444">
        <f>Source!L159</f>
        <v>0</v>
      </c>
      <c r="I174" s="444">
        <f>Source!M159</f>
        <v>0</v>
      </c>
      <c r="J174" s="444">
        <f>Source!N159</f>
        <v>0</v>
      </c>
      <c r="K174" s="446">
        <f>Source!O159</f>
        <v>0</v>
      </c>
      <c r="L174" s="446">
        <f>Source!P159</f>
        <v>0</v>
      </c>
      <c r="M174" s="446">
        <f>Source!Q159</f>
        <v>0</v>
      </c>
      <c r="N174" s="447">
        <f>Source!U159</f>
        <v>0</v>
      </c>
      <c r="O174" s="448">
        <f>Source!V159</f>
        <v>0</v>
      </c>
      <c r="P174" s="449"/>
      <c r="Q174" s="450">
        <f>Source!X159</f>
        <v>0</v>
      </c>
      <c r="R174" s="215">
        <f>Source!Z159</f>
        <v>0</v>
      </c>
      <c r="S174" s="223">
        <f>Source!AA159</f>
        <v>0</v>
      </c>
      <c r="T174" s="216">
        <f>IF(Devise=DeviseInterne,Source!AB159,Source!AC159)</f>
        <v>0</v>
      </c>
      <c r="U174" s="57"/>
      <c r="V174" s="78"/>
      <c r="W174" s="78"/>
      <c r="X174" s="41"/>
      <c r="Y174" s="42"/>
    </row>
    <row r="175" spans="1:25" s="43" customFormat="1" ht="30" customHeight="1" thickTop="1" thickBot="1">
      <c r="A175" s="68"/>
      <c r="B175" s="440">
        <f>Source!G160</f>
        <v>0</v>
      </c>
      <c r="C175" s="441">
        <f>Source!C160</f>
        <v>0</v>
      </c>
      <c r="D175" s="442">
        <f>Source!D160</f>
        <v>0</v>
      </c>
      <c r="E175" s="443">
        <f>Source!J160</f>
        <v>0</v>
      </c>
      <c r="F175" s="444">
        <f>Source!B160</f>
        <v>0</v>
      </c>
      <c r="G175" s="445">
        <f>Source!K160</f>
        <v>0</v>
      </c>
      <c r="H175" s="444">
        <f>Source!L160</f>
        <v>0</v>
      </c>
      <c r="I175" s="444">
        <f>Source!M160</f>
        <v>0</v>
      </c>
      <c r="J175" s="444">
        <f>Source!N160</f>
        <v>0</v>
      </c>
      <c r="K175" s="446">
        <f>Source!O160</f>
        <v>0</v>
      </c>
      <c r="L175" s="446">
        <f>Source!P160</f>
        <v>0</v>
      </c>
      <c r="M175" s="446">
        <f>Source!Q160</f>
        <v>0</v>
      </c>
      <c r="N175" s="447">
        <f>Source!U160</f>
        <v>0</v>
      </c>
      <c r="O175" s="448">
        <f>Source!V160</f>
        <v>0</v>
      </c>
      <c r="P175" s="449"/>
      <c r="Q175" s="450">
        <f>Source!X160</f>
        <v>0</v>
      </c>
      <c r="R175" s="215">
        <f>Source!Z160</f>
        <v>0</v>
      </c>
      <c r="S175" s="223">
        <f>Source!AA160</f>
        <v>0</v>
      </c>
      <c r="T175" s="216">
        <f>IF(Devise=DeviseInterne,Source!AB160,Source!AC160)</f>
        <v>0</v>
      </c>
      <c r="U175" s="57"/>
      <c r="V175" s="78"/>
      <c r="W175" s="78"/>
      <c r="X175" s="41"/>
      <c r="Y175" s="42"/>
    </row>
    <row r="176" spans="1:25" s="43" customFormat="1" ht="30" customHeight="1" thickTop="1" thickBot="1">
      <c r="A176" s="68"/>
      <c r="B176" s="440">
        <f>Source!G161</f>
        <v>0</v>
      </c>
      <c r="C176" s="441">
        <f>Source!C161</f>
        <v>0</v>
      </c>
      <c r="D176" s="442">
        <f>Source!D161</f>
        <v>0</v>
      </c>
      <c r="E176" s="443">
        <f>Source!J161</f>
        <v>0</v>
      </c>
      <c r="F176" s="444">
        <f>Source!B161</f>
        <v>0</v>
      </c>
      <c r="G176" s="445">
        <f>Source!K161</f>
        <v>0</v>
      </c>
      <c r="H176" s="444">
        <f>Source!L161</f>
        <v>0</v>
      </c>
      <c r="I176" s="444">
        <f>Source!M161</f>
        <v>0</v>
      </c>
      <c r="J176" s="444">
        <f>Source!N161</f>
        <v>0</v>
      </c>
      <c r="K176" s="446">
        <f>Source!O161</f>
        <v>0</v>
      </c>
      <c r="L176" s="446">
        <f>Source!P161</f>
        <v>0</v>
      </c>
      <c r="M176" s="446">
        <f>Source!Q161</f>
        <v>0</v>
      </c>
      <c r="N176" s="447">
        <f>Source!U161</f>
        <v>0</v>
      </c>
      <c r="O176" s="448">
        <f>Source!V161</f>
        <v>0</v>
      </c>
      <c r="P176" s="449"/>
      <c r="Q176" s="450">
        <f>Source!X161</f>
        <v>0</v>
      </c>
      <c r="R176" s="215">
        <f>Source!Z161</f>
        <v>0</v>
      </c>
      <c r="S176" s="223">
        <f>Source!AA161</f>
        <v>0</v>
      </c>
      <c r="T176" s="216">
        <f>IF(Devise=DeviseInterne,Source!AB161,Source!AC161)</f>
        <v>0</v>
      </c>
      <c r="U176" s="57"/>
      <c r="V176" s="78"/>
      <c r="W176" s="78"/>
      <c r="X176" s="41"/>
      <c r="Y176" s="42"/>
    </row>
    <row r="177" spans="1:25" s="43" customFormat="1" ht="30" customHeight="1" thickTop="1" thickBot="1">
      <c r="A177" s="68"/>
      <c r="B177" s="440">
        <f>Source!G162</f>
        <v>0</v>
      </c>
      <c r="C177" s="441">
        <f>Source!C162</f>
        <v>0</v>
      </c>
      <c r="D177" s="442">
        <f>Source!D162</f>
        <v>0</v>
      </c>
      <c r="E177" s="443">
        <f>Source!J162</f>
        <v>0</v>
      </c>
      <c r="F177" s="444">
        <f>Source!B162</f>
        <v>0</v>
      </c>
      <c r="G177" s="445">
        <f>Source!K162</f>
        <v>0</v>
      </c>
      <c r="H177" s="444">
        <f>Source!L162</f>
        <v>0</v>
      </c>
      <c r="I177" s="444">
        <f>Source!M162</f>
        <v>0</v>
      </c>
      <c r="J177" s="444">
        <f>Source!N162</f>
        <v>0</v>
      </c>
      <c r="K177" s="446">
        <f>Source!O162</f>
        <v>0</v>
      </c>
      <c r="L177" s="446">
        <f>Source!P162</f>
        <v>0</v>
      </c>
      <c r="M177" s="446">
        <f>Source!Q162</f>
        <v>0</v>
      </c>
      <c r="N177" s="447">
        <f>Source!U162</f>
        <v>0</v>
      </c>
      <c r="O177" s="448">
        <f>Source!V162</f>
        <v>0</v>
      </c>
      <c r="P177" s="449"/>
      <c r="Q177" s="450">
        <f>Source!X162</f>
        <v>0</v>
      </c>
      <c r="R177" s="215">
        <f>Source!Z162</f>
        <v>0</v>
      </c>
      <c r="S177" s="223">
        <f>Source!AA162</f>
        <v>0</v>
      </c>
      <c r="T177" s="216">
        <f>IF(Devise=DeviseInterne,Source!AB162,Source!AC162)</f>
        <v>0</v>
      </c>
      <c r="U177" s="57"/>
      <c r="V177" s="78"/>
      <c r="W177" s="78"/>
      <c r="X177" s="41"/>
      <c r="Y177" s="42"/>
    </row>
    <row r="178" spans="1:25" s="43" customFormat="1" ht="30" customHeight="1" thickTop="1" thickBot="1">
      <c r="A178" s="68"/>
      <c r="B178" s="440">
        <f>Source!G163</f>
        <v>0</v>
      </c>
      <c r="C178" s="441">
        <f>Source!C163</f>
        <v>0</v>
      </c>
      <c r="D178" s="442">
        <f>Source!D163</f>
        <v>0</v>
      </c>
      <c r="E178" s="443">
        <f>Source!J163</f>
        <v>0</v>
      </c>
      <c r="F178" s="444">
        <f>Source!B163</f>
        <v>0</v>
      </c>
      <c r="G178" s="445">
        <f>Source!K163</f>
        <v>0</v>
      </c>
      <c r="H178" s="444">
        <f>Source!L163</f>
        <v>0</v>
      </c>
      <c r="I178" s="444">
        <f>Source!M163</f>
        <v>0</v>
      </c>
      <c r="J178" s="444">
        <f>Source!N163</f>
        <v>0</v>
      </c>
      <c r="K178" s="446">
        <f>Source!O163</f>
        <v>0</v>
      </c>
      <c r="L178" s="446">
        <f>Source!P163</f>
        <v>0</v>
      </c>
      <c r="M178" s="446">
        <f>Source!Q163</f>
        <v>0</v>
      </c>
      <c r="N178" s="447">
        <f>Source!U163</f>
        <v>0</v>
      </c>
      <c r="O178" s="448">
        <f>Source!V163</f>
        <v>0</v>
      </c>
      <c r="P178" s="449"/>
      <c r="Q178" s="450">
        <f>Source!X163</f>
        <v>0</v>
      </c>
      <c r="R178" s="215">
        <f>Source!Z163</f>
        <v>0</v>
      </c>
      <c r="S178" s="223">
        <f>Source!AA163</f>
        <v>0</v>
      </c>
      <c r="T178" s="216">
        <f>IF(Devise=DeviseInterne,Source!AB163,Source!AC163)</f>
        <v>0</v>
      </c>
      <c r="U178" s="57"/>
      <c r="V178" s="78"/>
      <c r="W178" s="78"/>
      <c r="X178" s="41"/>
      <c r="Y178" s="42"/>
    </row>
    <row r="179" spans="1:25" s="43" customFormat="1" ht="30" customHeight="1" thickTop="1" thickBot="1">
      <c r="A179" s="68"/>
      <c r="B179" s="440">
        <f>Source!G164</f>
        <v>0</v>
      </c>
      <c r="C179" s="441">
        <f>Source!C164</f>
        <v>0</v>
      </c>
      <c r="D179" s="442">
        <f>Source!D164</f>
        <v>0</v>
      </c>
      <c r="E179" s="443">
        <f>Source!J164</f>
        <v>0</v>
      </c>
      <c r="F179" s="444">
        <f>Source!B164</f>
        <v>0</v>
      </c>
      <c r="G179" s="445">
        <f>Source!K164</f>
        <v>0</v>
      </c>
      <c r="H179" s="444">
        <f>Source!L164</f>
        <v>0</v>
      </c>
      <c r="I179" s="444">
        <f>Source!M164</f>
        <v>0</v>
      </c>
      <c r="J179" s="444">
        <f>Source!N164</f>
        <v>0</v>
      </c>
      <c r="K179" s="446">
        <f>Source!O164</f>
        <v>0</v>
      </c>
      <c r="L179" s="446">
        <f>Source!P164</f>
        <v>0</v>
      </c>
      <c r="M179" s="446">
        <f>Source!Q164</f>
        <v>0</v>
      </c>
      <c r="N179" s="447">
        <f>Source!U164</f>
        <v>0</v>
      </c>
      <c r="O179" s="448">
        <f>Source!V164</f>
        <v>0</v>
      </c>
      <c r="P179" s="449"/>
      <c r="Q179" s="450">
        <f>Source!X164</f>
        <v>0</v>
      </c>
      <c r="R179" s="215">
        <f>Source!Z164</f>
        <v>0</v>
      </c>
      <c r="S179" s="223">
        <f>Source!AA164</f>
        <v>0</v>
      </c>
      <c r="T179" s="216">
        <f>IF(Devise=DeviseInterne,Source!AB164,Source!AC164)</f>
        <v>0</v>
      </c>
      <c r="U179" s="57"/>
      <c r="V179" s="78"/>
      <c r="W179" s="78"/>
      <c r="X179" s="41"/>
      <c r="Y179" s="42"/>
    </row>
    <row r="180" spans="1:25" s="43" customFormat="1" ht="30" customHeight="1" thickTop="1" thickBot="1">
      <c r="A180" s="68"/>
      <c r="B180" s="440">
        <f>Source!G165</f>
        <v>0</v>
      </c>
      <c r="C180" s="441">
        <f>Source!C165</f>
        <v>0</v>
      </c>
      <c r="D180" s="442">
        <f>Source!D165</f>
        <v>0</v>
      </c>
      <c r="E180" s="443">
        <f>Source!J165</f>
        <v>0</v>
      </c>
      <c r="F180" s="444">
        <f>Source!B165</f>
        <v>0</v>
      </c>
      <c r="G180" s="445">
        <f>Source!K165</f>
        <v>0</v>
      </c>
      <c r="H180" s="444">
        <f>Source!L165</f>
        <v>0</v>
      </c>
      <c r="I180" s="444">
        <f>Source!M165</f>
        <v>0</v>
      </c>
      <c r="J180" s="444">
        <f>Source!N165</f>
        <v>0</v>
      </c>
      <c r="K180" s="446">
        <f>Source!O165</f>
        <v>0</v>
      </c>
      <c r="L180" s="446">
        <f>Source!P165</f>
        <v>0</v>
      </c>
      <c r="M180" s="446">
        <f>Source!Q165</f>
        <v>0</v>
      </c>
      <c r="N180" s="447">
        <f>Source!U165</f>
        <v>0</v>
      </c>
      <c r="O180" s="448">
        <f>Source!V165</f>
        <v>0</v>
      </c>
      <c r="P180" s="449"/>
      <c r="Q180" s="450">
        <f>Source!X165</f>
        <v>0</v>
      </c>
      <c r="R180" s="215">
        <f>Source!Z165</f>
        <v>0</v>
      </c>
      <c r="S180" s="223">
        <f>Source!AA165</f>
        <v>0</v>
      </c>
      <c r="T180" s="216">
        <f>IF(Devise=DeviseInterne,Source!AB165,Source!AC165)</f>
        <v>0</v>
      </c>
      <c r="U180" s="57"/>
      <c r="V180" s="78"/>
      <c r="W180" s="78"/>
      <c r="X180" s="41"/>
      <c r="Y180" s="42"/>
    </row>
    <row r="181" spans="1:25" s="43" customFormat="1" ht="30" customHeight="1" thickTop="1" thickBot="1">
      <c r="A181" s="68"/>
      <c r="B181" s="440">
        <f>Source!G166</f>
        <v>0</v>
      </c>
      <c r="C181" s="441">
        <f>Source!C166</f>
        <v>0</v>
      </c>
      <c r="D181" s="442">
        <f>Source!D166</f>
        <v>0</v>
      </c>
      <c r="E181" s="443">
        <f>Source!J166</f>
        <v>0</v>
      </c>
      <c r="F181" s="444">
        <f>Source!B166</f>
        <v>0</v>
      </c>
      <c r="G181" s="445">
        <f>Source!K166</f>
        <v>0</v>
      </c>
      <c r="H181" s="444">
        <f>Source!L166</f>
        <v>0</v>
      </c>
      <c r="I181" s="444">
        <f>Source!M166</f>
        <v>0</v>
      </c>
      <c r="J181" s="444">
        <f>Source!N166</f>
        <v>0</v>
      </c>
      <c r="K181" s="446">
        <f>Source!O166</f>
        <v>0</v>
      </c>
      <c r="L181" s="446">
        <f>Source!P166</f>
        <v>0</v>
      </c>
      <c r="M181" s="446">
        <f>Source!Q166</f>
        <v>0</v>
      </c>
      <c r="N181" s="447">
        <f>Source!U166</f>
        <v>0</v>
      </c>
      <c r="O181" s="448">
        <f>Source!V166</f>
        <v>0</v>
      </c>
      <c r="P181" s="449"/>
      <c r="Q181" s="450">
        <f>Source!X166</f>
        <v>0</v>
      </c>
      <c r="R181" s="215">
        <f>Source!Z166</f>
        <v>0</v>
      </c>
      <c r="S181" s="223">
        <f>Source!AA166</f>
        <v>0</v>
      </c>
      <c r="T181" s="216">
        <f>IF(Devise=DeviseInterne,Source!AB166,Source!AC166)</f>
        <v>0</v>
      </c>
      <c r="U181" s="57"/>
      <c r="V181" s="78"/>
      <c r="W181" s="78"/>
      <c r="X181" s="41"/>
      <c r="Y181" s="42"/>
    </row>
    <row r="182" spans="1:25" s="43" customFormat="1" ht="30" customHeight="1" thickTop="1" thickBot="1">
      <c r="A182" s="68"/>
      <c r="B182" s="440">
        <f>Source!G167</f>
        <v>0</v>
      </c>
      <c r="C182" s="441">
        <f>Source!C167</f>
        <v>0</v>
      </c>
      <c r="D182" s="442">
        <f>Source!D167</f>
        <v>0</v>
      </c>
      <c r="E182" s="443">
        <f>Source!J167</f>
        <v>0</v>
      </c>
      <c r="F182" s="444">
        <f>Source!B167</f>
        <v>0</v>
      </c>
      <c r="G182" s="445">
        <f>Source!K167</f>
        <v>0</v>
      </c>
      <c r="H182" s="444">
        <f>Source!L167</f>
        <v>0</v>
      </c>
      <c r="I182" s="444">
        <f>Source!M167</f>
        <v>0</v>
      </c>
      <c r="J182" s="444">
        <f>Source!N167</f>
        <v>0</v>
      </c>
      <c r="K182" s="446">
        <f>Source!O167</f>
        <v>0</v>
      </c>
      <c r="L182" s="446">
        <f>Source!P167</f>
        <v>0</v>
      </c>
      <c r="M182" s="446">
        <f>Source!Q167</f>
        <v>0</v>
      </c>
      <c r="N182" s="447">
        <f>Source!U167</f>
        <v>0</v>
      </c>
      <c r="O182" s="448">
        <f>Source!V167</f>
        <v>0</v>
      </c>
      <c r="P182" s="449"/>
      <c r="Q182" s="450">
        <f>Source!X167</f>
        <v>0</v>
      </c>
      <c r="R182" s="215">
        <f>Source!Z167</f>
        <v>0</v>
      </c>
      <c r="S182" s="223">
        <f>Source!AA167</f>
        <v>0</v>
      </c>
      <c r="T182" s="216">
        <f>IF(Devise=DeviseInterne,Source!AB167,Source!AC167)</f>
        <v>0</v>
      </c>
      <c r="U182" s="57"/>
      <c r="V182" s="78"/>
      <c r="W182" s="78"/>
      <c r="X182" s="41"/>
      <c r="Y182" s="42"/>
    </row>
    <row r="183" spans="1:25" s="43" customFormat="1" ht="30" customHeight="1" thickTop="1" thickBot="1">
      <c r="A183" s="68"/>
      <c r="B183" s="440">
        <f>Source!G168</f>
        <v>0</v>
      </c>
      <c r="C183" s="441">
        <f>Source!C168</f>
        <v>0</v>
      </c>
      <c r="D183" s="442">
        <f>Source!D168</f>
        <v>0</v>
      </c>
      <c r="E183" s="443">
        <f>Source!J168</f>
        <v>0</v>
      </c>
      <c r="F183" s="444">
        <f>Source!B168</f>
        <v>0</v>
      </c>
      <c r="G183" s="445">
        <f>Source!K168</f>
        <v>0</v>
      </c>
      <c r="H183" s="444">
        <f>Source!L168</f>
        <v>0</v>
      </c>
      <c r="I183" s="444">
        <f>Source!M168</f>
        <v>0</v>
      </c>
      <c r="J183" s="444">
        <f>Source!N168</f>
        <v>0</v>
      </c>
      <c r="K183" s="446">
        <f>Source!O168</f>
        <v>0</v>
      </c>
      <c r="L183" s="446">
        <f>Source!P168</f>
        <v>0</v>
      </c>
      <c r="M183" s="446">
        <f>Source!Q168</f>
        <v>0</v>
      </c>
      <c r="N183" s="447">
        <f>Source!U168</f>
        <v>0</v>
      </c>
      <c r="O183" s="448">
        <f>Source!V168</f>
        <v>0</v>
      </c>
      <c r="P183" s="449"/>
      <c r="Q183" s="450">
        <f>Source!X168</f>
        <v>0</v>
      </c>
      <c r="R183" s="215">
        <f>Source!Z168</f>
        <v>0</v>
      </c>
      <c r="S183" s="223">
        <f>Source!AA168</f>
        <v>0</v>
      </c>
      <c r="T183" s="216">
        <f>IF(Devise=DeviseInterne,Source!AB168,Source!AC168)</f>
        <v>0</v>
      </c>
      <c r="U183" s="57"/>
      <c r="V183" s="78"/>
      <c r="W183" s="78"/>
      <c r="X183" s="41"/>
      <c r="Y183" s="42"/>
    </row>
    <row r="184" spans="1:25" s="43" customFormat="1" ht="30" customHeight="1" thickTop="1" thickBot="1">
      <c r="A184" s="68"/>
      <c r="B184" s="440">
        <f>Source!G169</f>
        <v>0</v>
      </c>
      <c r="C184" s="441">
        <f>Source!C169</f>
        <v>0</v>
      </c>
      <c r="D184" s="442">
        <f>Source!D169</f>
        <v>0</v>
      </c>
      <c r="E184" s="443">
        <f>Source!J169</f>
        <v>0</v>
      </c>
      <c r="F184" s="444">
        <f>Source!B169</f>
        <v>0</v>
      </c>
      <c r="G184" s="445">
        <f>Source!K169</f>
        <v>0</v>
      </c>
      <c r="H184" s="444">
        <f>Source!L169</f>
        <v>0</v>
      </c>
      <c r="I184" s="444">
        <f>Source!M169</f>
        <v>0</v>
      </c>
      <c r="J184" s="444">
        <f>Source!N169</f>
        <v>0</v>
      </c>
      <c r="K184" s="446">
        <f>Source!O169</f>
        <v>0</v>
      </c>
      <c r="L184" s="446">
        <f>Source!P169</f>
        <v>0</v>
      </c>
      <c r="M184" s="446">
        <f>Source!Q169</f>
        <v>0</v>
      </c>
      <c r="N184" s="447">
        <f>Source!U169</f>
        <v>0</v>
      </c>
      <c r="O184" s="448">
        <f>Source!V169</f>
        <v>0</v>
      </c>
      <c r="P184" s="449"/>
      <c r="Q184" s="450">
        <f>Source!X169</f>
        <v>0</v>
      </c>
      <c r="R184" s="215">
        <f>Source!Z169</f>
        <v>0</v>
      </c>
      <c r="S184" s="223">
        <f>Source!AA169</f>
        <v>0</v>
      </c>
      <c r="T184" s="216">
        <f>IF(Devise=DeviseInterne,Source!AB169,Source!AC169)</f>
        <v>0</v>
      </c>
      <c r="U184" s="57"/>
      <c r="V184" s="78"/>
      <c r="W184" s="78"/>
      <c r="X184" s="41"/>
      <c r="Y184" s="42"/>
    </row>
    <row r="185" spans="1:25" s="43" customFormat="1" ht="30" customHeight="1" thickTop="1" thickBot="1">
      <c r="A185" s="68"/>
      <c r="B185" s="440">
        <f>Source!G170</f>
        <v>0</v>
      </c>
      <c r="C185" s="441">
        <f>Source!C170</f>
        <v>0</v>
      </c>
      <c r="D185" s="442">
        <f>Source!D170</f>
        <v>0</v>
      </c>
      <c r="E185" s="443">
        <f>Source!J170</f>
        <v>0</v>
      </c>
      <c r="F185" s="444">
        <f>Source!B170</f>
        <v>0</v>
      </c>
      <c r="G185" s="445">
        <f>Source!K170</f>
        <v>0</v>
      </c>
      <c r="H185" s="444">
        <f>Source!L170</f>
        <v>0</v>
      </c>
      <c r="I185" s="444">
        <f>Source!M170</f>
        <v>0</v>
      </c>
      <c r="J185" s="444">
        <f>Source!N170</f>
        <v>0</v>
      </c>
      <c r="K185" s="446">
        <f>Source!O170</f>
        <v>0</v>
      </c>
      <c r="L185" s="446">
        <f>Source!P170</f>
        <v>0</v>
      </c>
      <c r="M185" s="446">
        <f>Source!Q170</f>
        <v>0</v>
      </c>
      <c r="N185" s="447">
        <f>Source!U170</f>
        <v>0</v>
      </c>
      <c r="O185" s="448">
        <f>Source!V170</f>
        <v>0</v>
      </c>
      <c r="P185" s="449"/>
      <c r="Q185" s="450">
        <f>Source!X170</f>
        <v>0</v>
      </c>
      <c r="R185" s="215">
        <f>Source!Z170</f>
        <v>0</v>
      </c>
      <c r="S185" s="223">
        <f>Source!AA170</f>
        <v>0</v>
      </c>
      <c r="T185" s="216">
        <f>IF(Devise=DeviseInterne,Source!AB170,Source!AC170)</f>
        <v>0</v>
      </c>
      <c r="U185" s="57"/>
      <c r="V185" s="78"/>
      <c r="W185" s="78"/>
      <c r="X185" s="41"/>
      <c r="Y185" s="42"/>
    </row>
    <row r="186" spans="1:25" s="43" customFormat="1" ht="30" customHeight="1" thickTop="1" thickBot="1">
      <c r="A186" s="68"/>
      <c r="B186" s="440">
        <f>Source!G171</f>
        <v>0</v>
      </c>
      <c r="C186" s="441">
        <f>Source!C171</f>
        <v>0</v>
      </c>
      <c r="D186" s="442">
        <f>Source!D171</f>
        <v>0</v>
      </c>
      <c r="E186" s="443">
        <f>Source!J171</f>
        <v>0</v>
      </c>
      <c r="F186" s="444">
        <f>Source!B171</f>
        <v>0</v>
      </c>
      <c r="G186" s="445">
        <f>Source!K171</f>
        <v>0</v>
      </c>
      <c r="H186" s="444">
        <f>Source!L171</f>
        <v>0</v>
      </c>
      <c r="I186" s="444">
        <f>Source!M171</f>
        <v>0</v>
      </c>
      <c r="J186" s="444">
        <f>Source!N171</f>
        <v>0</v>
      </c>
      <c r="K186" s="446">
        <f>Source!O171</f>
        <v>0</v>
      </c>
      <c r="L186" s="446">
        <f>Source!P171</f>
        <v>0</v>
      </c>
      <c r="M186" s="446">
        <f>Source!Q171</f>
        <v>0</v>
      </c>
      <c r="N186" s="447">
        <f>Source!U171</f>
        <v>0</v>
      </c>
      <c r="O186" s="448">
        <f>Source!V171</f>
        <v>0</v>
      </c>
      <c r="P186" s="449"/>
      <c r="Q186" s="450">
        <f>Source!X171</f>
        <v>0</v>
      </c>
      <c r="R186" s="215">
        <f>Source!Z171</f>
        <v>0</v>
      </c>
      <c r="S186" s="223">
        <f>Source!AA171</f>
        <v>0</v>
      </c>
      <c r="T186" s="216">
        <f>IF(Devise=DeviseInterne,Source!AB171,Source!AC171)</f>
        <v>0</v>
      </c>
      <c r="U186" s="57"/>
      <c r="V186" s="78"/>
      <c r="W186" s="78"/>
      <c r="X186" s="41"/>
      <c r="Y186" s="42"/>
    </row>
    <row r="187" spans="1:25" s="43" customFormat="1" ht="30" customHeight="1" thickTop="1" thickBot="1">
      <c r="A187" s="68"/>
      <c r="B187" s="440">
        <f>Source!G172</f>
        <v>0</v>
      </c>
      <c r="C187" s="441">
        <f>Source!C172</f>
        <v>0</v>
      </c>
      <c r="D187" s="442">
        <f>Source!D172</f>
        <v>0</v>
      </c>
      <c r="E187" s="443">
        <f>Source!J172</f>
        <v>0</v>
      </c>
      <c r="F187" s="444">
        <f>Source!B172</f>
        <v>0</v>
      </c>
      <c r="G187" s="445">
        <f>Source!K172</f>
        <v>0</v>
      </c>
      <c r="H187" s="444">
        <f>Source!L172</f>
        <v>0</v>
      </c>
      <c r="I187" s="444">
        <f>Source!M172</f>
        <v>0</v>
      </c>
      <c r="J187" s="444">
        <f>Source!N172</f>
        <v>0</v>
      </c>
      <c r="K187" s="446">
        <f>Source!O172</f>
        <v>0</v>
      </c>
      <c r="L187" s="446">
        <f>Source!P172</f>
        <v>0</v>
      </c>
      <c r="M187" s="446">
        <f>Source!Q172</f>
        <v>0</v>
      </c>
      <c r="N187" s="447">
        <f>Source!U172</f>
        <v>0</v>
      </c>
      <c r="O187" s="448">
        <f>Source!V172</f>
        <v>0</v>
      </c>
      <c r="P187" s="449"/>
      <c r="Q187" s="450">
        <f>Source!X172</f>
        <v>0</v>
      </c>
      <c r="R187" s="215">
        <f>Source!Z172</f>
        <v>0</v>
      </c>
      <c r="S187" s="223">
        <f>Source!AA172</f>
        <v>0</v>
      </c>
      <c r="T187" s="216">
        <f>IF(Devise=DeviseInterne,Source!AB172,Source!AC172)</f>
        <v>0</v>
      </c>
      <c r="U187" s="57"/>
      <c r="V187" s="78"/>
      <c r="W187" s="78"/>
      <c r="X187" s="41"/>
      <c r="Y187" s="42"/>
    </row>
    <row r="188" spans="1:25" s="43" customFormat="1" ht="30" customHeight="1" thickTop="1" thickBot="1">
      <c r="A188" s="68"/>
      <c r="B188" s="440">
        <f>Source!G173</f>
        <v>0</v>
      </c>
      <c r="C188" s="441">
        <f>Source!C173</f>
        <v>0</v>
      </c>
      <c r="D188" s="442">
        <f>Source!D173</f>
        <v>0</v>
      </c>
      <c r="E188" s="443">
        <f>Source!J173</f>
        <v>0</v>
      </c>
      <c r="F188" s="444">
        <f>Source!B173</f>
        <v>0</v>
      </c>
      <c r="G188" s="445">
        <f>Source!K173</f>
        <v>0</v>
      </c>
      <c r="H188" s="444">
        <f>Source!L173</f>
        <v>0</v>
      </c>
      <c r="I188" s="444">
        <f>Source!M173</f>
        <v>0</v>
      </c>
      <c r="J188" s="444">
        <f>Source!N173</f>
        <v>0</v>
      </c>
      <c r="K188" s="446">
        <f>Source!O173</f>
        <v>0</v>
      </c>
      <c r="L188" s="446">
        <f>Source!P173</f>
        <v>0</v>
      </c>
      <c r="M188" s="446">
        <f>Source!Q173</f>
        <v>0</v>
      </c>
      <c r="N188" s="447">
        <f>Source!U173</f>
        <v>0</v>
      </c>
      <c r="O188" s="448">
        <f>Source!V173</f>
        <v>0</v>
      </c>
      <c r="P188" s="449"/>
      <c r="Q188" s="450">
        <f>Source!X173</f>
        <v>0</v>
      </c>
      <c r="R188" s="215">
        <f>Source!Z173</f>
        <v>0</v>
      </c>
      <c r="S188" s="223">
        <f>Source!AA173</f>
        <v>0</v>
      </c>
      <c r="T188" s="216">
        <f>IF(Devise=DeviseInterne,Source!AB173,Source!AC173)</f>
        <v>0</v>
      </c>
      <c r="U188" s="57"/>
      <c r="V188" s="78"/>
      <c r="W188" s="78"/>
      <c r="X188" s="41"/>
      <c r="Y188" s="42"/>
    </row>
    <row r="189" spans="1:25" s="43" customFormat="1" ht="30" customHeight="1" thickTop="1" thickBot="1">
      <c r="A189" s="68"/>
      <c r="B189" s="440">
        <f>Source!G174</f>
        <v>0</v>
      </c>
      <c r="C189" s="441">
        <f>Source!C174</f>
        <v>0</v>
      </c>
      <c r="D189" s="442">
        <f>Source!D174</f>
        <v>0</v>
      </c>
      <c r="E189" s="443">
        <f>Source!J174</f>
        <v>0</v>
      </c>
      <c r="F189" s="444">
        <f>Source!B174</f>
        <v>0</v>
      </c>
      <c r="G189" s="445">
        <f>Source!K174</f>
        <v>0</v>
      </c>
      <c r="H189" s="444">
        <f>Source!L174</f>
        <v>0</v>
      </c>
      <c r="I189" s="444">
        <f>Source!M174</f>
        <v>0</v>
      </c>
      <c r="J189" s="444">
        <f>Source!N174</f>
        <v>0</v>
      </c>
      <c r="K189" s="446">
        <f>Source!O174</f>
        <v>0</v>
      </c>
      <c r="L189" s="446">
        <f>Source!P174</f>
        <v>0</v>
      </c>
      <c r="M189" s="446">
        <f>Source!Q174</f>
        <v>0</v>
      </c>
      <c r="N189" s="447">
        <f>Source!U174</f>
        <v>0</v>
      </c>
      <c r="O189" s="448">
        <f>Source!V174</f>
        <v>0</v>
      </c>
      <c r="P189" s="449"/>
      <c r="Q189" s="450">
        <f>Source!X174</f>
        <v>0</v>
      </c>
      <c r="R189" s="215">
        <f>Source!Z174</f>
        <v>0</v>
      </c>
      <c r="S189" s="223">
        <f>Source!AA174</f>
        <v>0</v>
      </c>
      <c r="T189" s="216">
        <f>IF(Devise=DeviseInterne,Source!AB174,Source!AC174)</f>
        <v>0</v>
      </c>
      <c r="U189" s="57"/>
      <c r="V189" s="78"/>
      <c r="W189" s="78"/>
      <c r="X189" s="41"/>
      <c r="Y189" s="42"/>
    </row>
    <row r="190" spans="1:25" s="43" customFormat="1" ht="30" customHeight="1" thickTop="1" thickBot="1">
      <c r="A190" s="68"/>
      <c r="B190" s="440">
        <f>Source!G175</f>
        <v>0</v>
      </c>
      <c r="C190" s="441">
        <f>Source!C175</f>
        <v>0</v>
      </c>
      <c r="D190" s="442">
        <f>Source!D175</f>
        <v>0</v>
      </c>
      <c r="E190" s="443">
        <f>Source!J175</f>
        <v>0</v>
      </c>
      <c r="F190" s="444">
        <f>Source!B175</f>
        <v>0</v>
      </c>
      <c r="G190" s="445">
        <f>Source!K175</f>
        <v>0</v>
      </c>
      <c r="H190" s="444">
        <f>Source!L175</f>
        <v>0</v>
      </c>
      <c r="I190" s="444">
        <f>Source!M175</f>
        <v>0</v>
      </c>
      <c r="J190" s="444">
        <f>Source!N175</f>
        <v>0</v>
      </c>
      <c r="K190" s="446">
        <f>Source!O175</f>
        <v>0</v>
      </c>
      <c r="L190" s="446">
        <f>Source!P175</f>
        <v>0</v>
      </c>
      <c r="M190" s="446">
        <f>Source!Q175</f>
        <v>0</v>
      </c>
      <c r="N190" s="447">
        <f>Source!U175</f>
        <v>0</v>
      </c>
      <c r="O190" s="448">
        <f>Source!V175</f>
        <v>0</v>
      </c>
      <c r="P190" s="449"/>
      <c r="Q190" s="450">
        <f>Source!X175</f>
        <v>0</v>
      </c>
      <c r="R190" s="215">
        <f>Source!Z175</f>
        <v>0</v>
      </c>
      <c r="S190" s="223">
        <f>Source!AA175</f>
        <v>0</v>
      </c>
      <c r="T190" s="216">
        <f>IF(Devise=DeviseInterne,Source!AB175,Source!AC175)</f>
        <v>0</v>
      </c>
      <c r="U190" s="57"/>
      <c r="V190" s="78"/>
      <c r="W190" s="78"/>
      <c r="X190" s="41"/>
      <c r="Y190" s="42"/>
    </row>
    <row r="191" spans="1:25" s="43" customFormat="1" ht="30" customHeight="1" thickTop="1" thickBot="1">
      <c r="A191" s="68"/>
      <c r="B191" s="440">
        <f>Source!G176</f>
        <v>0</v>
      </c>
      <c r="C191" s="441">
        <f>Source!C176</f>
        <v>0</v>
      </c>
      <c r="D191" s="442">
        <f>Source!D176</f>
        <v>0</v>
      </c>
      <c r="E191" s="443">
        <f>Source!J176</f>
        <v>0</v>
      </c>
      <c r="F191" s="444">
        <f>Source!B176</f>
        <v>0</v>
      </c>
      <c r="G191" s="445">
        <f>Source!K176</f>
        <v>0</v>
      </c>
      <c r="H191" s="444">
        <f>Source!L176</f>
        <v>0</v>
      </c>
      <c r="I191" s="444">
        <f>Source!M176</f>
        <v>0</v>
      </c>
      <c r="J191" s="444">
        <f>Source!N176</f>
        <v>0</v>
      </c>
      <c r="K191" s="446">
        <f>Source!O176</f>
        <v>0</v>
      </c>
      <c r="L191" s="446">
        <f>Source!P176</f>
        <v>0</v>
      </c>
      <c r="M191" s="446">
        <f>Source!Q176</f>
        <v>0</v>
      </c>
      <c r="N191" s="447">
        <f>Source!U176</f>
        <v>0</v>
      </c>
      <c r="O191" s="448">
        <f>Source!V176</f>
        <v>0</v>
      </c>
      <c r="P191" s="449"/>
      <c r="Q191" s="450">
        <f>Source!X176</f>
        <v>0</v>
      </c>
      <c r="R191" s="215">
        <f>Source!Z176</f>
        <v>0</v>
      </c>
      <c r="S191" s="223">
        <f>Source!AA176</f>
        <v>0</v>
      </c>
      <c r="T191" s="216">
        <f>IF(Devise=DeviseInterne,Source!AB176,Source!AC176)</f>
        <v>0</v>
      </c>
      <c r="U191" s="57"/>
      <c r="V191" s="78"/>
      <c r="W191" s="78"/>
      <c r="X191" s="41"/>
      <c r="Y191" s="42"/>
    </row>
    <row r="192" spans="1:25" s="43" customFormat="1" ht="30" customHeight="1" thickTop="1" thickBot="1">
      <c r="A192" s="68"/>
      <c r="B192" s="440">
        <f>Source!G177</f>
        <v>0</v>
      </c>
      <c r="C192" s="441">
        <f>Source!C177</f>
        <v>0</v>
      </c>
      <c r="D192" s="442">
        <f>Source!D177</f>
        <v>0</v>
      </c>
      <c r="E192" s="443">
        <f>Source!J177</f>
        <v>0</v>
      </c>
      <c r="F192" s="444">
        <f>Source!B177</f>
        <v>0</v>
      </c>
      <c r="G192" s="445">
        <f>Source!K177</f>
        <v>0</v>
      </c>
      <c r="H192" s="444">
        <f>Source!L177</f>
        <v>0</v>
      </c>
      <c r="I192" s="444">
        <f>Source!M177</f>
        <v>0</v>
      </c>
      <c r="J192" s="444">
        <f>Source!N177</f>
        <v>0</v>
      </c>
      <c r="K192" s="446">
        <f>Source!O177</f>
        <v>0</v>
      </c>
      <c r="L192" s="446">
        <f>Source!P177</f>
        <v>0</v>
      </c>
      <c r="M192" s="446">
        <f>Source!Q177</f>
        <v>0</v>
      </c>
      <c r="N192" s="447">
        <f>Source!U177</f>
        <v>0</v>
      </c>
      <c r="O192" s="448">
        <f>Source!V177</f>
        <v>0</v>
      </c>
      <c r="P192" s="449"/>
      <c r="Q192" s="450">
        <f>Source!X177</f>
        <v>0</v>
      </c>
      <c r="R192" s="215">
        <f>Source!Z177</f>
        <v>0</v>
      </c>
      <c r="S192" s="223">
        <f>Source!AA177</f>
        <v>0</v>
      </c>
      <c r="T192" s="216">
        <f>IF(Devise=DeviseInterne,Source!AB177,Source!AC177)</f>
        <v>0</v>
      </c>
      <c r="U192" s="57"/>
      <c r="V192" s="78"/>
      <c r="W192" s="78"/>
      <c r="X192" s="41"/>
      <c r="Y192" s="42"/>
    </row>
    <row r="193" spans="1:25" s="43" customFormat="1" ht="30" customHeight="1" thickTop="1" thickBot="1">
      <c r="A193" s="68"/>
      <c r="B193" s="440">
        <f>Source!G178</f>
        <v>0</v>
      </c>
      <c r="C193" s="441">
        <f>Source!C178</f>
        <v>0</v>
      </c>
      <c r="D193" s="442">
        <f>Source!D178</f>
        <v>0</v>
      </c>
      <c r="E193" s="443">
        <f>Source!J178</f>
        <v>0</v>
      </c>
      <c r="F193" s="444">
        <f>Source!B178</f>
        <v>0</v>
      </c>
      <c r="G193" s="445">
        <f>Source!K178</f>
        <v>0</v>
      </c>
      <c r="H193" s="444">
        <f>Source!L178</f>
        <v>0</v>
      </c>
      <c r="I193" s="444">
        <f>Source!M178</f>
        <v>0</v>
      </c>
      <c r="J193" s="444">
        <f>Source!N178</f>
        <v>0</v>
      </c>
      <c r="K193" s="446">
        <f>Source!O178</f>
        <v>0</v>
      </c>
      <c r="L193" s="446">
        <f>Source!P178</f>
        <v>0</v>
      </c>
      <c r="M193" s="446">
        <f>Source!Q178</f>
        <v>0</v>
      </c>
      <c r="N193" s="447">
        <f>Source!U178</f>
        <v>0</v>
      </c>
      <c r="O193" s="448">
        <f>Source!V178</f>
        <v>0</v>
      </c>
      <c r="P193" s="449"/>
      <c r="Q193" s="450">
        <f>Source!X178</f>
        <v>0</v>
      </c>
      <c r="R193" s="215">
        <f>Source!Z178</f>
        <v>0</v>
      </c>
      <c r="S193" s="223">
        <f>Source!AA178</f>
        <v>0</v>
      </c>
      <c r="T193" s="216">
        <f>IF(Devise=DeviseInterne,Source!AB178,Source!AC178)</f>
        <v>0</v>
      </c>
      <c r="U193" s="57"/>
      <c r="V193" s="78"/>
      <c r="W193" s="78"/>
      <c r="X193" s="41"/>
      <c r="Y193" s="42"/>
    </row>
    <row r="194" spans="1:25" s="43" customFormat="1" ht="30" customHeight="1" thickTop="1" thickBot="1">
      <c r="A194" s="68"/>
      <c r="B194" s="440">
        <f>Source!G179</f>
        <v>0</v>
      </c>
      <c r="C194" s="441">
        <f>Source!C179</f>
        <v>0</v>
      </c>
      <c r="D194" s="442">
        <f>Source!D179</f>
        <v>0</v>
      </c>
      <c r="E194" s="443">
        <f>Source!J179</f>
        <v>0</v>
      </c>
      <c r="F194" s="444">
        <f>Source!B179</f>
        <v>0</v>
      </c>
      <c r="G194" s="445">
        <f>Source!K179</f>
        <v>0</v>
      </c>
      <c r="H194" s="444">
        <f>Source!L179</f>
        <v>0</v>
      </c>
      <c r="I194" s="444">
        <f>Source!M179</f>
        <v>0</v>
      </c>
      <c r="J194" s="444">
        <f>Source!N179</f>
        <v>0</v>
      </c>
      <c r="K194" s="446">
        <f>Source!O179</f>
        <v>0</v>
      </c>
      <c r="L194" s="446">
        <f>Source!P179</f>
        <v>0</v>
      </c>
      <c r="M194" s="446">
        <f>Source!Q179</f>
        <v>0</v>
      </c>
      <c r="N194" s="447">
        <f>Source!U179</f>
        <v>0</v>
      </c>
      <c r="O194" s="448">
        <f>Source!V179</f>
        <v>0</v>
      </c>
      <c r="P194" s="449"/>
      <c r="Q194" s="450">
        <f>Source!X179</f>
        <v>0</v>
      </c>
      <c r="R194" s="215">
        <f>Source!Z179</f>
        <v>0</v>
      </c>
      <c r="S194" s="223">
        <f>Source!AA179</f>
        <v>0</v>
      </c>
      <c r="T194" s="216">
        <f>IF(Devise=DeviseInterne,Source!AB179,Source!AC179)</f>
        <v>0</v>
      </c>
      <c r="U194" s="57"/>
      <c r="V194" s="78"/>
      <c r="W194" s="78"/>
      <c r="X194" s="41"/>
      <c r="Y194" s="42"/>
    </row>
    <row r="195" spans="1:25" s="43" customFormat="1" ht="30" customHeight="1" thickTop="1" thickBot="1">
      <c r="A195" s="68"/>
      <c r="B195" s="440">
        <f>Source!G180</f>
        <v>0</v>
      </c>
      <c r="C195" s="441">
        <f>Source!C180</f>
        <v>0</v>
      </c>
      <c r="D195" s="442">
        <f>Source!D180</f>
        <v>0</v>
      </c>
      <c r="E195" s="443">
        <f>Source!J180</f>
        <v>0</v>
      </c>
      <c r="F195" s="444">
        <f>Source!B180</f>
        <v>0</v>
      </c>
      <c r="G195" s="445">
        <f>Source!K180</f>
        <v>0</v>
      </c>
      <c r="H195" s="444">
        <f>Source!L180</f>
        <v>0</v>
      </c>
      <c r="I195" s="444">
        <f>Source!M180</f>
        <v>0</v>
      </c>
      <c r="J195" s="444">
        <f>Source!N180</f>
        <v>0</v>
      </c>
      <c r="K195" s="446">
        <f>Source!O180</f>
        <v>0</v>
      </c>
      <c r="L195" s="446">
        <f>Source!P180</f>
        <v>0</v>
      </c>
      <c r="M195" s="446">
        <f>Source!Q180</f>
        <v>0</v>
      </c>
      <c r="N195" s="447">
        <f>Source!U180</f>
        <v>0</v>
      </c>
      <c r="O195" s="448">
        <f>Source!V180</f>
        <v>0</v>
      </c>
      <c r="P195" s="449"/>
      <c r="Q195" s="450">
        <f>Source!X180</f>
        <v>0</v>
      </c>
      <c r="R195" s="215">
        <f>Source!Z180</f>
        <v>0</v>
      </c>
      <c r="S195" s="223">
        <f>Source!AA180</f>
        <v>0</v>
      </c>
      <c r="T195" s="216">
        <f>IF(Devise=DeviseInterne,Source!AB180,Source!AC180)</f>
        <v>0</v>
      </c>
      <c r="U195" s="57"/>
      <c r="V195" s="78"/>
      <c r="W195" s="78"/>
      <c r="X195" s="41"/>
      <c r="Y195" s="42"/>
    </row>
    <row r="196" spans="1:25" s="43" customFormat="1" ht="30" customHeight="1" thickTop="1" thickBot="1">
      <c r="A196" s="68"/>
      <c r="B196" s="440">
        <f>Source!G181</f>
        <v>0</v>
      </c>
      <c r="C196" s="441">
        <f>Source!C181</f>
        <v>0</v>
      </c>
      <c r="D196" s="442">
        <f>Source!D181</f>
        <v>0</v>
      </c>
      <c r="E196" s="443">
        <f>Source!J181</f>
        <v>0</v>
      </c>
      <c r="F196" s="444">
        <f>Source!B181</f>
        <v>0</v>
      </c>
      <c r="G196" s="445">
        <f>Source!K181</f>
        <v>0</v>
      </c>
      <c r="H196" s="444">
        <f>Source!L181</f>
        <v>0</v>
      </c>
      <c r="I196" s="444">
        <f>Source!M181</f>
        <v>0</v>
      </c>
      <c r="J196" s="444">
        <f>Source!N181</f>
        <v>0</v>
      </c>
      <c r="K196" s="446">
        <f>Source!O181</f>
        <v>0</v>
      </c>
      <c r="L196" s="446">
        <f>Source!P181</f>
        <v>0</v>
      </c>
      <c r="M196" s="446">
        <f>Source!Q181</f>
        <v>0</v>
      </c>
      <c r="N196" s="447">
        <f>Source!U181</f>
        <v>0</v>
      </c>
      <c r="O196" s="448">
        <f>Source!V181</f>
        <v>0</v>
      </c>
      <c r="P196" s="449"/>
      <c r="Q196" s="450">
        <f>Source!X181</f>
        <v>0</v>
      </c>
      <c r="R196" s="215">
        <f>Source!Z181</f>
        <v>0</v>
      </c>
      <c r="S196" s="223">
        <f>Source!AA181</f>
        <v>0</v>
      </c>
      <c r="T196" s="216">
        <f>IF(Devise=DeviseInterne,Source!AB181,Source!AC181)</f>
        <v>0</v>
      </c>
      <c r="U196" s="57"/>
      <c r="V196" s="78"/>
      <c r="W196" s="78"/>
      <c r="X196" s="41"/>
      <c r="Y196" s="42"/>
    </row>
    <row r="197" spans="1:25" s="43" customFormat="1" ht="30" customHeight="1" thickTop="1" thickBot="1">
      <c r="A197" s="68"/>
      <c r="B197" s="440">
        <f>Source!G182</f>
        <v>0</v>
      </c>
      <c r="C197" s="441">
        <f>Source!C182</f>
        <v>0</v>
      </c>
      <c r="D197" s="442">
        <f>Source!D182</f>
        <v>0</v>
      </c>
      <c r="E197" s="443">
        <f>Source!J182</f>
        <v>0</v>
      </c>
      <c r="F197" s="444">
        <f>Source!B182</f>
        <v>0</v>
      </c>
      <c r="G197" s="445">
        <f>Source!K182</f>
        <v>0</v>
      </c>
      <c r="H197" s="444">
        <f>Source!L182</f>
        <v>0</v>
      </c>
      <c r="I197" s="444">
        <f>Source!M182</f>
        <v>0</v>
      </c>
      <c r="J197" s="444">
        <f>Source!N182</f>
        <v>0</v>
      </c>
      <c r="K197" s="446">
        <f>Source!O182</f>
        <v>0</v>
      </c>
      <c r="L197" s="446">
        <f>Source!P182</f>
        <v>0</v>
      </c>
      <c r="M197" s="446">
        <f>Source!Q182</f>
        <v>0</v>
      </c>
      <c r="N197" s="447">
        <f>Source!U182</f>
        <v>0</v>
      </c>
      <c r="O197" s="448">
        <f>Source!V182</f>
        <v>0</v>
      </c>
      <c r="P197" s="449"/>
      <c r="Q197" s="450">
        <f>Source!X182</f>
        <v>0</v>
      </c>
      <c r="R197" s="215">
        <f>Source!Z182</f>
        <v>0</v>
      </c>
      <c r="S197" s="223">
        <f>Source!AA182</f>
        <v>0</v>
      </c>
      <c r="T197" s="216">
        <f>IF(Devise=DeviseInterne,Source!AB182,Source!AC182)</f>
        <v>0</v>
      </c>
      <c r="U197" s="57"/>
      <c r="V197" s="78"/>
      <c r="W197" s="78"/>
      <c r="X197" s="41"/>
      <c r="Y197" s="42"/>
    </row>
    <row r="198" spans="1:25" s="43" customFormat="1" ht="30" customHeight="1" thickTop="1" thickBot="1">
      <c r="A198" s="68"/>
      <c r="B198" s="440">
        <f>Source!G183</f>
        <v>0</v>
      </c>
      <c r="C198" s="441">
        <f>Source!C183</f>
        <v>0</v>
      </c>
      <c r="D198" s="442">
        <f>Source!D183</f>
        <v>0</v>
      </c>
      <c r="E198" s="443">
        <f>Source!J183</f>
        <v>0</v>
      </c>
      <c r="F198" s="444">
        <f>Source!B183</f>
        <v>0</v>
      </c>
      <c r="G198" s="445">
        <f>Source!K183</f>
        <v>0</v>
      </c>
      <c r="H198" s="444">
        <f>Source!L183</f>
        <v>0</v>
      </c>
      <c r="I198" s="444">
        <f>Source!M183</f>
        <v>0</v>
      </c>
      <c r="J198" s="444">
        <f>Source!N183</f>
        <v>0</v>
      </c>
      <c r="K198" s="446">
        <f>Source!O183</f>
        <v>0</v>
      </c>
      <c r="L198" s="446">
        <f>Source!P183</f>
        <v>0</v>
      </c>
      <c r="M198" s="446">
        <f>Source!Q183</f>
        <v>0</v>
      </c>
      <c r="N198" s="447">
        <f>Source!U183</f>
        <v>0</v>
      </c>
      <c r="O198" s="448">
        <f>Source!V183</f>
        <v>0</v>
      </c>
      <c r="P198" s="449"/>
      <c r="Q198" s="450">
        <f>Source!X183</f>
        <v>0</v>
      </c>
      <c r="R198" s="215">
        <f>Source!Z183</f>
        <v>0</v>
      </c>
      <c r="S198" s="223">
        <f>Source!AA183</f>
        <v>0</v>
      </c>
      <c r="T198" s="216">
        <f>IF(Devise=DeviseInterne,Source!AB183,Source!AC183)</f>
        <v>0</v>
      </c>
      <c r="U198" s="57"/>
      <c r="V198" s="78"/>
      <c r="W198" s="78"/>
      <c r="X198" s="41"/>
      <c r="Y198" s="42"/>
    </row>
    <row r="199" spans="1:25" s="43" customFormat="1" ht="30" customHeight="1" thickTop="1" thickBot="1">
      <c r="A199" s="68"/>
      <c r="B199" s="440">
        <f>Source!G184</f>
        <v>0</v>
      </c>
      <c r="C199" s="441">
        <f>Source!C184</f>
        <v>0</v>
      </c>
      <c r="D199" s="442">
        <f>Source!D184</f>
        <v>0</v>
      </c>
      <c r="E199" s="443">
        <f>Source!J184</f>
        <v>0</v>
      </c>
      <c r="F199" s="444">
        <f>Source!B184</f>
        <v>0</v>
      </c>
      <c r="G199" s="445">
        <f>Source!K184</f>
        <v>0</v>
      </c>
      <c r="H199" s="444">
        <f>Source!L184</f>
        <v>0</v>
      </c>
      <c r="I199" s="444">
        <f>Source!M184</f>
        <v>0</v>
      </c>
      <c r="J199" s="444">
        <f>Source!N184</f>
        <v>0</v>
      </c>
      <c r="K199" s="446">
        <f>Source!O184</f>
        <v>0</v>
      </c>
      <c r="L199" s="446">
        <f>Source!P184</f>
        <v>0</v>
      </c>
      <c r="M199" s="446">
        <f>Source!Q184</f>
        <v>0</v>
      </c>
      <c r="N199" s="447">
        <f>Source!U184</f>
        <v>0</v>
      </c>
      <c r="O199" s="448">
        <f>Source!V184</f>
        <v>0</v>
      </c>
      <c r="P199" s="449"/>
      <c r="Q199" s="450">
        <f>Source!X184</f>
        <v>0</v>
      </c>
      <c r="R199" s="215">
        <f>Source!Z184</f>
        <v>0</v>
      </c>
      <c r="S199" s="223">
        <f>Source!AA184</f>
        <v>0</v>
      </c>
      <c r="T199" s="216">
        <f>IF(Devise=DeviseInterne,Source!AB184,Source!AC184)</f>
        <v>0</v>
      </c>
      <c r="U199" s="57"/>
      <c r="V199" s="78"/>
      <c r="W199" s="78"/>
      <c r="X199" s="41"/>
      <c r="Y199" s="42"/>
    </row>
    <row r="200" spans="1:25" s="43" customFormat="1" ht="30" customHeight="1" thickTop="1" thickBot="1">
      <c r="A200" s="68"/>
      <c r="B200" s="440">
        <f>Source!G185</f>
        <v>0</v>
      </c>
      <c r="C200" s="441">
        <f>Source!C185</f>
        <v>0</v>
      </c>
      <c r="D200" s="442">
        <f>Source!D185</f>
        <v>0</v>
      </c>
      <c r="E200" s="443">
        <f>Source!J185</f>
        <v>0</v>
      </c>
      <c r="F200" s="444">
        <f>Source!B185</f>
        <v>0</v>
      </c>
      <c r="G200" s="445">
        <f>Source!K185</f>
        <v>0</v>
      </c>
      <c r="H200" s="444">
        <f>Source!L185</f>
        <v>0</v>
      </c>
      <c r="I200" s="444">
        <f>Source!M185</f>
        <v>0</v>
      </c>
      <c r="J200" s="444">
        <f>Source!N185</f>
        <v>0</v>
      </c>
      <c r="K200" s="446">
        <f>Source!O185</f>
        <v>0</v>
      </c>
      <c r="L200" s="446">
        <f>Source!P185</f>
        <v>0</v>
      </c>
      <c r="M200" s="446">
        <f>Source!Q185</f>
        <v>0</v>
      </c>
      <c r="N200" s="447">
        <f>Source!U185</f>
        <v>0</v>
      </c>
      <c r="O200" s="448">
        <f>Source!V185</f>
        <v>0</v>
      </c>
      <c r="P200" s="449"/>
      <c r="Q200" s="450">
        <f>Source!X185</f>
        <v>0</v>
      </c>
      <c r="R200" s="215">
        <f>Source!Z185</f>
        <v>0</v>
      </c>
      <c r="S200" s="223">
        <f>Source!AA185</f>
        <v>0</v>
      </c>
      <c r="T200" s="216">
        <f>IF(Devise=DeviseInterne,Source!AB185,Source!AC185)</f>
        <v>0</v>
      </c>
      <c r="U200" s="57"/>
      <c r="V200" s="78"/>
      <c r="W200" s="78"/>
      <c r="X200" s="41"/>
      <c r="Y200" s="42"/>
    </row>
    <row r="201" spans="1:25" s="43" customFormat="1" ht="30" customHeight="1" thickTop="1" thickBot="1">
      <c r="A201" s="68"/>
      <c r="B201" s="440">
        <f>Source!G186</f>
        <v>0</v>
      </c>
      <c r="C201" s="441">
        <f>Source!C186</f>
        <v>0</v>
      </c>
      <c r="D201" s="442">
        <f>Source!D186</f>
        <v>0</v>
      </c>
      <c r="E201" s="443">
        <f>Source!J186</f>
        <v>0</v>
      </c>
      <c r="F201" s="444">
        <f>Source!B186</f>
        <v>0</v>
      </c>
      <c r="G201" s="445">
        <f>Source!K186</f>
        <v>0</v>
      </c>
      <c r="H201" s="444">
        <f>Source!L186</f>
        <v>0</v>
      </c>
      <c r="I201" s="444">
        <f>Source!M186</f>
        <v>0</v>
      </c>
      <c r="J201" s="444">
        <f>Source!N186</f>
        <v>0</v>
      </c>
      <c r="K201" s="446">
        <f>Source!O186</f>
        <v>0</v>
      </c>
      <c r="L201" s="446">
        <f>Source!P186</f>
        <v>0</v>
      </c>
      <c r="M201" s="446">
        <f>Source!Q186</f>
        <v>0</v>
      </c>
      <c r="N201" s="447">
        <f>Source!U186</f>
        <v>0</v>
      </c>
      <c r="O201" s="448">
        <f>Source!V186</f>
        <v>0</v>
      </c>
      <c r="P201" s="449"/>
      <c r="Q201" s="450">
        <f>Source!X186</f>
        <v>0</v>
      </c>
      <c r="R201" s="215">
        <f>Source!Z186</f>
        <v>0</v>
      </c>
      <c r="S201" s="223">
        <f>Source!AA186</f>
        <v>0</v>
      </c>
      <c r="T201" s="216">
        <f>IF(Devise=DeviseInterne,Source!AB186,Source!AC186)</f>
        <v>0</v>
      </c>
      <c r="U201" s="57"/>
      <c r="V201" s="78"/>
      <c r="W201" s="78"/>
      <c r="X201" s="41"/>
      <c r="Y201" s="42"/>
    </row>
    <row r="202" spans="1:25" s="43" customFormat="1" ht="30" customHeight="1" thickTop="1" thickBot="1">
      <c r="A202" s="68"/>
      <c r="B202" s="440">
        <f>Source!G187</f>
        <v>0</v>
      </c>
      <c r="C202" s="441">
        <f>Source!C187</f>
        <v>0</v>
      </c>
      <c r="D202" s="442">
        <f>Source!D187</f>
        <v>0</v>
      </c>
      <c r="E202" s="443">
        <f>Source!J187</f>
        <v>0</v>
      </c>
      <c r="F202" s="444">
        <f>Source!B187</f>
        <v>0</v>
      </c>
      <c r="G202" s="445">
        <f>Source!K187</f>
        <v>0</v>
      </c>
      <c r="H202" s="444">
        <f>Source!L187</f>
        <v>0</v>
      </c>
      <c r="I202" s="444">
        <f>Source!M187</f>
        <v>0</v>
      </c>
      <c r="J202" s="444">
        <f>Source!N187</f>
        <v>0</v>
      </c>
      <c r="K202" s="446">
        <f>Source!O187</f>
        <v>0</v>
      </c>
      <c r="L202" s="446">
        <f>Source!P187</f>
        <v>0</v>
      </c>
      <c r="M202" s="446">
        <f>Source!Q187</f>
        <v>0</v>
      </c>
      <c r="N202" s="447">
        <f>Source!U187</f>
        <v>0</v>
      </c>
      <c r="O202" s="448">
        <f>Source!V187</f>
        <v>0</v>
      </c>
      <c r="P202" s="449"/>
      <c r="Q202" s="450">
        <f>Source!X187</f>
        <v>0</v>
      </c>
      <c r="R202" s="215">
        <f>Source!Z187</f>
        <v>0</v>
      </c>
      <c r="S202" s="223">
        <f>Source!AA187</f>
        <v>0</v>
      </c>
      <c r="T202" s="216">
        <f>IF(Devise=DeviseInterne,Source!AB187,Source!AC187)</f>
        <v>0</v>
      </c>
      <c r="U202" s="57"/>
      <c r="V202" s="78"/>
      <c r="W202" s="78"/>
      <c r="X202" s="41"/>
      <c r="Y202" s="42"/>
    </row>
    <row r="203" spans="1:25" s="43" customFormat="1" ht="30" customHeight="1" thickTop="1" thickBot="1">
      <c r="A203" s="68"/>
      <c r="B203" s="440">
        <f>Source!G188</f>
        <v>0</v>
      </c>
      <c r="C203" s="441">
        <f>Source!C188</f>
        <v>0</v>
      </c>
      <c r="D203" s="442">
        <f>Source!D188</f>
        <v>0</v>
      </c>
      <c r="E203" s="443">
        <f>Source!J188</f>
        <v>0</v>
      </c>
      <c r="F203" s="444">
        <f>Source!B188</f>
        <v>0</v>
      </c>
      <c r="G203" s="445">
        <f>Source!K188</f>
        <v>0</v>
      </c>
      <c r="H203" s="444">
        <f>Source!L188</f>
        <v>0</v>
      </c>
      <c r="I203" s="444">
        <f>Source!M188</f>
        <v>0</v>
      </c>
      <c r="J203" s="444">
        <f>Source!N188</f>
        <v>0</v>
      </c>
      <c r="K203" s="446">
        <f>Source!O188</f>
        <v>0</v>
      </c>
      <c r="L203" s="446">
        <f>Source!P188</f>
        <v>0</v>
      </c>
      <c r="M203" s="446">
        <f>Source!Q188</f>
        <v>0</v>
      </c>
      <c r="N203" s="447">
        <f>Source!U188</f>
        <v>0</v>
      </c>
      <c r="O203" s="448">
        <f>Source!V188</f>
        <v>0</v>
      </c>
      <c r="P203" s="449"/>
      <c r="Q203" s="450">
        <f>Source!X188</f>
        <v>0</v>
      </c>
      <c r="R203" s="215">
        <f>Source!Z188</f>
        <v>0</v>
      </c>
      <c r="S203" s="223">
        <f>Source!AA188</f>
        <v>0</v>
      </c>
      <c r="T203" s="216">
        <f>IF(Devise=DeviseInterne,Source!AB188,Source!AC188)</f>
        <v>0</v>
      </c>
      <c r="U203" s="57"/>
      <c r="V203" s="78"/>
      <c r="W203" s="78"/>
      <c r="X203" s="41"/>
      <c r="Y203" s="42"/>
    </row>
    <row r="204" spans="1:25" s="43" customFormat="1" ht="30" customHeight="1" thickTop="1" thickBot="1">
      <c r="A204" s="68"/>
      <c r="B204" s="440">
        <f>Source!G189</f>
        <v>0</v>
      </c>
      <c r="C204" s="441">
        <f>Source!C189</f>
        <v>0</v>
      </c>
      <c r="D204" s="442">
        <f>Source!D189</f>
        <v>0</v>
      </c>
      <c r="E204" s="443">
        <f>Source!J189</f>
        <v>0</v>
      </c>
      <c r="F204" s="444">
        <f>Source!B189</f>
        <v>0</v>
      </c>
      <c r="G204" s="445">
        <f>Source!K189</f>
        <v>0</v>
      </c>
      <c r="H204" s="444">
        <f>Source!L189</f>
        <v>0</v>
      </c>
      <c r="I204" s="444">
        <f>Source!M189</f>
        <v>0</v>
      </c>
      <c r="J204" s="444">
        <f>Source!N189</f>
        <v>0</v>
      </c>
      <c r="K204" s="446">
        <f>Source!O189</f>
        <v>0</v>
      </c>
      <c r="L204" s="446">
        <f>Source!P189</f>
        <v>0</v>
      </c>
      <c r="M204" s="446">
        <f>Source!Q189</f>
        <v>0</v>
      </c>
      <c r="N204" s="447">
        <f>Source!U189</f>
        <v>0</v>
      </c>
      <c r="O204" s="448">
        <f>Source!V189</f>
        <v>0</v>
      </c>
      <c r="P204" s="449"/>
      <c r="Q204" s="450">
        <f>Source!X189</f>
        <v>0</v>
      </c>
      <c r="R204" s="215">
        <f>Source!Z189</f>
        <v>0</v>
      </c>
      <c r="S204" s="223">
        <f>Source!AA189</f>
        <v>0</v>
      </c>
      <c r="T204" s="216">
        <f>IF(Devise=DeviseInterne,Source!AB189,Source!AC189)</f>
        <v>0</v>
      </c>
      <c r="U204" s="57"/>
      <c r="V204" s="78"/>
      <c r="W204" s="78"/>
      <c r="X204" s="41"/>
      <c r="Y204" s="42"/>
    </row>
    <row r="205" spans="1:25" s="43" customFormat="1" ht="30" customHeight="1" thickTop="1" thickBot="1">
      <c r="A205" s="68"/>
      <c r="B205" s="440">
        <f>Source!G190</f>
        <v>0</v>
      </c>
      <c r="C205" s="441">
        <f>Source!C190</f>
        <v>0</v>
      </c>
      <c r="D205" s="442">
        <f>Source!D190</f>
        <v>0</v>
      </c>
      <c r="E205" s="443">
        <f>Source!J190</f>
        <v>0</v>
      </c>
      <c r="F205" s="444">
        <f>Source!B190</f>
        <v>0</v>
      </c>
      <c r="G205" s="445">
        <f>Source!K190</f>
        <v>0</v>
      </c>
      <c r="H205" s="444">
        <f>Source!L190</f>
        <v>0</v>
      </c>
      <c r="I205" s="444">
        <f>Source!M190</f>
        <v>0</v>
      </c>
      <c r="J205" s="444">
        <f>Source!N190</f>
        <v>0</v>
      </c>
      <c r="K205" s="446">
        <f>Source!O190</f>
        <v>0</v>
      </c>
      <c r="L205" s="446">
        <f>Source!P190</f>
        <v>0</v>
      </c>
      <c r="M205" s="446">
        <f>Source!Q190</f>
        <v>0</v>
      </c>
      <c r="N205" s="447">
        <f>Source!U190</f>
        <v>0</v>
      </c>
      <c r="O205" s="448">
        <f>Source!V190</f>
        <v>0</v>
      </c>
      <c r="P205" s="449"/>
      <c r="Q205" s="450">
        <f>Source!X190</f>
        <v>0</v>
      </c>
      <c r="R205" s="215">
        <f>Source!Z190</f>
        <v>0</v>
      </c>
      <c r="S205" s="223">
        <f>Source!AA190</f>
        <v>0</v>
      </c>
      <c r="T205" s="216">
        <f>IF(Devise=DeviseInterne,Source!AB190,Source!AC190)</f>
        <v>0</v>
      </c>
      <c r="U205" s="57"/>
      <c r="V205" s="78"/>
      <c r="W205" s="78"/>
      <c r="X205" s="41"/>
      <c r="Y205" s="42"/>
    </row>
    <row r="206" spans="1:25" s="43" customFormat="1" ht="30" customHeight="1" thickTop="1" thickBot="1">
      <c r="A206" s="68"/>
      <c r="B206" s="440">
        <f>Source!G191</f>
        <v>0</v>
      </c>
      <c r="C206" s="441">
        <f>Source!C191</f>
        <v>0</v>
      </c>
      <c r="D206" s="442">
        <f>Source!D191</f>
        <v>0</v>
      </c>
      <c r="E206" s="443">
        <f>Source!J191</f>
        <v>0</v>
      </c>
      <c r="F206" s="444">
        <f>Source!B191</f>
        <v>0</v>
      </c>
      <c r="G206" s="445">
        <f>Source!K191</f>
        <v>0</v>
      </c>
      <c r="H206" s="444">
        <f>Source!L191</f>
        <v>0</v>
      </c>
      <c r="I206" s="444">
        <f>Source!M191</f>
        <v>0</v>
      </c>
      <c r="J206" s="444">
        <f>Source!N191</f>
        <v>0</v>
      </c>
      <c r="K206" s="446">
        <f>Source!O191</f>
        <v>0</v>
      </c>
      <c r="L206" s="446">
        <f>Source!P191</f>
        <v>0</v>
      </c>
      <c r="M206" s="446">
        <f>Source!Q191</f>
        <v>0</v>
      </c>
      <c r="N206" s="447">
        <f>Source!U191</f>
        <v>0</v>
      </c>
      <c r="O206" s="448">
        <f>Source!V191</f>
        <v>0</v>
      </c>
      <c r="P206" s="449"/>
      <c r="Q206" s="450">
        <f>Source!X191</f>
        <v>0</v>
      </c>
      <c r="R206" s="215">
        <f>Source!Z191</f>
        <v>0</v>
      </c>
      <c r="S206" s="223">
        <f>Source!AA191</f>
        <v>0</v>
      </c>
      <c r="T206" s="216">
        <f>IF(Devise=DeviseInterne,Source!AB191,Source!AC191)</f>
        <v>0</v>
      </c>
      <c r="U206" s="57"/>
      <c r="V206" s="78"/>
      <c r="W206" s="78"/>
      <c r="X206" s="41"/>
      <c r="Y206" s="42"/>
    </row>
    <row r="207" spans="1:25" s="43" customFormat="1" ht="30" customHeight="1" thickTop="1" thickBot="1">
      <c r="A207" s="68"/>
      <c r="B207" s="440">
        <f>Source!G192</f>
        <v>0</v>
      </c>
      <c r="C207" s="441">
        <f>Source!C192</f>
        <v>0</v>
      </c>
      <c r="D207" s="442">
        <f>Source!D192</f>
        <v>0</v>
      </c>
      <c r="E207" s="443">
        <f>Source!J192</f>
        <v>0</v>
      </c>
      <c r="F207" s="444">
        <f>Source!B192</f>
        <v>0</v>
      </c>
      <c r="G207" s="445">
        <f>Source!K192</f>
        <v>0</v>
      </c>
      <c r="H207" s="444">
        <f>Source!L192</f>
        <v>0</v>
      </c>
      <c r="I207" s="444">
        <f>Source!M192</f>
        <v>0</v>
      </c>
      <c r="J207" s="444">
        <f>Source!N192</f>
        <v>0</v>
      </c>
      <c r="K207" s="446">
        <f>Source!O192</f>
        <v>0</v>
      </c>
      <c r="L207" s="446">
        <f>Source!P192</f>
        <v>0</v>
      </c>
      <c r="M207" s="446">
        <f>Source!Q192</f>
        <v>0</v>
      </c>
      <c r="N207" s="447">
        <f>Source!U192</f>
        <v>0</v>
      </c>
      <c r="O207" s="448">
        <f>Source!V192</f>
        <v>0</v>
      </c>
      <c r="P207" s="449"/>
      <c r="Q207" s="450">
        <f>Source!X192</f>
        <v>0</v>
      </c>
      <c r="R207" s="215">
        <f>Source!Z192</f>
        <v>0</v>
      </c>
      <c r="S207" s="223">
        <f>Source!AA192</f>
        <v>0</v>
      </c>
      <c r="T207" s="216">
        <f>IF(Devise=DeviseInterne,Source!AB192,Source!AC192)</f>
        <v>0</v>
      </c>
      <c r="U207" s="57"/>
      <c r="V207" s="78"/>
      <c r="W207" s="78"/>
      <c r="X207" s="41"/>
      <c r="Y207" s="42"/>
    </row>
    <row r="208" spans="1:25" s="43" customFormat="1" ht="30" customHeight="1" thickTop="1" thickBot="1">
      <c r="A208" s="68"/>
      <c r="B208" s="440">
        <f>Source!G193</f>
        <v>0</v>
      </c>
      <c r="C208" s="441">
        <f>Source!C193</f>
        <v>0</v>
      </c>
      <c r="D208" s="442">
        <f>Source!D193</f>
        <v>0</v>
      </c>
      <c r="E208" s="443">
        <f>Source!J193</f>
        <v>0</v>
      </c>
      <c r="F208" s="444">
        <f>Source!B193</f>
        <v>0</v>
      </c>
      <c r="G208" s="445">
        <f>Source!K193</f>
        <v>0</v>
      </c>
      <c r="H208" s="444">
        <f>Source!L193</f>
        <v>0</v>
      </c>
      <c r="I208" s="444">
        <f>Source!M193</f>
        <v>0</v>
      </c>
      <c r="J208" s="444">
        <f>Source!N193</f>
        <v>0</v>
      </c>
      <c r="K208" s="446">
        <f>Source!O193</f>
        <v>0</v>
      </c>
      <c r="L208" s="446">
        <f>Source!P193</f>
        <v>0</v>
      </c>
      <c r="M208" s="446">
        <f>Source!Q193</f>
        <v>0</v>
      </c>
      <c r="N208" s="447">
        <f>Source!U193</f>
        <v>0</v>
      </c>
      <c r="O208" s="448">
        <f>Source!V193</f>
        <v>0</v>
      </c>
      <c r="P208" s="449"/>
      <c r="Q208" s="450">
        <f>Source!X193</f>
        <v>0</v>
      </c>
      <c r="R208" s="215">
        <f>Source!Z193</f>
        <v>0</v>
      </c>
      <c r="S208" s="223">
        <f>Source!AA193</f>
        <v>0</v>
      </c>
      <c r="T208" s="216">
        <f>IF(Devise=DeviseInterne,Source!AB193,Source!AC193)</f>
        <v>0</v>
      </c>
      <c r="U208" s="57"/>
      <c r="V208" s="78"/>
      <c r="W208" s="78"/>
      <c r="X208" s="41"/>
      <c r="Y208" s="42"/>
    </row>
    <row r="209" spans="1:25" s="43" customFormat="1" ht="30" customHeight="1" thickTop="1" thickBot="1">
      <c r="A209" s="68"/>
      <c r="B209" s="440">
        <f>Source!G194</f>
        <v>0</v>
      </c>
      <c r="C209" s="441">
        <f>Source!C194</f>
        <v>0</v>
      </c>
      <c r="D209" s="442">
        <f>Source!D194</f>
        <v>0</v>
      </c>
      <c r="E209" s="443">
        <f>Source!J194</f>
        <v>0</v>
      </c>
      <c r="F209" s="444">
        <f>Source!B194</f>
        <v>0</v>
      </c>
      <c r="G209" s="445">
        <f>Source!K194</f>
        <v>0</v>
      </c>
      <c r="H209" s="444">
        <f>Source!L194</f>
        <v>0</v>
      </c>
      <c r="I209" s="444">
        <f>Source!M194</f>
        <v>0</v>
      </c>
      <c r="J209" s="444">
        <f>Source!N194</f>
        <v>0</v>
      </c>
      <c r="K209" s="446">
        <f>Source!O194</f>
        <v>0</v>
      </c>
      <c r="L209" s="446">
        <f>Source!P194</f>
        <v>0</v>
      </c>
      <c r="M209" s="446">
        <f>Source!Q194</f>
        <v>0</v>
      </c>
      <c r="N209" s="447">
        <f>Source!U194</f>
        <v>0</v>
      </c>
      <c r="O209" s="448">
        <f>Source!V194</f>
        <v>0</v>
      </c>
      <c r="P209" s="449"/>
      <c r="Q209" s="450">
        <f>Source!X194</f>
        <v>0</v>
      </c>
      <c r="R209" s="215">
        <f>Source!Z194</f>
        <v>0</v>
      </c>
      <c r="S209" s="223">
        <f>Source!AA194</f>
        <v>0</v>
      </c>
      <c r="T209" s="216">
        <f>IF(Devise=DeviseInterne,Source!AB194,Source!AC194)</f>
        <v>0</v>
      </c>
      <c r="U209" s="57"/>
      <c r="V209" s="78"/>
      <c r="W209" s="78"/>
      <c r="X209" s="41"/>
      <c r="Y209" s="42"/>
    </row>
    <row r="210" spans="1:25" s="43" customFormat="1" ht="30" customHeight="1" thickTop="1" thickBot="1">
      <c r="A210" s="68"/>
      <c r="B210" s="440">
        <f>Source!G195</f>
        <v>0</v>
      </c>
      <c r="C210" s="441">
        <f>Source!C195</f>
        <v>0</v>
      </c>
      <c r="D210" s="442">
        <f>Source!D195</f>
        <v>0</v>
      </c>
      <c r="E210" s="443">
        <f>Source!J195</f>
        <v>0</v>
      </c>
      <c r="F210" s="444">
        <f>Source!B195</f>
        <v>0</v>
      </c>
      <c r="G210" s="445">
        <f>Source!K195</f>
        <v>0</v>
      </c>
      <c r="H210" s="444">
        <f>Source!L195</f>
        <v>0</v>
      </c>
      <c r="I210" s="444">
        <f>Source!M195</f>
        <v>0</v>
      </c>
      <c r="J210" s="444">
        <f>Source!N195</f>
        <v>0</v>
      </c>
      <c r="K210" s="446">
        <f>Source!O195</f>
        <v>0</v>
      </c>
      <c r="L210" s="446">
        <f>Source!P195</f>
        <v>0</v>
      </c>
      <c r="M210" s="446">
        <f>Source!Q195</f>
        <v>0</v>
      </c>
      <c r="N210" s="447">
        <f>Source!U195</f>
        <v>0</v>
      </c>
      <c r="O210" s="448">
        <f>Source!V195</f>
        <v>0</v>
      </c>
      <c r="P210" s="449"/>
      <c r="Q210" s="450">
        <f>Source!X195</f>
        <v>0</v>
      </c>
      <c r="R210" s="215">
        <f>Source!Z195</f>
        <v>0</v>
      </c>
      <c r="S210" s="223">
        <f>Source!AA195</f>
        <v>0</v>
      </c>
      <c r="T210" s="216">
        <f>IF(Devise=DeviseInterne,Source!AB195,Source!AC195)</f>
        <v>0</v>
      </c>
      <c r="U210" s="57"/>
      <c r="V210" s="78"/>
      <c r="W210" s="78"/>
      <c r="X210" s="41"/>
      <c r="Y210" s="42"/>
    </row>
    <row r="211" spans="1:25" s="43" customFormat="1" ht="30" customHeight="1" thickTop="1" thickBot="1">
      <c r="A211" s="68"/>
      <c r="B211" s="440">
        <f>Source!G196</f>
        <v>0</v>
      </c>
      <c r="C211" s="441">
        <f>Source!C196</f>
        <v>0</v>
      </c>
      <c r="D211" s="442">
        <f>Source!D196</f>
        <v>0</v>
      </c>
      <c r="E211" s="443">
        <f>Source!J196</f>
        <v>0</v>
      </c>
      <c r="F211" s="444">
        <f>Source!B196</f>
        <v>0</v>
      </c>
      <c r="G211" s="445">
        <f>Source!K196</f>
        <v>0</v>
      </c>
      <c r="H211" s="444">
        <f>Source!L196</f>
        <v>0</v>
      </c>
      <c r="I211" s="444">
        <f>Source!M196</f>
        <v>0</v>
      </c>
      <c r="J211" s="444">
        <f>Source!N196</f>
        <v>0</v>
      </c>
      <c r="K211" s="446">
        <f>Source!O196</f>
        <v>0</v>
      </c>
      <c r="L211" s="446">
        <f>Source!P196</f>
        <v>0</v>
      </c>
      <c r="M211" s="446">
        <f>Source!Q196</f>
        <v>0</v>
      </c>
      <c r="N211" s="447">
        <f>Source!U196</f>
        <v>0</v>
      </c>
      <c r="O211" s="448">
        <f>Source!V196</f>
        <v>0</v>
      </c>
      <c r="P211" s="449"/>
      <c r="Q211" s="450">
        <f>Source!X196</f>
        <v>0</v>
      </c>
      <c r="R211" s="215">
        <f>Source!Z196</f>
        <v>0</v>
      </c>
      <c r="S211" s="223">
        <f>Source!AA196</f>
        <v>0</v>
      </c>
      <c r="T211" s="216">
        <f>IF(Devise=DeviseInterne,Source!AB196,Source!AC196)</f>
        <v>0</v>
      </c>
      <c r="U211" s="57"/>
      <c r="V211" s="78"/>
      <c r="W211" s="78"/>
      <c r="X211" s="41"/>
      <c r="Y211" s="42"/>
    </row>
    <row r="212" spans="1:25" s="43" customFormat="1" ht="30" customHeight="1" thickTop="1" thickBot="1">
      <c r="A212" s="68"/>
      <c r="B212" s="440">
        <f>Source!G197</f>
        <v>0</v>
      </c>
      <c r="C212" s="441">
        <f>Source!C197</f>
        <v>0</v>
      </c>
      <c r="D212" s="442">
        <f>Source!D197</f>
        <v>0</v>
      </c>
      <c r="E212" s="443">
        <f>Source!J197</f>
        <v>0</v>
      </c>
      <c r="F212" s="444">
        <f>Source!B197</f>
        <v>0</v>
      </c>
      <c r="G212" s="445">
        <f>Source!K197</f>
        <v>0</v>
      </c>
      <c r="H212" s="444">
        <f>Source!L197</f>
        <v>0</v>
      </c>
      <c r="I212" s="444">
        <f>Source!M197</f>
        <v>0</v>
      </c>
      <c r="J212" s="444">
        <f>Source!N197</f>
        <v>0</v>
      </c>
      <c r="K212" s="446">
        <f>Source!O197</f>
        <v>0</v>
      </c>
      <c r="L212" s="446">
        <f>Source!P197</f>
        <v>0</v>
      </c>
      <c r="M212" s="446">
        <f>Source!Q197</f>
        <v>0</v>
      </c>
      <c r="N212" s="447">
        <f>Source!U197</f>
        <v>0</v>
      </c>
      <c r="O212" s="448">
        <f>Source!V197</f>
        <v>0</v>
      </c>
      <c r="P212" s="449"/>
      <c r="Q212" s="450">
        <f>Source!X197</f>
        <v>0</v>
      </c>
      <c r="R212" s="215">
        <f>Source!Z197</f>
        <v>0</v>
      </c>
      <c r="S212" s="223">
        <f>Source!AA197</f>
        <v>0</v>
      </c>
      <c r="T212" s="216">
        <f>IF(Devise=DeviseInterne,Source!AB197,Source!AC197)</f>
        <v>0</v>
      </c>
      <c r="U212" s="57"/>
      <c r="V212" s="78"/>
      <c r="W212" s="78"/>
      <c r="X212" s="41"/>
      <c r="Y212" s="42"/>
    </row>
    <row r="213" spans="1:25" s="43" customFormat="1" ht="30" customHeight="1" thickTop="1" thickBot="1">
      <c r="A213" s="68"/>
      <c r="B213" s="440">
        <f>Source!G198</f>
        <v>0</v>
      </c>
      <c r="C213" s="441">
        <f>Source!C198</f>
        <v>0</v>
      </c>
      <c r="D213" s="442">
        <f>Source!D198</f>
        <v>0</v>
      </c>
      <c r="E213" s="443">
        <f>Source!J198</f>
        <v>0</v>
      </c>
      <c r="F213" s="444">
        <f>Source!B198</f>
        <v>0</v>
      </c>
      <c r="G213" s="445">
        <f>Source!K198</f>
        <v>0</v>
      </c>
      <c r="H213" s="444">
        <f>Source!L198</f>
        <v>0</v>
      </c>
      <c r="I213" s="444">
        <f>Source!M198</f>
        <v>0</v>
      </c>
      <c r="J213" s="444">
        <f>Source!N198</f>
        <v>0</v>
      </c>
      <c r="K213" s="446">
        <f>Source!O198</f>
        <v>0</v>
      </c>
      <c r="L213" s="446">
        <f>Source!P198</f>
        <v>0</v>
      </c>
      <c r="M213" s="446">
        <f>Source!Q198</f>
        <v>0</v>
      </c>
      <c r="N213" s="447">
        <f>Source!U198</f>
        <v>0</v>
      </c>
      <c r="O213" s="448">
        <f>Source!V198</f>
        <v>0</v>
      </c>
      <c r="P213" s="449"/>
      <c r="Q213" s="450">
        <f>Source!X198</f>
        <v>0</v>
      </c>
      <c r="R213" s="215">
        <f>Source!Z198</f>
        <v>0</v>
      </c>
      <c r="S213" s="223">
        <f>Source!AA198</f>
        <v>0</v>
      </c>
      <c r="T213" s="216">
        <f>IF(Devise=DeviseInterne,Source!AB198,Source!AC198)</f>
        <v>0</v>
      </c>
      <c r="U213" s="57"/>
      <c r="V213" s="78"/>
      <c r="W213" s="78"/>
      <c r="X213" s="41"/>
      <c r="Y213" s="42"/>
    </row>
    <row r="214" spans="1:25" s="43" customFormat="1" ht="30" customHeight="1" thickTop="1" thickBot="1">
      <c r="A214" s="68"/>
      <c r="B214" s="440">
        <f>Source!G199</f>
        <v>0</v>
      </c>
      <c r="C214" s="441">
        <f>Source!C199</f>
        <v>0</v>
      </c>
      <c r="D214" s="442">
        <f>Source!D199</f>
        <v>0</v>
      </c>
      <c r="E214" s="443">
        <f>Source!J199</f>
        <v>0</v>
      </c>
      <c r="F214" s="444">
        <f>Source!B199</f>
        <v>0</v>
      </c>
      <c r="G214" s="445">
        <f>Source!K199</f>
        <v>0</v>
      </c>
      <c r="H214" s="444">
        <f>Source!L199</f>
        <v>0</v>
      </c>
      <c r="I214" s="444">
        <f>Source!M199</f>
        <v>0</v>
      </c>
      <c r="J214" s="444">
        <f>Source!N199</f>
        <v>0</v>
      </c>
      <c r="K214" s="446">
        <f>Source!O199</f>
        <v>0</v>
      </c>
      <c r="L214" s="446">
        <f>Source!P199</f>
        <v>0</v>
      </c>
      <c r="M214" s="446">
        <f>Source!Q199</f>
        <v>0</v>
      </c>
      <c r="N214" s="447">
        <f>Source!U199</f>
        <v>0</v>
      </c>
      <c r="O214" s="448">
        <f>Source!V199</f>
        <v>0</v>
      </c>
      <c r="P214" s="449"/>
      <c r="Q214" s="450">
        <f>Source!X199</f>
        <v>0</v>
      </c>
      <c r="R214" s="215">
        <f>Source!Z199</f>
        <v>0</v>
      </c>
      <c r="S214" s="223">
        <f>Source!AA199</f>
        <v>0</v>
      </c>
      <c r="T214" s="216">
        <f>IF(Devise=DeviseInterne,Source!AB199,Source!AC199)</f>
        <v>0</v>
      </c>
      <c r="U214" s="57"/>
      <c r="V214" s="78"/>
      <c r="W214" s="78"/>
      <c r="X214" s="41"/>
      <c r="Y214" s="42"/>
    </row>
    <row r="215" spans="1:25" s="43" customFormat="1" ht="30" customHeight="1" thickTop="1" thickBot="1">
      <c r="A215" s="68"/>
      <c r="B215" s="440">
        <f>Source!G200</f>
        <v>0</v>
      </c>
      <c r="C215" s="441">
        <f>Source!C200</f>
        <v>0</v>
      </c>
      <c r="D215" s="442">
        <f>Source!D200</f>
        <v>0</v>
      </c>
      <c r="E215" s="443">
        <f>Source!J200</f>
        <v>0</v>
      </c>
      <c r="F215" s="444">
        <f>Source!B200</f>
        <v>0</v>
      </c>
      <c r="G215" s="445">
        <f>Source!K200</f>
        <v>0</v>
      </c>
      <c r="H215" s="444">
        <f>Source!L200</f>
        <v>0</v>
      </c>
      <c r="I215" s="444">
        <f>Source!M200</f>
        <v>0</v>
      </c>
      <c r="J215" s="444">
        <f>Source!N200</f>
        <v>0</v>
      </c>
      <c r="K215" s="446">
        <f>Source!O200</f>
        <v>0</v>
      </c>
      <c r="L215" s="446">
        <f>Source!P200</f>
        <v>0</v>
      </c>
      <c r="M215" s="446">
        <f>Source!Q200</f>
        <v>0</v>
      </c>
      <c r="N215" s="447">
        <f>Source!U200</f>
        <v>0</v>
      </c>
      <c r="O215" s="448">
        <f>Source!V200</f>
        <v>0</v>
      </c>
      <c r="P215" s="449"/>
      <c r="Q215" s="450">
        <f>Source!X200</f>
        <v>0</v>
      </c>
      <c r="R215" s="215">
        <f>Source!Z200</f>
        <v>0</v>
      </c>
      <c r="S215" s="223">
        <f>Source!AA200</f>
        <v>0</v>
      </c>
      <c r="T215" s="216">
        <f>IF(Devise=DeviseInterne,Source!AB200,Source!AC200)</f>
        <v>0</v>
      </c>
      <c r="U215" s="57"/>
      <c r="V215" s="78"/>
      <c r="W215" s="78"/>
      <c r="X215" s="41"/>
      <c r="Y215" s="42"/>
    </row>
    <row r="216" spans="1:25" s="43" customFormat="1" ht="30" customHeight="1" thickTop="1" thickBot="1">
      <c r="A216" s="68"/>
      <c r="B216" s="440">
        <f>Source!G201</f>
        <v>0</v>
      </c>
      <c r="C216" s="441">
        <f>Source!C201</f>
        <v>0</v>
      </c>
      <c r="D216" s="442">
        <f>Source!D201</f>
        <v>0</v>
      </c>
      <c r="E216" s="443">
        <f>Source!J201</f>
        <v>0</v>
      </c>
      <c r="F216" s="444">
        <f>Source!B201</f>
        <v>0</v>
      </c>
      <c r="G216" s="445">
        <f>Source!K201</f>
        <v>0</v>
      </c>
      <c r="H216" s="444">
        <f>Source!L201</f>
        <v>0</v>
      </c>
      <c r="I216" s="444">
        <f>Source!M201</f>
        <v>0</v>
      </c>
      <c r="J216" s="444">
        <f>Source!N201</f>
        <v>0</v>
      </c>
      <c r="K216" s="446">
        <f>Source!O201</f>
        <v>0</v>
      </c>
      <c r="L216" s="446">
        <f>Source!P201</f>
        <v>0</v>
      </c>
      <c r="M216" s="446">
        <f>Source!Q201</f>
        <v>0</v>
      </c>
      <c r="N216" s="447">
        <f>Source!U201</f>
        <v>0</v>
      </c>
      <c r="O216" s="448">
        <f>Source!V201</f>
        <v>0</v>
      </c>
      <c r="P216" s="449"/>
      <c r="Q216" s="450">
        <f>Source!X201</f>
        <v>0</v>
      </c>
      <c r="R216" s="215">
        <f>Source!Z201</f>
        <v>0</v>
      </c>
      <c r="S216" s="223">
        <f>Source!AA201</f>
        <v>0</v>
      </c>
      <c r="T216" s="216">
        <f>IF(Devise=DeviseInterne,Source!AB201,Source!AC201)</f>
        <v>0</v>
      </c>
      <c r="U216" s="57"/>
      <c r="V216" s="78"/>
      <c r="W216" s="78"/>
      <c r="X216" s="41"/>
      <c r="Y216" s="42"/>
    </row>
    <row r="217" spans="1:25" s="43" customFormat="1" ht="30" customHeight="1" thickTop="1" thickBot="1">
      <c r="A217" s="68"/>
      <c r="B217" s="440">
        <f>Source!G202</f>
        <v>0</v>
      </c>
      <c r="C217" s="441">
        <f>Source!C202</f>
        <v>0</v>
      </c>
      <c r="D217" s="442">
        <f>Source!D202</f>
        <v>0</v>
      </c>
      <c r="E217" s="443">
        <f>Source!J202</f>
        <v>0</v>
      </c>
      <c r="F217" s="444">
        <f>Source!B202</f>
        <v>0</v>
      </c>
      <c r="G217" s="445">
        <f>Source!K202</f>
        <v>0</v>
      </c>
      <c r="H217" s="444">
        <f>Source!L202</f>
        <v>0</v>
      </c>
      <c r="I217" s="444">
        <f>Source!M202</f>
        <v>0</v>
      </c>
      <c r="J217" s="444">
        <f>Source!N202</f>
        <v>0</v>
      </c>
      <c r="K217" s="446">
        <f>Source!O202</f>
        <v>0</v>
      </c>
      <c r="L217" s="446">
        <f>Source!P202</f>
        <v>0</v>
      </c>
      <c r="M217" s="446">
        <f>Source!Q202</f>
        <v>0</v>
      </c>
      <c r="N217" s="447">
        <f>Source!U202</f>
        <v>0</v>
      </c>
      <c r="O217" s="448">
        <f>Source!V202</f>
        <v>0</v>
      </c>
      <c r="P217" s="449"/>
      <c r="Q217" s="450">
        <f>Source!X202</f>
        <v>0</v>
      </c>
      <c r="R217" s="215">
        <f>Source!Z202</f>
        <v>0</v>
      </c>
      <c r="S217" s="223">
        <f>Source!AA202</f>
        <v>0</v>
      </c>
      <c r="T217" s="216">
        <f>IF(Devise=DeviseInterne,Source!AB202,Source!AC202)</f>
        <v>0</v>
      </c>
      <c r="U217" s="57"/>
      <c r="V217" s="78"/>
      <c r="W217" s="78"/>
      <c r="X217" s="41"/>
      <c r="Y217" s="42"/>
    </row>
    <row r="218" spans="1:25" s="43" customFormat="1" ht="30" customHeight="1" thickTop="1" thickBot="1">
      <c r="A218" s="68"/>
      <c r="B218" s="440">
        <f>Source!G203</f>
        <v>0</v>
      </c>
      <c r="C218" s="441">
        <f>Source!C203</f>
        <v>0</v>
      </c>
      <c r="D218" s="442">
        <f>Source!D203</f>
        <v>0</v>
      </c>
      <c r="E218" s="443">
        <f>Source!J203</f>
        <v>0</v>
      </c>
      <c r="F218" s="444">
        <f>Source!B203</f>
        <v>0</v>
      </c>
      <c r="G218" s="445">
        <f>Source!K203</f>
        <v>0</v>
      </c>
      <c r="H218" s="444">
        <f>Source!L203</f>
        <v>0</v>
      </c>
      <c r="I218" s="444">
        <f>Source!M203</f>
        <v>0</v>
      </c>
      <c r="J218" s="444">
        <f>Source!N203</f>
        <v>0</v>
      </c>
      <c r="K218" s="446">
        <f>Source!O203</f>
        <v>0</v>
      </c>
      <c r="L218" s="446">
        <f>Source!P203</f>
        <v>0</v>
      </c>
      <c r="M218" s="446">
        <f>Source!Q203</f>
        <v>0</v>
      </c>
      <c r="N218" s="447">
        <f>Source!U203</f>
        <v>0</v>
      </c>
      <c r="O218" s="448">
        <f>Source!V203</f>
        <v>0</v>
      </c>
      <c r="P218" s="449"/>
      <c r="Q218" s="450">
        <f>Source!X203</f>
        <v>0</v>
      </c>
      <c r="R218" s="215">
        <f>Source!Z203</f>
        <v>0</v>
      </c>
      <c r="S218" s="223">
        <f>Source!AA203</f>
        <v>0</v>
      </c>
      <c r="T218" s="216">
        <f>IF(Devise=DeviseInterne,Source!AB203,Source!AC203)</f>
        <v>0</v>
      </c>
      <c r="U218" s="57"/>
      <c r="V218" s="78"/>
      <c r="W218" s="78"/>
      <c r="X218" s="41"/>
      <c r="Y218" s="42"/>
    </row>
    <row r="219" spans="1:25" s="43" customFormat="1" ht="30" customHeight="1" thickTop="1" thickBot="1">
      <c r="A219" s="68"/>
      <c r="B219" s="440">
        <f>Source!G204</f>
        <v>0</v>
      </c>
      <c r="C219" s="441">
        <f>Source!C204</f>
        <v>0</v>
      </c>
      <c r="D219" s="442">
        <f>Source!D204</f>
        <v>0</v>
      </c>
      <c r="E219" s="443">
        <f>Source!J204</f>
        <v>0</v>
      </c>
      <c r="F219" s="444">
        <f>Source!B204</f>
        <v>0</v>
      </c>
      <c r="G219" s="445">
        <f>Source!K204</f>
        <v>0</v>
      </c>
      <c r="H219" s="444">
        <f>Source!L204</f>
        <v>0</v>
      </c>
      <c r="I219" s="444">
        <f>Source!M204</f>
        <v>0</v>
      </c>
      <c r="J219" s="444">
        <f>Source!N204</f>
        <v>0</v>
      </c>
      <c r="K219" s="446">
        <f>Source!O204</f>
        <v>0</v>
      </c>
      <c r="L219" s="446">
        <f>Source!P204</f>
        <v>0</v>
      </c>
      <c r="M219" s="446">
        <f>Source!Q204</f>
        <v>0</v>
      </c>
      <c r="N219" s="447">
        <f>Source!U204</f>
        <v>0</v>
      </c>
      <c r="O219" s="448">
        <f>Source!V204</f>
        <v>0</v>
      </c>
      <c r="P219" s="449"/>
      <c r="Q219" s="450">
        <f>Source!X204</f>
        <v>0</v>
      </c>
      <c r="R219" s="215">
        <f>Source!Z204</f>
        <v>0</v>
      </c>
      <c r="S219" s="223">
        <f>Source!AA204</f>
        <v>0</v>
      </c>
      <c r="T219" s="216">
        <f>IF(Devise=DeviseInterne,Source!AB204,Source!AC204)</f>
        <v>0</v>
      </c>
      <c r="U219" s="57"/>
      <c r="V219" s="78"/>
      <c r="W219" s="78"/>
      <c r="X219" s="41"/>
      <c r="Y219" s="42"/>
    </row>
    <row r="220" spans="1:25" s="43" customFormat="1" ht="30" customHeight="1" thickTop="1" thickBot="1">
      <c r="A220" s="68"/>
      <c r="B220" s="440">
        <f>Source!G205</f>
        <v>0</v>
      </c>
      <c r="C220" s="441">
        <f>Source!C205</f>
        <v>0</v>
      </c>
      <c r="D220" s="442">
        <f>Source!D205</f>
        <v>0</v>
      </c>
      <c r="E220" s="443">
        <f>Source!J205</f>
        <v>0</v>
      </c>
      <c r="F220" s="444">
        <f>Source!B205</f>
        <v>0</v>
      </c>
      <c r="G220" s="445">
        <f>Source!K205</f>
        <v>0</v>
      </c>
      <c r="H220" s="444">
        <f>Source!L205</f>
        <v>0</v>
      </c>
      <c r="I220" s="444">
        <f>Source!M205</f>
        <v>0</v>
      </c>
      <c r="J220" s="444">
        <f>Source!N205</f>
        <v>0</v>
      </c>
      <c r="K220" s="446">
        <f>Source!O205</f>
        <v>0</v>
      </c>
      <c r="L220" s="446">
        <f>Source!P205</f>
        <v>0</v>
      </c>
      <c r="M220" s="446">
        <f>Source!Q205</f>
        <v>0</v>
      </c>
      <c r="N220" s="447">
        <f>Source!U205</f>
        <v>0</v>
      </c>
      <c r="O220" s="448">
        <f>Source!V205</f>
        <v>0</v>
      </c>
      <c r="P220" s="449"/>
      <c r="Q220" s="450">
        <f>Source!X205</f>
        <v>0</v>
      </c>
      <c r="R220" s="215">
        <f>Source!Z205</f>
        <v>0</v>
      </c>
      <c r="S220" s="223">
        <f>Source!AA205</f>
        <v>0</v>
      </c>
      <c r="T220" s="216">
        <f>IF(Devise=DeviseInterne,Source!AB205,Source!AC205)</f>
        <v>0</v>
      </c>
      <c r="U220" s="57"/>
      <c r="V220" s="78"/>
      <c r="W220" s="78"/>
      <c r="X220" s="41"/>
      <c r="Y220" s="42"/>
    </row>
    <row r="221" spans="1:25" s="43" customFormat="1" ht="30" customHeight="1" thickTop="1" thickBot="1">
      <c r="A221" s="68"/>
      <c r="B221" s="440">
        <f>Source!G206</f>
        <v>0</v>
      </c>
      <c r="C221" s="441">
        <f>Source!C206</f>
        <v>0</v>
      </c>
      <c r="D221" s="442">
        <f>Source!D206</f>
        <v>0</v>
      </c>
      <c r="E221" s="443">
        <f>Source!J206</f>
        <v>0</v>
      </c>
      <c r="F221" s="444">
        <f>Source!B206</f>
        <v>0</v>
      </c>
      <c r="G221" s="445">
        <f>Source!K206</f>
        <v>0</v>
      </c>
      <c r="H221" s="444">
        <f>Source!L206</f>
        <v>0</v>
      </c>
      <c r="I221" s="444">
        <f>Source!M206</f>
        <v>0</v>
      </c>
      <c r="J221" s="444">
        <f>Source!N206</f>
        <v>0</v>
      </c>
      <c r="K221" s="446">
        <f>Source!O206</f>
        <v>0</v>
      </c>
      <c r="L221" s="446">
        <f>Source!P206</f>
        <v>0</v>
      </c>
      <c r="M221" s="446">
        <f>Source!Q206</f>
        <v>0</v>
      </c>
      <c r="N221" s="447">
        <f>Source!U206</f>
        <v>0</v>
      </c>
      <c r="O221" s="448">
        <f>Source!V206</f>
        <v>0</v>
      </c>
      <c r="P221" s="449"/>
      <c r="Q221" s="450">
        <f>Source!X206</f>
        <v>0</v>
      </c>
      <c r="R221" s="215">
        <f>Source!Z206</f>
        <v>0</v>
      </c>
      <c r="S221" s="223">
        <f>Source!AA206</f>
        <v>0</v>
      </c>
      <c r="T221" s="216">
        <f>IF(Devise=DeviseInterne,Source!AB206,Source!AC206)</f>
        <v>0</v>
      </c>
      <c r="U221" s="57"/>
      <c r="V221" s="78"/>
      <c r="W221" s="78"/>
      <c r="X221" s="41"/>
      <c r="Y221" s="42"/>
    </row>
    <row r="222" spans="1:25" s="43" customFormat="1" ht="30" customHeight="1" thickTop="1" thickBot="1">
      <c r="A222" s="68"/>
      <c r="B222" s="440">
        <f>Source!G207</f>
        <v>0</v>
      </c>
      <c r="C222" s="441">
        <f>Source!C207</f>
        <v>0</v>
      </c>
      <c r="D222" s="442">
        <f>Source!D207</f>
        <v>0</v>
      </c>
      <c r="E222" s="443">
        <f>Source!J207</f>
        <v>0</v>
      </c>
      <c r="F222" s="444">
        <f>Source!B207</f>
        <v>0</v>
      </c>
      <c r="G222" s="445">
        <f>Source!K207</f>
        <v>0</v>
      </c>
      <c r="H222" s="444">
        <f>Source!L207</f>
        <v>0</v>
      </c>
      <c r="I222" s="444">
        <f>Source!M207</f>
        <v>0</v>
      </c>
      <c r="J222" s="444">
        <f>Source!N207</f>
        <v>0</v>
      </c>
      <c r="K222" s="446">
        <f>Source!O207</f>
        <v>0</v>
      </c>
      <c r="L222" s="446">
        <f>Source!P207</f>
        <v>0</v>
      </c>
      <c r="M222" s="446">
        <f>Source!Q207</f>
        <v>0</v>
      </c>
      <c r="N222" s="447">
        <f>Source!U207</f>
        <v>0</v>
      </c>
      <c r="O222" s="448">
        <f>Source!V207</f>
        <v>0</v>
      </c>
      <c r="P222" s="449"/>
      <c r="Q222" s="450">
        <f>Source!X207</f>
        <v>0</v>
      </c>
      <c r="R222" s="215">
        <f>Source!Z207</f>
        <v>0</v>
      </c>
      <c r="S222" s="223">
        <f>Source!AA207</f>
        <v>0</v>
      </c>
      <c r="T222" s="216">
        <f>IF(Devise=DeviseInterne,Source!AB207,Source!AC207)</f>
        <v>0</v>
      </c>
      <c r="U222" s="57"/>
      <c r="V222" s="78"/>
      <c r="W222" s="78"/>
      <c r="X222" s="41"/>
      <c r="Y222" s="42"/>
    </row>
    <row r="223" spans="1:25" s="43" customFormat="1" ht="30" customHeight="1" thickTop="1" thickBot="1">
      <c r="A223" s="68"/>
      <c r="B223" s="440">
        <f>Source!G208</f>
        <v>0</v>
      </c>
      <c r="C223" s="441">
        <f>Source!C208</f>
        <v>0</v>
      </c>
      <c r="D223" s="442">
        <f>Source!D208</f>
        <v>0</v>
      </c>
      <c r="E223" s="443">
        <f>Source!J208</f>
        <v>0</v>
      </c>
      <c r="F223" s="444">
        <f>Source!B208</f>
        <v>0</v>
      </c>
      <c r="G223" s="445">
        <f>Source!K208</f>
        <v>0</v>
      </c>
      <c r="H223" s="444">
        <f>Source!L208</f>
        <v>0</v>
      </c>
      <c r="I223" s="444">
        <f>Source!M208</f>
        <v>0</v>
      </c>
      <c r="J223" s="444">
        <f>Source!N208</f>
        <v>0</v>
      </c>
      <c r="K223" s="446">
        <f>Source!O208</f>
        <v>0</v>
      </c>
      <c r="L223" s="446">
        <f>Source!P208</f>
        <v>0</v>
      </c>
      <c r="M223" s="446">
        <f>Source!Q208</f>
        <v>0</v>
      </c>
      <c r="N223" s="447">
        <f>Source!U208</f>
        <v>0</v>
      </c>
      <c r="O223" s="448">
        <f>Source!V208</f>
        <v>0</v>
      </c>
      <c r="P223" s="449"/>
      <c r="Q223" s="450">
        <f>Source!X208</f>
        <v>0</v>
      </c>
      <c r="R223" s="215">
        <f>Source!Z208</f>
        <v>0</v>
      </c>
      <c r="S223" s="223">
        <f>Source!AA208</f>
        <v>0</v>
      </c>
      <c r="T223" s="216">
        <f>IF(Devise=DeviseInterne,Source!AB208,Source!AC208)</f>
        <v>0</v>
      </c>
      <c r="U223" s="57"/>
      <c r="V223" s="78"/>
      <c r="W223" s="78"/>
      <c r="X223" s="41"/>
      <c r="Y223" s="42"/>
    </row>
    <row r="224" spans="1:25" s="43" customFormat="1" ht="30" customHeight="1" thickTop="1" thickBot="1">
      <c r="A224" s="68"/>
      <c r="B224" s="440">
        <f>Source!G209</f>
        <v>0</v>
      </c>
      <c r="C224" s="441">
        <f>Source!C209</f>
        <v>0</v>
      </c>
      <c r="D224" s="442">
        <f>Source!D209</f>
        <v>0</v>
      </c>
      <c r="E224" s="443">
        <f>Source!J209</f>
        <v>0</v>
      </c>
      <c r="F224" s="444">
        <f>Source!B209</f>
        <v>0</v>
      </c>
      <c r="G224" s="445">
        <f>Source!K209</f>
        <v>0</v>
      </c>
      <c r="H224" s="444">
        <f>Source!L209</f>
        <v>0</v>
      </c>
      <c r="I224" s="444">
        <f>Source!M209</f>
        <v>0</v>
      </c>
      <c r="J224" s="444">
        <f>Source!N209</f>
        <v>0</v>
      </c>
      <c r="K224" s="446">
        <f>Source!O209</f>
        <v>0</v>
      </c>
      <c r="L224" s="446">
        <f>Source!P209</f>
        <v>0</v>
      </c>
      <c r="M224" s="446">
        <f>Source!Q209</f>
        <v>0</v>
      </c>
      <c r="N224" s="447">
        <f>Source!U209</f>
        <v>0</v>
      </c>
      <c r="O224" s="448">
        <f>Source!V209</f>
        <v>0</v>
      </c>
      <c r="P224" s="449"/>
      <c r="Q224" s="450">
        <f>Source!X209</f>
        <v>0</v>
      </c>
      <c r="R224" s="215">
        <f>Source!Z209</f>
        <v>0</v>
      </c>
      <c r="S224" s="223">
        <f>Source!AA209</f>
        <v>0</v>
      </c>
      <c r="T224" s="216">
        <f>IF(Devise=DeviseInterne,Source!AB209,Source!AC209)</f>
        <v>0</v>
      </c>
      <c r="U224" s="57"/>
      <c r="V224" s="78"/>
      <c r="W224" s="78"/>
      <c r="X224" s="41"/>
      <c r="Y224" s="42"/>
    </row>
    <row r="225" spans="1:25" s="43" customFormat="1" ht="30" customHeight="1" thickTop="1" thickBot="1">
      <c r="A225" s="68"/>
      <c r="B225" s="440">
        <f>Source!G210</f>
        <v>0</v>
      </c>
      <c r="C225" s="441">
        <f>Source!C210</f>
        <v>0</v>
      </c>
      <c r="D225" s="442">
        <f>Source!D210</f>
        <v>0</v>
      </c>
      <c r="E225" s="443">
        <f>Source!J210</f>
        <v>0</v>
      </c>
      <c r="F225" s="444">
        <f>Source!B210</f>
        <v>0</v>
      </c>
      <c r="G225" s="445">
        <f>Source!K210</f>
        <v>0</v>
      </c>
      <c r="H225" s="444">
        <f>Source!L210</f>
        <v>0</v>
      </c>
      <c r="I225" s="444">
        <f>Source!M210</f>
        <v>0</v>
      </c>
      <c r="J225" s="444">
        <f>Source!N210</f>
        <v>0</v>
      </c>
      <c r="K225" s="446">
        <f>Source!O210</f>
        <v>0</v>
      </c>
      <c r="L225" s="446">
        <f>Source!P210</f>
        <v>0</v>
      </c>
      <c r="M225" s="446">
        <f>Source!Q210</f>
        <v>0</v>
      </c>
      <c r="N225" s="447">
        <f>Source!U210</f>
        <v>0</v>
      </c>
      <c r="O225" s="448">
        <f>Source!V210</f>
        <v>0</v>
      </c>
      <c r="P225" s="449"/>
      <c r="Q225" s="450">
        <f>Source!X210</f>
        <v>0</v>
      </c>
      <c r="R225" s="215">
        <f>Source!Z210</f>
        <v>0</v>
      </c>
      <c r="S225" s="223">
        <f>Source!AA210</f>
        <v>0</v>
      </c>
      <c r="T225" s="216">
        <f>IF(Devise=DeviseInterne,Source!AB210,Source!AC210)</f>
        <v>0</v>
      </c>
      <c r="U225" s="57"/>
      <c r="V225" s="78"/>
      <c r="W225" s="78"/>
      <c r="X225" s="41"/>
      <c r="Y225" s="42"/>
    </row>
    <row r="226" spans="1:25" s="43" customFormat="1" ht="30" customHeight="1" thickTop="1" thickBot="1">
      <c r="A226" s="68"/>
      <c r="B226" s="440">
        <f>Source!G211</f>
        <v>0</v>
      </c>
      <c r="C226" s="441">
        <f>Source!C211</f>
        <v>0</v>
      </c>
      <c r="D226" s="442">
        <f>Source!D211</f>
        <v>0</v>
      </c>
      <c r="E226" s="443">
        <f>Source!J211</f>
        <v>0</v>
      </c>
      <c r="F226" s="444">
        <f>Source!B211</f>
        <v>0</v>
      </c>
      <c r="G226" s="445">
        <f>Source!K211</f>
        <v>0</v>
      </c>
      <c r="H226" s="444">
        <f>Source!L211</f>
        <v>0</v>
      </c>
      <c r="I226" s="444">
        <f>Source!M211</f>
        <v>0</v>
      </c>
      <c r="J226" s="444">
        <f>Source!N211</f>
        <v>0</v>
      </c>
      <c r="K226" s="446">
        <f>Source!O211</f>
        <v>0</v>
      </c>
      <c r="L226" s="446">
        <f>Source!P211</f>
        <v>0</v>
      </c>
      <c r="M226" s="446">
        <f>Source!Q211</f>
        <v>0</v>
      </c>
      <c r="N226" s="447">
        <f>Source!U211</f>
        <v>0</v>
      </c>
      <c r="O226" s="448">
        <f>Source!V211</f>
        <v>0</v>
      </c>
      <c r="P226" s="449"/>
      <c r="Q226" s="450">
        <f>Source!X211</f>
        <v>0</v>
      </c>
      <c r="R226" s="215">
        <f>Source!Z211</f>
        <v>0</v>
      </c>
      <c r="S226" s="223">
        <f>Source!AA211</f>
        <v>0</v>
      </c>
      <c r="T226" s="216">
        <f>IF(Devise=DeviseInterne,Source!AB211,Source!AC211)</f>
        <v>0</v>
      </c>
      <c r="U226" s="57"/>
      <c r="V226" s="78"/>
      <c r="W226" s="78"/>
      <c r="X226" s="41"/>
      <c r="Y226" s="42"/>
    </row>
    <row r="227" spans="1:25" s="43" customFormat="1" ht="30" customHeight="1" thickTop="1" thickBot="1">
      <c r="A227" s="68"/>
      <c r="B227" s="440">
        <f>Source!G212</f>
        <v>0</v>
      </c>
      <c r="C227" s="441">
        <f>Source!C212</f>
        <v>0</v>
      </c>
      <c r="D227" s="442">
        <f>Source!D212</f>
        <v>0</v>
      </c>
      <c r="E227" s="443">
        <f>Source!J212</f>
        <v>0</v>
      </c>
      <c r="F227" s="444">
        <f>Source!B212</f>
        <v>0</v>
      </c>
      <c r="G227" s="445">
        <f>Source!K212</f>
        <v>0</v>
      </c>
      <c r="H227" s="444">
        <f>Source!L212</f>
        <v>0</v>
      </c>
      <c r="I227" s="444">
        <f>Source!M212</f>
        <v>0</v>
      </c>
      <c r="J227" s="444">
        <f>Source!N212</f>
        <v>0</v>
      </c>
      <c r="K227" s="446">
        <f>Source!O212</f>
        <v>0</v>
      </c>
      <c r="L227" s="446">
        <f>Source!P212</f>
        <v>0</v>
      </c>
      <c r="M227" s="446">
        <f>Source!Q212</f>
        <v>0</v>
      </c>
      <c r="N227" s="447">
        <f>Source!U212</f>
        <v>0</v>
      </c>
      <c r="O227" s="448">
        <f>Source!V212</f>
        <v>0</v>
      </c>
      <c r="P227" s="449"/>
      <c r="Q227" s="450">
        <f>Source!X212</f>
        <v>0</v>
      </c>
      <c r="R227" s="215">
        <f>Source!Z212</f>
        <v>0</v>
      </c>
      <c r="S227" s="223">
        <f>Source!AA212</f>
        <v>0</v>
      </c>
      <c r="T227" s="216">
        <f>IF(Devise=DeviseInterne,Source!AB212,Source!AC212)</f>
        <v>0</v>
      </c>
      <c r="U227" s="57"/>
      <c r="V227" s="78"/>
      <c r="W227" s="78"/>
      <c r="X227" s="41"/>
      <c r="Y227" s="42"/>
    </row>
    <row r="228" spans="1:25" s="43" customFormat="1" ht="30" customHeight="1" thickTop="1" thickBot="1">
      <c r="A228" s="68"/>
      <c r="B228" s="440">
        <f>Source!G213</f>
        <v>0</v>
      </c>
      <c r="C228" s="441">
        <f>Source!C213</f>
        <v>0</v>
      </c>
      <c r="D228" s="442">
        <f>Source!D213</f>
        <v>0</v>
      </c>
      <c r="E228" s="443">
        <f>Source!J213</f>
        <v>0</v>
      </c>
      <c r="F228" s="444">
        <f>Source!B213</f>
        <v>0</v>
      </c>
      <c r="G228" s="445">
        <f>Source!K213</f>
        <v>0</v>
      </c>
      <c r="H228" s="444">
        <f>Source!L213</f>
        <v>0</v>
      </c>
      <c r="I228" s="444">
        <f>Source!M213</f>
        <v>0</v>
      </c>
      <c r="J228" s="444">
        <f>Source!N213</f>
        <v>0</v>
      </c>
      <c r="K228" s="446">
        <f>Source!O213</f>
        <v>0</v>
      </c>
      <c r="L228" s="446">
        <f>Source!P213</f>
        <v>0</v>
      </c>
      <c r="M228" s="446">
        <f>Source!Q213</f>
        <v>0</v>
      </c>
      <c r="N228" s="447">
        <f>Source!U213</f>
        <v>0</v>
      </c>
      <c r="O228" s="448">
        <f>Source!V213</f>
        <v>0</v>
      </c>
      <c r="P228" s="449"/>
      <c r="Q228" s="450">
        <f>Source!X213</f>
        <v>0</v>
      </c>
      <c r="R228" s="215">
        <f>Source!Z213</f>
        <v>0</v>
      </c>
      <c r="S228" s="223">
        <f>Source!AA213</f>
        <v>0</v>
      </c>
      <c r="T228" s="216">
        <f>IF(Devise=DeviseInterne,Source!AB213,Source!AC213)</f>
        <v>0</v>
      </c>
      <c r="U228" s="57"/>
      <c r="V228" s="78"/>
      <c r="W228" s="78"/>
      <c r="X228" s="41"/>
      <c r="Y228" s="42"/>
    </row>
    <row r="229" spans="1:25" s="43" customFormat="1" ht="30" customHeight="1" thickTop="1" thickBot="1">
      <c r="A229" s="68"/>
      <c r="B229" s="440">
        <f>Source!G214</f>
        <v>0</v>
      </c>
      <c r="C229" s="441">
        <f>Source!C214</f>
        <v>0</v>
      </c>
      <c r="D229" s="442">
        <f>Source!D214</f>
        <v>0</v>
      </c>
      <c r="E229" s="443">
        <f>Source!J214</f>
        <v>0</v>
      </c>
      <c r="F229" s="444">
        <f>Source!B214</f>
        <v>0</v>
      </c>
      <c r="G229" s="445">
        <f>Source!K214</f>
        <v>0</v>
      </c>
      <c r="H229" s="444">
        <f>Source!L214</f>
        <v>0</v>
      </c>
      <c r="I229" s="444">
        <f>Source!M214</f>
        <v>0</v>
      </c>
      <c r="J229" s="444">
        <f>Source!N214</f>
        <v>0</v>
      </c>
      <c r="K229" s="446">
        <f>Source!O214</f>
        <v>0</v>
      </c>
      <c r="L229" s="446">
        <f>Source!P214</f>
        <v>0</v>
      </c>
      <c r="M229" s="446">
        <f>Source!Q214</f>
        <v>0</v>
      </c>
      <c r="N229" s="447">
        <f>Source!U214</f>
        <v>0</v>
      </c>
      <c r="O229" s="448">
        <f>Source!V214</f>
        <v>0</v>
      </c>
      <c r="P229" s="449"/>
      <c r="Q229" s="450">
        <f>Source!X214</f>
        <v>0</v>
      </c>
      <c r="R229" s="215">
        <f>Source!Z214</f>
        <v>0</v>
      </c>
      <c r="S229" s="223">
        <f>Source!AA214</f>
        <v>0</v>
      </c>
      <c r="T229" s="216">
        <f>IF(Devise=DeviseInterne,Source!AB214,Source!AC214)</f>
        <v>0</v>
      </c>
      <c r="U229" s="57"/>
      <c r="V229" s="78"/>
      <c r="W229" s="78"/>
      <c r="X229" s="41"/>
      <c r="Y229" s="42"/>
    </row>
    <row r="230" spans="1:25" s="43" customFormat="1" ht="30" customHeight="1" thickTop="1" thickBot="1">
      <c r="A230" s="68"/>
      <c r="B230" s="440">
        <f>Source!G215</f>
        <v>0</v>
      </c>
      <c r="C230" s="441">
        <f>Source!C215</f>
        <v>0</v>
      </c>
      <c r="D230" s="442">
        <f>Source!D215</f>
        <v>0</v>
      </c>
      <c r="E230" s="443">
        <f>Source!J215</f>
        <v>0</v>
      </c>
      <c r="F230" s="444">
        <f>Source!B215</f>
        <v>0</v>
      </c>
      <c r="G230" s="445">
        <f>Source!K215</f>
        <v>0</v>
      </c>
      <c r="H230" s="444">
        <f>Source!L215</f>
        <v>0</v>
      </c>
      <c r="I230" s="444">
        <f>Source!M215</f>
        <v>0</v>
      </c>
      <c r="J230" s="444">
        <f>Source!N215</f>
        <v>0</v>
      </c>
      <c r="K230" s="446">
        <f>Source!O215</f>
        <v>0</v>
      </c>
      <c r="L230" s="446">
        <f>Source!P215</f>
        <v>0</v>
      </c>
      <c r="M230" s="446">
        <f>Source!Q215</f>
        <v>0</v>
      </c>
      <c r="N230" s="447">
        <f>Source!U215</f>
        <v>0</v>
      </c>
      <c r="O230" s="448">
        <f>Source!V215</f>
        <v>0</v>
      </c>
      <c r="P230" s="449"/>
      <c r="Q230" s="450">
        <f>Source!X215</f>
        <v>0</v>
      </c>
      <c r="R230" s="215">
        <f>Source!Z215</f>
        <v>0</v>
      </c>
      <c r="S230" s="223">
        <f>Source!AA215</f>
        <v>0</v>
      </c>
      <c r="T230" s="216">
        <f>IF(Devise=DeviseInterne,Source!AB215,Source!AC215)</f>
        <v>0</v>
      </c>
      <c r="U230" s="57"/>
      <c r="V230" s="78"/>
      <c r="W230" s="78"/>
      <c r="X230" s="41"/>
      <c r="Y230" s="42"/>
    </row>
    <row r="231" spans="1:25" s="43" customFormat="1" ht="30" customHeight="1" thickTop="1" thickBot="1">
      <c r="A231" s="68"/>
      <c r="B231" s="440">
        <f>Source!G216</f>
        <v>0</v>
      </c>
      <c r="C231" s="441">
        <f>Source!C216</f>
        <v>0</v>
      </c>
      <c r="D231" s="442">
        <f>Source!D216</f>
        <v>0</v>
      </c>
      <c r="E231" s="443">
        <f>Source!J216</f>
        <v>0</v>
      </c>
      <c r="F231" s="444">
        <f>Source!B216</f>
        <v>0</v>
      </c>
      <c r="G231" s="445">
        <f>Source!K216</f>
        <v>0</v>
      </c>
      <c r="H231" s="444">
        <f>Source!L216</f>
        <v>0</v>
      </c>
      <c r="I231" s="444">
        <f>Source!M216</f>
        <v>0</v>
      </c>
      <c r="J231" s="444">
        <f>Source!N216</f>
        <v>0</v>
      </c>
      <c r="K231" s="446">
        <f>Source!O216</f>
        <v>0</v>
      </c>
      <c r="L231" s="446">
        <f>Source!P216</f>
        <v>0</v>
      </c>
      <c r="M231" s="446">
        <f>Source!Q216</f>
        <v>0</v>
      </c>
      <c r="N231" s="447">
        <f>Source!U216</f>
        <v>0</v>
      </c>
      <c r="O231" s="448">
        <f>Source!V216</f>
        <v>0</v>
      </c>
      <c r="P231" s="449"/>
      <c r="Q231" s="450">
        <f>Source!X216</f>
        <v>0</v>
      </c>
      <c r="R231" s="215">
        <f>Source!Z216</f>
        <v>0</v>
      </c>
      <c r="S231" s="223">
        <f>Source!AA216</f>
        <v>0</v>
      </c>
      <c r="T231" s="216">
        <f>IF(Devise=DeviseInterne,Source!AB216,Source!AC216)</f>
        <v>0</v>
      </c>
      <c r="U231" s="57"/>
      <c r="V231" s="78"/>
      <c r="W231" s="78"/>
      <c r="X231" s="41"/>
      <c r="Y231" s="42"/>
    </row>
    <row r="232" spans="1:25" s="43" customFormat="1" ht="30" customHeight="1" thickTop="1" thickBot="1">
      <c r="A232" s="68"/>
      <c r="B232" s="440">
        <f>Source!G217</f>
        <v>0</v>
      </c>
      <c r="C232" s="441">
        <f>Source!C217</f>
        <v>0</v>
      </c>
      <c r="D232" s="442">
        <f>Source!D217</f>
        <v>0</v>
      </c>
      <c r="E232" s="443">
        <f>Source!J217</f>
        <v>0</v>
      </c>
      <c r="F232" s="444">
        <f>Source!B217</f>
        <v>0</v>
      </c>
      <c r="G232" s="445">
        <f>Source!K217</f>
        <v>0</v>
      </c>
      <c r="H232" s="444">
        <f>Source!L217</f>
        <v>0</v>
      </c>
      <c r="I232" s="444">
        <f>Source!M217</f>
        <v>0</v>
      </c>
      <c r="J232" s="444">
        <f>Source!N217</f>
        <v>0</v>
      </c>
      <c r="K232" s="446">
        <f>Source!O217</f>
        <v>0</v>
      </c>
      <c r="L232" s="446">
        <f>Source!P217</f>
        <v>0</v>
      </c>
      <c r="M232" s="446">
        <f>Source!Q217</f>
        <v>0</v>
      </c>
      <c r="N232" s="447">
        <f>Source!U217</f>
        <v>0</v>
      </c>
      <c r="O232" s="448">
        <f>Source!V217</f>
        <v>0</v>
      </c>
      <c r="P232" s="449"/>
      <c r="Q232" s="450">
        <f>Source!X217</f>
        <v>0</v>
      </c>
      <c r="R232" s="215">
        <f>Source!Z217</f>
        <v>0</v>
      </c>
      <c r="S232" s="223">
        <f>Source!AA217</f>
        <v>0</v>
      </c>
      <c r="T232" s="216">
        <f>IF(Devise=DeviseInterne,Source!AB217,Source!AC217)</f>
        <v>0</v>
      </c>
      <c r="U232" s="57"/>
      <c r="V232" s="78"/>
      <c r="W232" s="78"/>
      <c r="X232" s="41"/>
      <c r="Y232" s="42"/>
    </row>
    <row r="233" spans="1:25" s="43" customFormat="1" ht="30" customHeight="1" thickTop="1" thickBot="1">
      <c r="A233" s="68"/>
      <c r="B233" s="440">
        <f>Source!G218</f>
        <v>0</v>
      </c>
      <c r="C233" s="441">
        <f>Source!C218</f>
        <v>0</v>
      </c>
      <c r="D233" s="442">
        <f>Source!D218</f>
        <v>0</v>
      </c>
      <c r="E233" s="443">
        <f>Source!J218</f>
        <v>0</v>
      </c>
      <c r="F233" s="444">
        <f>Source!B218</f>
        <v>0</v>
      </c>
      <c r="G233" s="445">
        <f>Source!K218</f>
        <v>0</v>
      </c>
      <c r="H233" s="444">
        <f>Source!L218</f>
        <v>0</v>
      </c>
      <c r="I233" s="444">
        <f>Source!M218</f>
        <v>0</v>
      </c>
      <c r="J233" s="444">
        <f>Source!N218</f>
        <v>0</v>
      </c>
      <c r="K233" s="446">
        <f>Source!O218</f>
        <v>0</v>
      </c>
      <c r="L233" s="446">
        <f>Source!P218</f>
        <v>0</v>
      </c>
      <c r="M233" s="446">
        <f>Source!Q218</f>
        <v>0</v>
      </c>
      <c r="N233" s="447">
        <f>Source!U218</f>
        <v>0</v>
      </c>
      <c r="O233" s="448">
        <f>Source!V218</f>
        <v>0</v>
      </c>
      <c r="P233" s="449"/>
      <c r="Q233" s="450">
        <f>Source!X218</f>
        <v>0</v>
      </c>
      <c r="R233" s="215">
        <f>Source!Z218</f>
        <v>0</v>
      </c>
      <c r="S233" s="223">
        <f>Source!AA218</f>
        <v>0</v>
      </c>
      <c r="T233" s="216">
        <f>IF(Devise=DeviseInterne,Source!AB218,Source!AC218)</f>
        <v>0</v>
      </c>
      <c r="U233" s="57"/>
      <c r="V233" s="78"/>
      <c r="W233" s="78"/>
      <c r="X233" s="41"/>
      <c r="Y233" s="42"/>
    </row>
    <row r="234" spans="1:25" s="43" customFormat="1" ht="30" customHeight="1" thickTop="1" thickBot="1">
      <c r="A234" s="68"/>
      <c r="B234" s="440">
        <f>Source!G219</f>
        <v>0</v>
      </c>
      <c r="C234" s="441">
        <f>Source!C219</f>
        <v>0</v>
      </c>
      <c r="D234" s="442">
        <f>Source!D219</f>
        <v>0</v>
      </c>
      <c r="E234" s="443">
        <f>Source!J219</f>
        <v>0</v>
      </c>
      <c r="F234" s="444">
        <f>Source!B219</f>
        <v>0</v>
      </c>
      <c r="G234" s="445">
        <f>Source!K219</f>
        <v>0</v>
      </c>
      <c r="H234" s="444">
        <f>Source!L219</f>
        <v>0</v>
      </c>
      <c r="I234" s="444">
        <f>Source!M219</f>
        <v>0</v>
      </c>
      <c r="J234" s="444">
        <f>Source!N219</f>
        <v>0</v>
      </c>
      <c r="K234" s="446">
        <f>Source!O219</f>
        <v>0</v>
      </c>
      <c r="L234" s="446">
        <f>Source!P219</f>
        <v>0</v>
      </c>
      <c r="M234" s="446">
        <f>Source!Q219</f>
        <v>0</v>
      </c>
      <c r="N234" s="447">
        <f>Source!U219</f>
        <v>0</v>
      </c>
      <c r="O234" s="448">
        <f>Source!V219</f>
        <v>0</v>
      </c>
      <c r="P234" s="449"/>
      <c r="Q234" s="450">
        <f>Source!X219</f>
        <v>0</v>
      </c>
      <c r="R234" s="215">
        <f>Source!Z219</f>
        <v>0</v>
      </c>
      <c r="S234" s="223">
        <f>Source!AA219</f>
        <v>0</v>
      </c>
      <c r="T234" s="216">
        <f>IF(Devise=DeviseInterne,Source!AB219,Source!AC219)</f>
        <v>0</v>
      </c>
      <c r="U234" s="57"/>
      <c r="V234" s="78"/>
      <c r="W234" s="78"/>
      <c r="X234" s="41"/>
      <c r="Y234" s="42"/>
    </row>
    <row r="235" spans="1:25" s="43" customFormat="1" ht="30" customHeight="1" thickTop="1" thickBot="1">
      <c r="A235" s="68"/>
      <c r="B235" s="440">
        <f>Source!G220</f>
        <v>0</v>
      </c>
      <c r="C235" s="441">
        <f>Source!C220</f>
        <v>0</v>
      </c>
      <c r="D235" s="442">
        <f>Source!D220</f>
        <v>0</v>
      </c>
      <c r="E235" s="443">
        <f>Source!J220</f>
        <v>0</v>
      </c>
      <c r="F235" s="444">
        <f>Source!B220</f>
        <v>0</v>
      </c>
      <c r="G235" s="445">
        <f>Source!K220</f>
        <v>0</v>
      </c>
      <c r="H235" s="444">
        <f>Source!L220</f>
        <v>0</v>
      </c>
      <c r="I235" s="444">
        <f>Source!M220</f>
        <v>0</v>
      </c>
      <c r="J235" s="444">
        <f>Source!N220</f>
        <v>0</v>
      </c>
      <c r="K235" s="446">
        <f>Source!O220</f>
        <v>0</v>
      </c>
      <c r="L235" s="446">
        <f>Source!P220</f>
        <v>0</v>
      </c>
      <c r="M235" s="446">
        <f>Source!Q220</f>
        <v>0</v>
      </c>
      <c r="N235" s="447">
        <f>Source!U220</f>
        <v>0</v>
      </c>
      <c r="O235" s="448">
        <f>Source!V220</f>
        <v>0</v>
      </c>
      <c r="P235" s="449"/>
      <c r="Q235" s="450">
        <f>Source!X220</f>
        <v>0</v>
      </c>
      <c r="R235" s="215">
        <f>Source!Z220</f>
        <v>0</v>
      </c>
      <c r="S235" s="223">
        <f>Source!AA220</f>
        <v>0</v>
      </c>
      <c r="T235" s="216">
        <f>IF(Devise=DeviseInterne,Source!AB220,Source!AC220)</f>
        <v>0</v>
      </c>
      <c r="U235" s="57"/>
      <c r="V235" s="78"/>
      <c r="W235" s="78"/>
      <c r="X235" s="41"/>
      <c r="Y235" s="42"/>
    </row>
    <row r="236" spans="1:25" s="43" customFormat="1" ht="30" customHeight="1" thickTop="1" thickBot="1">
      <c r="A236" s="68"/>
      <c r="B236" s="440">
        <f>Source!G221</f>
        <v>0</v>
      </c>
      <c r="C236" s="441">
        <f>Source!C221</f>
        <v>0</v>
      </c>
      <c r="D236" s="442">
        <f>Source!D221</f>
        <v>0</v>
      </c>
      <c r="E236" s="443">
        <f>Source!J221</f>
        <v>0</v>
      </c>
      <c r="F236" s="444">
        <f>Source!B221</f>
        <v>0</v>
      </c>
      <c r="G236" s="445">
        <f>Source!K221</f>
        <v>0</v>
      </c>
      <c r="H236" s="444">
        <f>Source!L221</f>
        <v>0</v>
      </c>
      <c r="I236" s="444">
        <f>Source!M221</f>
        <v>0</v>
      </c>
      <c r="J236" s="444">
        <f>Source!N221</f>
        <v>0</v>
      </c>
      <c r="K236" s="446">
        <f>Source!O221</f>
        <v>0</v>
      </c>
      <c r="L236" s="446">
        <f>Source!P221</f>
        <v>0</v>
      </c>
      <c r="M236" s="446">
        <f>Source!Q221</f>
        <v>0</v>
      </c>
      <c r="N236" s="447">
        <f>Source!U221</f>
        <v>0</v>
      </c>
      <c r="O236" s="448">
        <f>Source!V221</f>
        <v>0</v>
      </c>
      <c r="P236" s="449"/>
      <c r="Q236" s="450">
        <f>Source!X221</f>
        <v>0</v>
      </c>
      <c r="R236" s="215">
        <f>Source!Z221</f>
        <v>0</v>
      </c>
      <c r="S236" s="223">
        <f>Source!AA221</f>
        <v>0</v>
      </c>
      <c r="T236" s="216">
        <f>IF(Devise=DeviseInterne,Source!AB221,Source!AC221)</f>
        <v>0</v>
      </c>
      <c r="U236" s="57"/>
      <c r="V236" s="78"/>
      <c r="W236" s="78"/>
      <c r="X236" s="41"/>
      <c r="Y236" s="42"/>
    </row>
    <row r="237" spans="1:25" s="43" customFormat="1" ht="30" customHeight="1" thickTop="1" thickBot="1">
      <c r="A237" s="68"/>
      <c r="B237" s="440">
        <f>Source!G222</f>
        <v>0</v>
      </c>
      <c r="C237" s="441">
        <f>Source!C222</f>
        <v>0</v>
      </c>
      <c r="D237" s="442">
        <f>Source!D222</f>
        <v>0</v>
      </c>
      <c r="E237" s="443">
        <f>Source!J222</f>
        <v>0</v>
      </c>
      <c r="F237" s="444">
        <f>Source!B222</f>
        <v>0</v>
      </c>
      <c r="G237" s="445">
        <f>Source!K222</f>
        <v>0</v>
      </c>
      <c r="H237" s="444">
        <f>Source!L222</f>
        <v>0</v>
      </c>
      <c r="I237" s="444">
        <f>Source!M222</f>
        <v>0</v>
      </c>
      <c r="J237" s="444">
        <f>Source!N222</f>
        <v>0</v>
      </c>
      <c r="K237" s="446">
        <f>Source!O222</f>
        <v>0</v>
      </c>
      <c r="L237" s="446">
        <f>Source!P222</f>
        <v>0</v>
      </c>
      <c r="M237" s="446">
        <f>Source!Q222</f>
        <v>0</v>
      </c>
      <c r="N237" s="447">
        <f>Source!U222</f>
        <v>0</v>
      </c>
      <c r="O237" s="448">
        <f>Source!V222</f>
        <v>0</v>
      </c>
      <c r="P237" s="449"/>
      <c r="Q237" s="450">
        <f>Source!X222</f>
        <v>0</v>
      </c>
      <c r="R237" s="215">
        <f>Source!Z222</f>
        <v>0</v>
      </c>
      <c r="S237" s="223">
        <f>Source!AA222</f>
        <v>0</v>
      </c>
      <c r="T237" s="216">
        <f>IF(Devise=DeviseInterne,Source!AB222,Source!AC222)</f>
        <v>0</v>
      </c>
      <c r="U237" s="57"/>
      <c r="V237" s="78"/>
      <c r="W237" s="78"/>
      <c r="X237" s="41"/>
      <c r="Y237" s="42"/>
    </row>
    <row r="238" spans="1:25" s="43" customFormat="1" ht="30" customHeight="1" thickTop="1" thickBot="1">
      <c r="A238" s="68"/>
      <c r="B238" s="440">
        <f>Source!G223</f>
        <v>0</v>
      </c>
      <c r="C238" s="441">
        <f>Source!C223</f>
        <v>0</v>
      </c>
      <c r="D238" s="442">
        <f>Source!D223</f>
        <v>0</v>
      </c>
      <c r="E238" s="443">
        <f>Source!J223</f>
        <v>0</v>
      </c>
      <c r="F238" s="444">
        <f>Source!B223</f>
        <v>0</v>
      </c>
      <c r="G238" s="445">
        <f>Source!K223</f>
        <v>0</v>
      </c>
      <c r="H238" s="444">
        <f>Source!L223</f>
        <v>0</v>
      </c>
      <c r="I238" s="444">
        <f>Source!M223</f>
        <v>0</v>
      </c>
      <c r="J238" s="444">
        <f>Source!N223</f>
        <v>0</v>
      </c>
      <c r="K238" s="446">
        <f>Source!O223</f>
        <v>0</v>
      </c>
      <c r="L238" s="446">
        <f>Source!P223</f>
        <v>0</v>
      </c>
      <c r="M238" s="446">
        <f>Source!Q223</f>
        <v>0</v>
      </c>
      <c r="N238" s="447">
        <f>Source!U223</f>
        <v>0</v>
      </c>
      <c r="O238" s="448">
        <f>Source!V223</f>
        <v>0</v>
      </c>
      <c r="P238" s="449"/>
      <c r="Q238" s="450">
        <f>Source!X223</f>
        <v>0</v>
      </c>
      <c r="R238" s="215">
        <f>Source!Z223</f>
        <v>0</v>
      </c>
      <c r="S238" s="223">
        <f>Source!AA223</f>
        <v>0</v>
      </c>
      <c r="T238" s="216">
        <f>IF(Devise=DeviseInterne,Source!AB223,Source!AC223)</f>
        <v>0</v>
      </c>
      <c r="U238" s="57"/>
      <c r="V238" s="78"/>
      <c r="W238" s="78"/>
      <c r="X238" s="41"/>
      <c r="Y238" s="42"/>
    </row>
    <row r="239" spans="1:25" s="43" customFormat="1" ht="30" customHeight="1" thickTop="1" thickBot="1">
      <c r="A239" s="68"/>
      <c r="B239" s="440">
        <f>Source!G224</f>
        <v>0</v>
      </c>
      <c r="C239" s="441">
        <f>Source!C224</f>
        <v>0</v>
      </c>
      <c r="D239" s="442">
        <f>Source!D224</f>
        <v>0</v>
      </c>
      <c r="E239" s="443">
        <f>Source!J224</f>
        <v>0</v>
      </c>
      <c r="F239" s="444">
        <f>Source!B224</f>
        <v>0</v>
      </c>
      <c r="G239" s="445">
        <f>Source!K224</f>
        <v>0</v>
      </c>
      <c r="H239" s="444">
        <f>Source!L224</f>
        <v>0</v>
      </c>
      <c r="I239" s="444">
        <f>Source!M224</f>
        <v>0</v>
      </c>
      <c r="J239" s="444">
        <f>Source!N224</f>
        <v>0</v>
      </c>
      <c r="K239" s="446">
        <f>Source!O224</f>
        <v>0</v>
      </c>
      <c r="L239" s="446">
        <f>Source!P224</f>
        <v>0</v>
      </c>
      <c r="M239" s="446">
        <f>Source!Q224</f>
        <v>0</v>
      </c>
      <c r="N239" s="447">
        <f>Source!U224</f>
        <v>0</v>
      </c>
      <c r="O239" s="448">
        <f>Source!V224</f>
        <v>0</v>
      </c>
      <c r="P239" s="449"/>
      <c r="Q239" s="450">
        <f>Source!X224</f>
        <v>0</v>
      </c>
      <c r="R239" s="215">
        <f>Source!Z224</f>
        <v>0</v>
      </c>
      <c r="S239" s="223">
        <f>Source!AA224</f>
        <v>0</v>
      </c>
      <c r="T239" s="216">
        <f>IF(Devise=DeviseInterne,Source!AB224,Source!AC224)</f>
        <v>0</v>
      </c>
      <c r="U239" s="57"/>
      <c r="V239" s="78"/>
      <c r="W239" s="78"/>
      <c r="X239" s="41"/>
      <c r="Y239" s="42"/>
    </row>
    <row r="240" spans="1:25" ht="15" customHeight="1" thickTop="1"/>
  </sheetData>
  <autoFilter ref="A22:AE54" xr:uid="{00000000-0009-0000-0000-000003000000}"/>
  <mergeCells count="2">
    <mergeCell ref="H3:J3"/>
    <mergeCell ref="N2:Q4"/>
  </mergeCells>
  <phoneticPr fontId="0" type="noConversion"/>
  <conditionalFormatting sqref="U20 N23:P239 U23:U239">
    <cfRule type="cellIs" dxfId="1" priority="2" stopIfTrue="1" operator="equal">
      <formula>1</formula>
    </cfRule>
  </conditionalFormatting>
  <printOptions horizontalCentered="1"/>
  <pageMargins left="3.9370078740157501E-2" right="3.9370078740157501E-2" top="0.39370078740157499" bottom="0.39370078740157499" header="0.15748031496063" footer="0.15748031496063"/>
  <pageSetup scale="60" fitToHeight="2" orientation="portrait" errors="blank" r:id="rId1"/>
  <headerFooter alignWithMargins="0">
    <oddFooter>&amp;L&amp;6
&amp;F
&amp;C&amp;D&amp;Rpage &amp;P / &amp;N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3">
    <pageSetUpPr fitToPage="1"/>
  </sheetPr>
  <dimension ref="A1:V531"/>
  <sheetViews>
    <sheetView showZeros="0" tabSelected="1" zoomScaleNormal="75" zoomScaleSheetLayoutView="75" workbookViewId="0"/>
  </sheetViews>
  <sheetFormatPr baseColWidth="10" defaultColWidth="8.5703125" defaultRowHeight="15" customHeight="1" outlineLevelRow="1"/>
  <cols>
    <col min="1" max="1" width="11.42578125" style="6" customWidth="1"/>
    <col min="2" max="2" width="12.7109375" style="6" customWidth="1"/>
    <col min="3" max="3" width="14.140625" style="6" customWidth="1"/>
    <col min="4" max="4" width="14.85546875" style="6" customWidth="1"/>
    <col min="5" max="5" width="10.7109375" style="6" customWidth="1"/>
    <col min="6" max="6" width="6.5703125" style="6" customWidth="1"/>
    <col min="7" max="7" width="9.28515625" style="6" bestFit="1" customWidth="1"/>
    <col min="8" max="8" width="14.28515625" style="6" customWidth="1"/>
    <col min="9" max="9" width="10.140625" style="6" customWidth="1"/>
    <col min="10" max="10" width="12" style="6" customWidth="1"/>
    <col min="11" max="11" width="11.140625" style="6" customWidth="1"/>
    <col min="12" max="12" width="11.42578125" style="6" customWidth="1"/>
    <col min="13" max="13" width="11.140625" style="6" customWidth="1"/>
    <col min="14" max="14" width="7.5703125" style="6" customWidth="1"/>
    <col min="15" max="15" width="11.85546875" style="6" bestFit="1" customWidth="1"/>
    <col min="16" max="16" width="11.140625" style="6" bestFit="1" customWidth="1"/>
    <col min="17" max="17" width="12.42578125" style="6" bestFit="1" customWidth="1"/>
    <col min="18" max="18" width="11.7109375" style="6" customWidth="1"/>
    <col min="19" max="19" width="5.85546875" style="6" bestFit="1" customWidth="1"/>
    <col min="20" max="20" width="13.28515625" style="6" customWidth="1"/>
    <col min="21" max="16384" width="8.5703125" style="6"/>
  </cols>
  <sheetData>
    <row r="1" spans="2:20" s="4" customFormat="1" ht="14.25" customHeight="1">
      <c r="B1" s="224" t="s">
        <v>152</v>
      </c>
      <c r="C1" s="225"/>
      <c r="D1" s="225"/>
      <c r="E1" s="226"/>
      <c r="F1" s="226"/>
      <c r="G1" s="227"/>
      <c r="H1" s="228" t="s">
        <v>153</v>
      </c>
      <c r="I1" s="228" t="s">
        <v>0</v>
      </c>
      <c r="J1" s="229"/>
      <c r="K1" s="229"/>
      <c r="L1" s="225"/>
      <c r="M1" s="225"/>
      <c r="N1" s="230"/>
      <c r="O1" s="231"/>
      <c r="P1" s="2"/>
      <c r="Q1" s="3"/>
    </row>
    <row r="2" spans="2:20" s="4" customFormat="1" ht="14.25" customHeight="1">
      <c r="B2" s="232" t="str">
        <f>sctExportName</f>
        <v>GRANITE DRC inc.</v>
      </c>
      <c r="E2" s="233"/>
      <c r="F2" s="233"/>
      <c r="G2" s="234"/>
      <c r="H2" s="235" t="s">
        <v>2</v>
      </c>
      <c r="I2" s="236"/>
      <c r="J2" s="4" t="str">
        <f>CONCATENATE(brokerSociete," ",brokerPrenom," ",brokerNom)</f>
        <v>A.N. DERINGER INC. - -</v>
      </c>
      <c r="K2" s="236"/>
      <c r="N2" s="66"/>
      <c r="O2" s="237"/>
      <c r="P2" s="2"/>
      <c r="Q2" s="3"/>
    </row>
    <row r="3" spans="2:20" s="4" customFormat="1" ht="14.25" customHeight="1">
      <c r="B3" s="232" t="str">
        <f>CONCATENATE(sctAdresse1,", ",sctAdresse2)</f>
        <v>475, DELISLE</v>
      </c>
      <c r="E3" s="233"/>
      <c r="F3" s="233"/>
      <c r="G3" s="234"/>
      <c r="H3" s="238"/>
      <c r="I3" s="238"/>
      <c r="J3" s="238"/>
      <c r="K3" s="238"/>
      <c r="L3" s="238"/>
      <c r="M3" s="238"/>
      <c r="N3" s="239"/>
      <c r="O3" s="240"/>
      <c r="P3" s="2"/>
      <c r="Q3" s="3"/>
    </row>
    <row r="4" spans="2:20" s="4" customFormat="1" ht="14.25" customHeight="1">
      <c r="B4" s="232" t="str">
        <f>CONCATENATE(sctExpVille,", ",sctExpRegion,", ",sctExpPaysTraduit,", ",sctExpCode)</f>
        <v>RIVIÈRE-À-PIERRE, CA-QC, CA, GOA-3AO</v>
      </c>
      <c r="E4" s="233"/>
      <c r="F4" s="233"/>
      <c r="G4" s="234"/>
      <c r="N4" s="66"/>
      <c r="O4" s="237"/>
      <c r="P4" s="2"/>
      <c r="Q4" s="285"/>
      <c r="R4" s="4" t="s">
        <v>148</v>
      </c>
    </row>
    <row r="5" spans="2:20" s="4" customFormat="1" ht="12.75">
      <c r="B5" s="224" t="s">
        <v>53</v>
      </c>
      <c r="C5" s="225"/>
      <c r="D5" s="225"/>
      <c r="E5" s="226"/>
      <c r="F5" s="226"/>
      <c r="G5" s="227"/>
      <c r="H5" s="235" t="s">
        <v>3</v>
      </c>
      <c r="N5" s="66"/>
      <c r="O5" s="237"/>
      <c r="P5" s="2"/>
      <c r="Q5" s="3"/>
    </row>
    <row r="6" spans="2:20" s="4" customFormat="1" ht="15" customHeight="1">
      <c r="B6" s="292" t="str">
        <f>nomClient</f>
        <v>Construction Exemplaire Inc.</v>
      </c>
      <c r="E6" s="233"/>
      <c r="F6" s="233"/>
      <c r="G6" s="234"/>
      <c r="H6" s="55">
        <f>'Bon #BL25-0002'!E14</f>
        <v>0</v>
      </c>
      <c r="N6" s="66"/>
      <c r="O6" s="237"/>
      <c r="P6" s="2"/>
      <c r="Q6" s="286"/>
      <c r="R6" s="4" t="s">
        <v>145</v>
      </c>
    </row>
    <row r="7" spans="2:20" s="4" customFormat="1" ht="15" customHeight="1">
      <c r="B7" s="292" t="str">
        <f>IF(clientAdresse1="","",clientAdresse1)</f>
        <v>123 Rue Principale
Montréal, QC H1A 1A1
Canada</v>
      </c>
      <c r="E7" s="233"/>
      <c r="F7" s="233"/>
      <c r="G7" s="234"/>
      <c r="H7" s="55" t="str">
        <f>'Bon #BL25-0002'!E15</f>
        <v/>
      </c>
      <c r="N7" s="66"/>
      <c r="O7" s="237"/>
      <c r="P7" s="2"/>
      <c r="Q7" s="3"/>
    </row>
    <row r="8" spans="2:20" s="4" customFormat="1" ht="15" customHeight="1">
      <c r="B8" s="292" t="str">
        <f>CONCATENATE(clientVille,", ",clientRegion,"   ",clientCP)</f>
        <v xml:space="preserve">123 Rue Principale
Montréal, QC H1A 1A1
Canada, 123 Rue Principale
Montréal, QC H1A 1A1
Canada   </v>
      </c>
      <c r="E8" s="233"/>
      <c r="F8" s="233"/>
      <c r="G8" s="234"/>
      <c r="H8" s="55" t="str">
        <f>'Bon #BL25-0002'!E16</f>
        <v xml:space="preserve">,    </v>
      </c>
      <c r="L8" s="4" t="s">
        <v>49</v>
      </c>
      <c r="N8" s="66"/>
      <c r="O8" s="237"/>
      <c r="P8" s="2"/>
      <c r="Q8" s="287" t="s">
        <v>80</v>
      </c>
      <c r="R8" s="4" t="s">
        <v>147</v>
      </c>
    </row>
    <row r="9" spans="2:20" s="4" customFormat="1" ht="15" customHeight="1">
      <c r="B9" s="292" t="str">
        <f>CONCATENATE("Contact : ",contactPrenom," ",contactNom," phone : ",contactTel)</f>
        <v xml:space="preserve">Contact :  Pierre Excemplaire phone : </v>
      </c>
      <c r="E9" s="233"/>
      <c r="F9" s="233"/>
      <c r="G9" s="234"/>
      <c r="H9" s="474" t="str">
        <f>'Bon #BL25-0002'!E17</f>
        <v/>
      </c>
      <c r="I9" s="475"/>
      <c r="J9" s="475"/>
      <c r="K9" s="475"/>
      <c r="L9" s="475"/>
      <c r="M9" s="475"/>
      <c r="N9" s="475"/>
      <c r="O9" s="476"/>
      <c r="P9" s="2"/>
      <c r="Q9" s="3"/>
    </row>
    <row r="10" spans="2:20" s="4" customFormat="1" ht="15" customHeight="1">
      <c r="B10" s="293" t="s">
        <v>40</v>
      </c>
      <c r="C10" s="55"/>
      <c r="E10" s="469">
        <f>IRS</f>
        <v>0</v>
      </c>
      <c r="F10" s="470"/>
      <c r="G10" s="234"/>
      <c r="H10" s="477"/>
      <c r="I10" s="478"/>
      <c r="J10" s="478"/>
      <c r="K10" s="478"/>
      <c r="L10" s="478"/>
      <c r="M10" s="478"/>
      <c r="N10" s="478"/>
      <c r="O10" s="479"/>
      <c r="P10" s="2"/>
      <c r="Q10" s="288"/>
      <c r="R10" s="4" t="s">
        <v>106</v>
      </c>
    </row>
    <row r="11" spans="2:20" s="4" customFormat="1" ht="16.5" customHeight="1">
      <c r="B11" s="224" t="s">
        <v>4</v>
      </c>
      <c r="C11" s="225"/>
      <c r="D11" s="241" t="s">
        <v>143</v>
      </c>
      <c r="E11" s="226"/>
      <c r="F11" s="226"/>
      <c r="G11" s="227"/>
      <c r="H11" s="224" t="s">
        <v>185</v>
      </c>
      <c r="I11" s="228"/>
      <c r="J11" s="225"/>
      <c r="K11" s="225"/>
      <c r="L11" s="225"/>
      <c r="M11" s="225"/>
      <c r="N11" s="230"/>
      <c r="O11" s="231"/>
      <c r="P11" s="2"/>
      <c r="Q11" s="3"/>
    </row>
    <row r="12" spans="2:20" s="4" customFormat="1" ht="21" customHeight="1">
      <c r="B12" s="232" t="s">
        <v>5</v>
      </c>
      <c r="D12" s="242" t="s">
        <v>6</v>
      </c>
      <c r="E12" s="233"/>
      <c r="F12" s="233"/>
      <c r="G12" s="234"/>
      <c r="H12" s="294"/>
      <c r="J12" s="481" t="s">
        <v>45</v>
      </c>
      <c r="K12" s="481"/>
      <c r="L12" s="481"/>
      <c r="M12" s="482" t="str">
        <f>NumeroBL</f>
        <v>BL25-0002</v>
      </c>
      <c r="N12" s="482"/>
      <c r="O12" s="482"/>
      <c r="P12" s="2"/>
      <c r="Q12" s="289"/>
      <c r="R12" s="4" t="s">
        <v>107</v>
      </c>
    </row>
    <row r="13" spans="2:20" s="4" customFormat="1" ht="16.5" customHeight="1">
      <c r="B13" s="243" t="s">
        <v>54</v>
      </c>
      <c r="C13" s="244"/>
      <c r="D13" s="244"/>
      <c r="E13" s="245"/>
      <c r="F13" s="245"/>
      <c r="G13" s="246"/>
      <c r="H13" s="244"/>
      <c r="I13" s="238"/>
      <c r="J13" s="238"/>
      <c r="K13" s="238"/>
      <c r="L13" s="238"/>
      <c r="M13" s="238"/>
      <c r="N13" s="239"/>
      <c r="O13" s="247"/>
      <c r="P13" s="2"/>
      <c r="Q13" s="252"/>
      <c r="R13" s="236"/>
      <c r="S13" s="253"/>
      <c r="T13" s="253"/>
    </row>
    <row r="14" spans="2:20" s="4" customFormat="1" ht="16.5" customHeight="1">
      <c r="B14" s="248" t="s">
        <v>7</v>
      </c>
      <c r="C14" s="229"/>
      <c r="D14" s="241"/>
      <c r="E14" s="241" t="s">
        <v>8</v>
      </c>
      <c r="F14" s="249"/>
      <c r="G14" s="250"/>
      <c r="H14" s="228" t="s">
        <v>146</v>
      </c>
      <c r="I14" s="241"/>
      <c r="J14" s="225"/>
      <c r="K14" s="480">
        <f>T20</f>
        <v>0</v>
      </c>
      <c r="L14" s="480"/>
      <c r="M14" s="480"/>
      <c r="N14" s="225"/>
      <c r="O14" s="295"/>
      <c r="P14" s="2"/>
      <c r="Q14" s="290"/>
      <c r="R14" s="4" t="s">
        <v>108</v>
      </c>
    </row>
    <row r="15" spans="2:20" s="4" customFormat="1" ht="17.25" customHeight="1">
      <c r="B15" s="293" t="s">
        <v>9</v>
      </c>
      <c r="C15" s="299"/>
      <c r="D15" s="311" t="s">
        <v>144</v>
      </c>
      <c r="E15" s="312"/>
      <c r="F15" s="313" t="s">
        <v>44</v>
      </c>
      <c r="G15" s="250"/>
      <c r="H15" s="251">
        <f>Q17*1.15/1.31</f>
        <v>0</v>
      </c>
      <c r="I15" s="252" t="s">
        <v>10</v>
      </c>
      <c r="J15" s="253"/>
      <c r="K15" s="253"/>
      <c r="L15" s="236" t="s">
        <v>11</v>
      </c>
      <c r="M15" s="253"/>
      <c r="N15" s="253" t="s">
        <v>12</v>
      </c>
      <c r="O15" s="237"/>
      <c r="P15" s="2"/>
      <c r="Q15" s="291"/>
      <c r="R15" s="4" t="s">
        <v>109</v>
      </c>
    </row>
    <row r="16" spans="2:20" s="4" customFormat="1" ht="6.75" customHeight="1">
      <c r="B16" s="254"/>
      <c r="C16" s="244"/>
      <c r="D16" s="244"/>
      <c r="E16" s="245"/>
      <c r="F16" s="245"/>
      <c r="G16" s="246"/>
      <c r="H16" s="255"/>
      <c r="I16" s="238"/>
      <c r="J16" s="238"/>
      <c r="K16" s="238"/>
      <c r="L16" s="238"/>
      <c r="M16" s="238"/>
      <c r="N16" s="239"/>
      <c r="O16" s="240"/>
      <c r="P16" s="2"/>
      <c r="Q16" s="3"/>
    </row>
    <row r="17" spans="1:22" s="4" customFormat="1" ht="18" customHeight="1">
      <c r="B17" s="431" t="s">
        <v>228</v>
      </c>
      <c r="C17" s="256"/>
      <c r="D17" s="256"/>
      <c r="E17" s="257"/>
      <c r="F17" s="257"/>
      <c r="G17" s="258"/>
      <c r="H17" s="228" t="s">
        <v>14</v>
      </c>
      <c r="I17" s="225"/>
      <c r="J17" s="225"/>
      <c r="K17" s="225"/>
      <c r="L17" s="225"/>
      <c r="M17" s="225"/>
      <c r="N17" s="230"/>
      <c r="O17" s="231"/>
      <c r="P17" s="2"/>
      <c r="R17" s="66"/>
      <c r="V17" s="4">
        <v>0</v>
      </c>
    </row>
    <row r="18" spans="1:22" s="4" customFormat="1" ht="27" customHeight="1">
      <c r="B18" s="430" t="s">
        <v>13</v>
      </c>
      <c r="C18" s="432" t="str">
        <f>Transporteur</f>
        <v>Transport Granite DRC</v>
      </c>
      <c r="E18" s="233"/>
      <c r="F18" s="233"/>
      <c r="G18" s="234"/>
      <c r="H18" s="303" t="s">
        <v>10</v>
      </c>
      <c r="I18" s="304"/>
      <c r="J18" s="305"/>
      <c r="K18" s="306" t="s">
        <v>184</v>
      </c>
      <c r="L18" s="307"/>
      <c r="M18" s="307" t="s">
        <v>183</v>
      </c>
      <c r="N18" s="239"/>
      <c r="O18" s="240"/>
      <c r="P18" s="2"/>
      <c r="Q18" s="107"/>
    </row>
    <row r="19" spans="1:22" s="4" customFormat="1" ht="20.25" customHeight="1">
      <c r="B19" s="224" t="s">
        <v>15</v>
      </c>
      <c r="C19" s="229"/>
      <c r="D19" s="229"/>
      <c r="E19" s="296"/>
      <c r="F19" s="297" t="s">
        <v>16</v>
      </c>
      <c r="G19" s="258"/>
      <c r="H19" s="228" t="s">
        <v>17</v>
      </c>
      <c r="I19" s="225"/>
      <c r="J19" s="225"/>
      <c r="K19" s="225"/>
      <c r="L19" s="225"/>
      <c r="M19" s="225"/>
      <c r="N19" s="230"/>
      <c r="O19" s="231"/>
      <c r="P19" s="2"/>
      <c r="Q19" s="108"/>
    </row>
    <row r="20" spans="1:22" s="4" customFormat="1" ht="33" customHeight="1">
      <c r="B20" s="298" t="s">
        <v>18</v>
      </c>
      <c r="C20" s="299"/>
      <c r="D20" s="299"/>
      <c r="E20" s="300"/>
      <c r="F20" s="300"/>
      <c r="G20" s="301"/>
      <c r="H20" s="244"/>
      <c r="I20" s="307" t="s">
        <v>19</v>
      </c>
      <c r="J20" s="238"/>
      <c r="K20" s="238"/>
      <c r="L20" s="306" t="s">
        <v>20</v>
      </c>
      <c r="M20" s="308"/>
      <c r="N20" s="239"/>
      <c r="O20" s="240"/>
      <c r="P20" s="2"/>
      <c r="Q20" s="53"/>
      <c r="R20" s="53"/>
    </row>
    <row r="21" spans="1:22" s="4" customFormat="1" ht="14.25" customHeight="1">
      <c r="B21" s="224" t="s">
        <v>21</v>
      </c>
      <c r="C21" s="225"/>
      <c r="D21" s="225"/>
      <c r="E21" s="471">
        <f>dateEmission</f>
        <v>44555</v>
      </c>
      <c r="F21" s="472"/>
      <c r="G21" s="473"/>
      <c r="H21" s="228" t="s">
        <v>22</v>
      </c>
      <c r="I21" s="259"/>
      <c r="J21" s="260"/>
      <c r="K21" s="260"/>
      <c r="L21" s="260"/>
      <c r="M21" s="259"/>
      <c r="N21" s="230"/>
      <c r="O21" s="231"/>
      <c r="P21" s="2"/>
      <c r="Q21" s="3"/>
    </row>
    <row r="22" spans="1:22" s="4" customFormat="1" ht="18.75" customHeight="1">
      <c r="B22" s="302" t="s">
        <v>23</v>
      </c>
      <c r="E22" s="236" t="s">
        <v>24</v>
      </c>
      <c r="F22" s="236"/>
      <c r="G22" s="234"/>
      <c r="I22" s="236" t="s">
        <v>226</v>
      </c>
      <c r="J22" s="426"/>
      <c r="K22" s="309"/>
      <c r="L22" s="309"/>
      <c r="M22" s="236" t="s">
        <v>35</v>
      </c>
      <c r="N22" s="66"/>
      <c r="O22" s="310"/>
      <c r="P22" s="2"/>
      <c r="Q22" s="3"/>
    </row>
    <row r="23" spans="1:22" s="4" customFormat="1" ht="10.5" customHeight="1" thickBot="1">
      <c r="B23" s="261"/>
      <c r="C23" s="262"/>
      <c r="D23" s="262"/>
      <c r="E23" s="263"/>
      <c r="F23" s="263"/>
      <c r="G23" s="264"/>
      <c r="H23" s="265"/>
      <c r="I23" s="263"/>
      <c r="J23" s="425"/>
      <c r="K23" s="266"/>
      <c r="L23" s="266"/>
      <c r="M23" s="263"/>
      <c r="N23" s="267"/>
      <c r="O23" s="268"/>
      <c r="P23" s="2"/>
      <c r="Q23" s="3"/>
    </row>
    <row r="24" spans="1:22" ht="23.25" customHeight="1" thickTop="1" thickBot="1">
      <c r="B24" s="412">
        <f>'Bon #BL25-0002'!B20</f>
        <v>2</v>
      </c>
      <c r="C24" s="103" t="str">
        <f>'Bon #BL25-0002'!D20</f>
        <v>Pallet (s)</v>
      </c>
      <c r="D24" s="76"/>
      <c r="E24" s="77"/>
      <c r="F24" s="113">
        <f>SUBTOTAL(9,F27:F185)</f>
        <v>63</v>
      </c>
      <c r="G24" s="114"/>
      <c r="H24" s="115"/>
      <c r="I24" s="116"/>
      <c r="J24" s="117"/>
      <c r="K24" s="118"/>
      <c r="L24" s="119">
        <f>SUBTOTAL(9,L27:L185)</f>
        <v>33685.1</v>
      </c>
      <c r="M24" s="69"/>
      <c r="N24" s="70"/>
      <c r="O24" s="110">
        <f>SUBTOTAL(9,O27:O185)-O37-O38-O39</f>
        <v>23143.8</v>
      </c>
      <c r="P24" s="67">
        <f>SUBTOTAL(9,P28:P185)</f>
        <v>0</v>
      </c>
    </row>
    <row r="25" spans="1:22" s="12" customFormat="1" ht="24" customHeight="1">
      <c r="B25" s="7" t="s">
        <v>46</v>
      </c>
      <c r="C25" s="71" t="s">
        <v>58</v>
      </c>
      <c r="D25" s="71" t="s">
        <v>59</v>
      </c>
      <c r="E25" s="8" t="s">
        <v>38</v>
      </c>
      <c r="F25" s="427" t="s">
        <v>47</v>
      </c>
      <c r="G25" s="8" t="s">
        <v>43</v>
      </c>
      <c r="H25" s="377" t="s">
        <v>186</v>
      </c>
      <c r="I25" s="8" t="s">
        <v>57</v>
      </c>
      <c r="J25" s="8" t="s">
        <v>41</v>
      </c>
      <c r="K25" s="8" t="s">
        <v>61</v>
      </c>
      <c r="L25" s="9" t="s">
        <v>39</v>
      </c>
      <c r="M25" s="9" t="s">
        <v>25</v>
      </c>
      <c r="N25" s="9" t="s">
        <v>26</v>
      </c>
      <c r="O25" s="9" t="s">
        <v>27</v>
      </c>
      <c r="P25" s="10" t="s">
        <v>28</v>
      </c>
      <c r="Q25" s="11" t="s">
        <v>29</v>
      </c>
      <c r="R25" s="11" t="s">
        <v>61</v>
      </c>
      <c r="S25" s="11" t="s">
        <v>64</v>
      </c>
      <c r="T25" s="11" t="s">
        <v>57</v>
      </c>
    </row>
    <row r="26" spans="1:22" s="15" customFormat="1" ht="17.25" customHeight="1" thickBot="1">
      <c r="B26" s="47"/>
      <c r="C26" s="47"/>
      <c r="D26" s="47"/>
      <c r="E26" s="47"/>
      <c r="F26" s="49"/>
      <c r="G26" s="47"/>
      <c r="H26" s="48">
        <v>0</v>
      </c>
      <c r="I26" s="50"/>
      <c r="J26" s="50" t="s">
        <v>42</v>
      </c>
      <c r="K26" s="50" t="s">
        <v>60</v>
      </c>
      <c r="L26" s="51" t="s">
        <v>36</v>
      </c>
      <c r="M26" s="52" t="s">
        <v>62</v>
      </c>
      <c r="N26" s="52"/>
      <c r="O26" s="52" t="s">
        <v>62</v>
      </c>
      <c r="P26" s="14" t="s">
        <v>30</v>
      </c>
      <c r="Q26" s="13"/>
      <c r="R26" s="13"/>
      <c r="S26" s="13"/>
      <c r="T26" s="13"/>
    </row>
    <row r="27" spans="1:22" s="16" customFormat="1" ht="35.25" customHeight="1" thickTop="1" thickBot="1">
      <c r="A27" s="79"/>
      <c r="B27" s="79" t="str">
        <f>'Bon #BL25-0002'!B23</f>
        <v>P#06</v>
      </c>
      <c r="C27" s="20" t="str">
        <f>'Bon #BL25-0002'!D23</f>
        <v>P#06 / null</v>
      </c>
      <c r="D27" s="20" t="str">
        <f>'Bon #BL25-0002'!E23</f>
        <v>DRC25-0006-C1R0</v>
      </c>
      <c r="E27" s="20" t="str">
        <f>'Bon #BL25-0002'!H23</f>
        <v>Caledonia</v>
      </c>
      <c r="F27" s="80">
        <f>'Bon #BL25-0002'!I23</f>
        <v>1</v>
      </c>
      <c r="G27" s="97" t="str">
        <f>'Bon #BL25-0002'!J23</f>
        <v>marche</v>
      </c>
      <c r="H27" s="375" t="str">
        <f>IF(OR(Source!L8="Salt and Pepper",Source!L8="Salt and Pepper Clear",Source!L8="Noir Cambrien",Source!L8="Cambrian Black"),"6802.99.0070","6802.93.0090")</f>
        <v>6802.93.0090</v>
      </c>
      <c r="I27" s="75">
        <f>'Bon #BL25-0002'!M23</f>
        <v>4</v>
      </c>
      <c r="J27" s="67">
        <f>'Bon #BL25-0002'!O23</f>
        <v>21.722200000000001</v>
      </c>
      <c r="K27" s="98">
        <f>'Bon #BL25-0002'!N23</f>
        <v>34</v>
      </c>
      <c r="L27" s="64">
        <f>'Bon #BL25-0002'!Q23</f>
        <v>316.8</v>
      </c>
      <c r="M27" s="111">
        <f>'Bon #BL25-0002'!R23</f>
        <v>253.6</v>
      </c>
      <c r="N27" s="65" t="str">
        <f>'Bon #BL25-0002'!S23</f>
        <v>/ ea</v>
      </c>
      <c r="O27" s="112">
        <f>'Bon #BL25-0002'!T23</f>
        <v>253.6</v>
      </c>
      <c r="P27" s="67"/>
      <c r="Q27" s="1"/>
      <c r="R27" s="45"/>
      <c r="S27" s="46"/>
      <c r="T27" s="45"/>
    </row>
    <row r="28" spans="1:22" s="16" customFormat="1" ht="35.25" customHeight="1" thickTop="1" thickBot="1">
      <c r="A28" s="79"/>
      <c r="B28" s="79" t="str">
        <f>'Bon #BL25-0002'!B24</f>
        <v>P#06</v>
      </c>
      <c r="C28" s="20" t="str">
        <f>'Bon #BL25-0002'!D24</f>
        <v>P#06 / null</v>
      </c>
      <c r="D28" s="20" t="str">
        <f>'Bon #BL25-0002'!E24</f>
        <v>DRC25-0006-C1R0</v>
      </c>
      <c r="E28" s="20" t="str">
        <f>'Bon #BL25-0002'!H24</f>
        <v>Caledonia</v>
      </c>
      <c r="F28" s="80">
        <f>'Bon #BL25-0002'!I24</f>
        <v>2</v>
      </c>
      <c r="G28" s="97" t="str">
        <f>'Bon #BL25-0002'!J24</f>
        <v>personne</v>
      </c>
      <c r="H28" s="375" t="str">
        <f>IF(OR(Source!L9="Salt and Pepper",Source!L9="Salt and Pepper Clear",Source!L9="Noir Cambrien",Source!L9="Cambrian Black"),"6802.99.0070","6802.93.0090")</f>
        <v>6802.93.0090</v>
      </c>
      <c r="I28" s="75">
        <f>'Bon #BL25-0002'!M24</f>
        <v>3</v>
      </c>
      <c r="J28" s="67">
        <f>'Bon #BL25-0002'!O24</f>
        <v>825.44439999999997</v>
      </c>
      <c r="K28" s="98">
        <f>'Bon #BL25-0002'!N24</f>
        <v>46</v>
      </c>
      <c r="L28" s="64">
        <f>'Bon #BL25-0002'!Q24</f>
        <v>2124.3000000000002</v>
      </c>
      <c r="M28" s="111">
        <f>'Bon #BL25-0002'!R24</f>
        <v>713.9</v>
      </c>
      <c r="N28" s="65" t="str">
        <f>'Bon #BL25-0002'!S24</f>
        <v>/ ea</v>
      </c>
      <c r="O28" s="112">
        <f>'Bon #BL25-0002'!T24</f>
        <v>1427.8</v>
      </c>
      <c r="P28" s="67"/>
      <c r="Q28" s="1"/>
      <c r="R28" s="45"/>
      <c r="S28" s="46"/>
      <c r="T28" s="45"/>
    </row>
    <row r="29" spans="1:22" s="16" customFormat="1" ht="35.25" customHeight="1" thickTop="1" thickBot="1">
      <c r="A29" s="79"/>
      <c r="B29" s="79" t="str">
        <f>'Bon #BL25-0002'!B25</f>
        <v>P#06</v>
      </c>
      <c r="C29" s="20" t="str">
        <f>'Bon #BL25-0002'!D25</f>
        <v>P#06 / null</v>
      </c>
      <c r="D29" s="20" t="str">
        <f>'Bon #BL25-0002'!E25</f>
        <v>DRC25-0006-C1R0</v>
      </c>
      <c r="E29" s="20" t="str">
        <f>'Bon #BL25-0002'!H25</f>
        <v>Caledonia</v>
      </c>
      <c r="F29" s="80">
        <f>'Bon #BL25-0002'!I25</f>
        <v>3</v>
      </c>
      <c r="G29" s="97" t="str">
        <f>'Bon #BL25-0002'!J25</f>
        <v>etape</v>
      </c>
      <c r="H29" s="375" t="str">
        <f>IF(OR(Source!L10="Salt and Pepper",Source!L10="Salt and Pepper Clear",Source!L10="Noir Cambrien",Source!L10="Cambrian Black"),"6802.99.0070","6802.93.0090")</f>
        <v>6802.93.0090</v>
      </c>
      <c r="I29" s="75">
        <f>'Bon #BL25-0002'!M25</f>
        <v>5</v>
      </c>
      <c r="J29" s="67">
        <f>'Bon #BL25-0002'!O25</f>
        <v>323.4375</v>
      </c>
      <c r="K29" s="98">
        <f>'Bon #BL25-0002'!N25</f>
        <v>45</v>
      </c>
      <c r="L29" s="64">
        <f>'Bon #BL25-0002'!Q25</f>
        <v>3076.2</v>
      </c>
      <c r="M29" s="111">
        <f>'Bon #BL25-0002'!R25</f>
        <v>633.9</v>
      </c>
      <c r="N29" s="65" t="str">
        <f>'Bon #BL25-0002'!S25</f>
        <v>/ ea</v>
      </c>
      <c r="O29" s="112">
        <f>'Bon #BL25-0002'!T25</f>
        <v>1901.7</v>
      </c>
      <c r="P29" s="67"/>
      <c r="Q29" s="1"/>
      <c r="R29" s="45"/>
      <c r="S29" s="46"/>
      <c r="T29" s="45"/>
    </row>
    <row r="30" spans="1:22" s="16" customFormat="1" ht="35.25" customHeight="1" thickTop="1" thickBot="1">
      <c r="A30" s="79"/>
      <c r="B30" s="79" t="str">
        <f>'Bon #BL25-0002'!B26</f>
        <v>P#06</v>
      </c>
      <c r="C30" s="20" t="str">
        <f>'Bon #BL25-0002'!D26</f>
        <v>P#06 / null</v>
      </c>
      <c r="D30" s="20" t="str">
        <f>'Bon #BL25-0002'!E26</f>
        <v>DRC25-0006-C1R0</v>
      </c>
      <c r="E30" s="20" t="str">
        <f>'Bon #BL25-0002'!H26</f>
        <v>Caledonia</v>
      </c>
      <c r="F30" s="80">
        <f>'Bon #BL25-0002'!I26</f>
        <v>4</v>
      </c>
      <c r="G30" s="97" t="str">
        <f>'Bon #BL25-0002'!J26</f>
        <v>cash</v>
      </c>
      <c r="H30" s="375" t="str">
        <f>IF(OR(Source!L11="Salt and Pepper",Source!L11="Salt and Pepper Clear",Source!L11="Noir Cambrien",Source!L11="Cambrian Black"),"6802.99.0070","6802.93.0090")</f>
        <v>6802.93.0090</v>
      </c>
      <c r="I30" s="75">
        <f>'Bon #BL25-0002'!M26</f>
        <v>6</v>
      </c>
      <c r="J30" s="67">
        <f>'Bon #BL25-0002'!O26</f>
        <v>293.25</v>
      </c>
      <c r="K30" s="98">
        <f>'Bon #BL25-0002'!N26</f>
        <v>23</v>
      </c>
      <c r="L30" s="64">
        <f>'Bon #BL25-0002'!Q26</f>
        <v>1900.7</v>
      </c>
      <c r="M30" s="111">
        <f>'Bon #BL25-0002'!R26</f>
        <v>321.39999999999998</v>
      </c>
      <c r="N30" s="65" t="str">
        <f>'Bon #BL25-0002'!S26</f>
        <v>/ ea</v>
      </c>
      <c r="O30" s="112">
        <f>'Bon #BL25-0002'!T26</f>
        <v>1285.5999999999999</v>
      </c>
      <c r="P30" s="67"/>
      <c r="Q30" s="1"/>
      <c r="R30" s="45"/>
      <c r="S30" s="46"/>
      <c r="T30" s="45"/>
    </row>
    <row r="31" spans="1:22" s="16" customFormat="1" ht="35.25" customHeight="1" thickTop="1" thickBot="1">
      <c r="A31" s="79"/>
      <c r="B31" s="79" t="str">
        <f>'Bon #BL25-0002'!B27</f>
        <v>P#06</v>
      </c>
      <c r="C31" s="20" t="str">
        <f>'Bon #BL25-0002'!D27</f>
        <v>P#06 / null</v>
      </c>
      <c r="D31" s="20" t="str">
        <f>'Bon #BL25-0002'!E27</f>
        <v>DRC25-0006-C1R0</v>
      </c>
      <c r="E31" s="20" t="str">
        <f>'Bon #BL25-0002'!H27</f>
        <v>Caledonia</v>
      </c>
      <c r="F31" s="80">
        <f>'Bon #BL25-0002'!I27</f>
        <v>5</v>
      </c>
      <c r="G31" s="97" t="str">
        <f>'Bon #BL25-0002'!J27</f>
        <v>toto</v>
      </c>
      <c r="H31" s="375" t="str">
        <f>IF(OR(Source!L12="Salt and Pepper",Source!L12="Salt and Pepper Clear",Source!L12="Noir Cambrien",Source!L12="Cambrian Black"),"6802.99.0070","6802.93.0090")</f>
        <v>6802.93.0090</v>
      </c>
      <c r="I31" s="75">
        <f>'Bon #BL25-0002'!M27</f>
        <v>5</v>
      </c>
      <c r="J31" s="67">
        <f>'Bon #BL25-0002'!O27</f>
        <v>628.66669999999999</v>
      </c>
      <c r="K31" s="98">
        <f>'Bon #BL25-0002'!N27</f>
        <v>23</v>
      </c>
      <c r="L31" s="64">
        <f>'Bon #BL25-0002'!Q27</f>
        <v>1863.4</v>
      </c>
      <c r="M31" s="111">
        <f>'Bon #BL25-0002'!R27</f>
        <v>271.3</v>
      </c>
      <c r="N31" s="65" t="str">
        <f>'Bon #BL25-0002'!S27</f>
        <v>/ ea</v>
      </c>
      <c r="O31" s="112">
        <f>'Bon #BL25-0002'!T27</f>
        <v>1356.5</v>
      </c>
      <c r="P31" s="67"/>
      <c r="Q31" s="1"/>
      <c r="R31" s="45"/>
      <c r="S31" s="46"/>
      <c r="T31" s="45"/>
    </row>
    <row r="32" spans="1:22" s="16" customFormat="1" ht="35.25" customHeight="1" thickTop="1" thickBot="1">
      <c r="A32" s="79"/>
      <c r="B32" s="79" t="str">
        <f>'Bon #BL25-0002'!B28</f>
        <v>P#02</v>
      </c>
      <c r="C32" s="20" t="str">
        <f>'Bon #BL25-0002'!D28</f>
        <v>P#02 / null</v>
      </c>
      <c r="D32" s="20" t="str">
        <f>'Bon #BL25-0002'!E28</f>
        <v>DRC25-0006-C1R0</v>
      </c>
      <c r="E32" s="20" t="str">
        <f>'Bon #BL25-0002'!H28</f>
        <v>Caledonia</v>
      </c>
      <c r="F32" s="80">
        <f>'Bon #BL25-0002'!I28</f>
        <v>1</v>
      </c>
      <c r="G32" s="97" t="str">
        <f>'Bon #BL25-0002'!J28</f>
        <v>marche</v>
      </c>
      <c r="H32" s="375" t="str">
        <f>IF(OR(Source!L13="Salt and Pepper",Source!L13="Salt and Pepper Clear",Source!L13="Noir Cambrien",Source!L13="Cambrian Black"),"6802.99.0070","6802.93.0090")</f>
        <v>6802.93.0090</v>
      </c>
      <c r="I32" s="75">
        <f>'Bon #BL25-0002'!M28</f>
        <v>4</v>
      </c>
      <c r="J32" s="67">
        <f>'Bon #BL25-0002'!O28</f>
        <v>21.722200000000001</v>
      </c>
      <c r="K32" s="98">
        <f>'Bon #BL25-0002'!N28</f>
        <v>34</v>
      </c>
      <c r="L32" s="64">
        <f>'Bon #BL25-0002'!Q28</f>
        <v>316.8</v>
      </c>
      <c r="M32" s="111">
        <f>'Bon #BL25-0002'!R28</f>
        <v>253.6</v>
      </c>
      <c r="N32" s="65" t="str">
        <f>'Bon #BL25-0002'!S28</f>
        <v>/ ea</v>
      </c>
      <c r="O32" s="112">
        <f>'Bon #BL25-0002'!T28</f>
        <v>253.6</v>
      </c>
      <c r="P32" s="67"/>
      <c r="Q32" s="1"/>
      <c r="R32" s="45"/>
      <c r="S32" s="46"/>
      <c r="T32" s="45"/>
    </row>
    <row r="33" spans="1:20" s="16" customFormat="1" ht="35.25" customHeight="1" thickTop="1" thickBot="1">
      <c r="A33" s="79"/>
      <c r="B33" s="79" t="str">
        <f>'Bon #BL25-0002'!B29</f>
        <v>P#02</v>
      </c>
      <c r="C33" s="20" t="str">
        <f>'Bon #BL25-0002'!D29</f>
        <v>P#02 / null</v>
      </c>
      <c r="D33" s="20" t="str">
        <f>'Bon #BL25-0002'!E29</f>
        <v>DRC25-0006-C1R0</v>
      </c>
      <c r="E33" s="20" t="str">
        <f>'Bon #BL25-0002'!H29</f>
        <v>Caledonia</v>
      </c>
      <c r="F33" s="80">
        <f>'Bon #BL25-0002'!I29</f>
        <v>5</v>
      </c>
      <c r="G33" s="97" t="str">
        <f>'Bon #BL25-0002'!J29</f>
        <v>personne</v>
      </c>
      <c r="H33" s="375" t="str">
        <f>IF(OR(Source!L14="Salt and Pepper",Source!L14="Salt and Pepper Clear",Source!L14="Noir Cambrien",Source!L14="Cambrian Black"),"6802.99.0070","6802.93.0090")</f>
        <v>6802.93.0090</v>
      </c>
      <c r="I33" s="75">
        <f>'Bon #BL25-0002'!M29</f>
        <v>3</v>
      </c>
      <c r="J33" s="67">
        <f>'Bon #BL25-0002'!O29</f>
        <v>825.44439999999997</v>
      </c>
      <c r="K33" s="98">
        <f>'Bon #BL25-0002'!N29</f>
        <v>46</v>
      </c>
      <c r="L33" s="64">
        <f>'Bon #BL25-0002'!Q29</f>
        <v>5310.8</v>
      </c>
      <c r="M33" s="111">
        <f>'Bon #BL25-0002'!R29</f>
        <v>713.9</v>
      </c>
      <c r="N33" s="65" t="str">
        <f>'Bon #BL25-0002'!S29</f>
        <v>/ ea</v>
      </c>
      <c r="O33" s="112">
        <f>'Bon #BL25-0002'!T29</f>
        <v>3569.5</v>
      </c>
      <c r="P33" s="67"/>
      <c r="Q33" s="1"/>
      <c r="R33" s="45"/>
      <c r="S33" s="46"/>
      <c r="T33" s="45"/>
    </row>
    <row r="34" spans="1:20" s="16" customFormat="1" ht="35.25" customHeight="1" thickTop="1" thickBot="1">
      <c r="A34" s="79"/>
      <c r="B34" s="79" t="str">
        <f>'Bon #BL25-0002'!B30</f>
        <v>P#02</v>
      </c>
      <c r="C34" s="20" t="str">
        <f>'Bon #BL25-0002'!D30</f>
        <v>P#02 / null</v>
      </c>
      <c r="D34" s="20" t="str">
        <f>'Bon #BL25-0002'!E30</f>
        <v>DRC25-0006-C1R0</v>
      </c>
      <c r="E34" s="20" t="str">
        <f>'Bon #BL25-0002'!H30</f>
        <v>Caledonia</v>
      </c>
      <c r="F34" s="80">
        <f>'Bon #BL25-0002'!I30</f>
        <v>4</v>
      </c>
      <c r="G34" s="97" t="str">
        <f>'Bon #BL25-0002'!J30</f>
        <v>etape</v>
      </c>
      <c r="H34" s="375" t="str">
        <f>IF(OR(Source!L15="Salt and Pepper",Source!L15="Salt and Pepper Clear",Source!L15="Noir Cambrien",Source!L15="Cambrian Black"),"6802.99.0070","6802.93.0090")</f>
        <v>6802.93.0090</v>
      </c>
      <c r="I34" s="75">
        <f>'Bon #BL25-0002'!M30</f>
        <v>5</v>
      </c>
      <c r="J34" s="67">
        <f>'Bon #BL25-0002'!O30</f>
        <v>323.4375</v>
      </c>
      <c r="K34" s="98">
        <f>'Bon #BL25-0002'!N30</f>
        <v>45</v>
      </c>
      <c r="L34" s="64">
        <f>'Bon #BL25-0002'!Q30</f>
        <v>4101.6000000000004</v>
      </c>
      <c r="M34" s="111">
        <f>'Bon #BL25-0002'!R30</f>
        <v>633.9</v>
      </c>
      <c r="N34" s="65" t="str">
        <f>'Bon #BL25-0002'!S30</f>
        <v>/ ea</v>
      </c>
      <c r="O34" s="112">
        <f>'Bon #BL25-0002'!T30</f>
        <v>2535.6</v>
      </c>
      <c r="P34" s="67"/>
      <c r="Q34" s="1"/>
      <c r="R34" s="45"/>
      <c r="S34" s="46"/>
      <c r="T34" s="45"/>
    </row>
    <row r="35" spans="1:20" s="16" customFormat="1" ht="35.25" customHeight="1" thickTop="1" thickBot="1">
      <c r="A35" s="79"/>
      <c r="B35" s="79" t="str">
        <f>'Bon #BL25-0002'!B31</f>
        <v>P#02</v>
      </c>
      <c r="C35" s="20" t="str">
        <f>'Bon #BL25-0002'!D31</f>
        <v>P#02 / null</v>
      </c>
      <c r="D35" s="20" t="str">
        <f>'Bon #BL25-0002'!E31</f>
        <v>DRC25-0006-C1R0</v>
      </c>
      <c r="E35" s="20" t="str">
        <f>'Bon #BL25-0002'!H31</f>
        <v>Caledonia</v>
      </c>
      <c r="F35" s="80">
        <f>'Bon #BL25-0002'!I31</f>
        <v>5</v>
      </c>
      <c r="G35" s="97" t="str">
        <f>'Bon #BL25-0002'!J31</f>
        <v>cash</v>
      </c>
      <c r="H35" s="375" t="str">
        <f>IF(OR(Source!L16="Salt and Pepper",Source!L16="Salt and Pepper Clear",Source!L16="Noir Cambrien",Source!L16="Cambrian Black"),"6802.99.0070","6802.93.0090")</f>
        <v>6802.93.0090</v>
      </c>
      <c r="I35" s="75">
        <f>'Bon #BL25-0002'!M31</f>
        <v>6</v>
      </c>
      <c r="J35" s="67">
        <f>'Bon #BL25-0002'!O31</f>
        <v>293.25</v>
      </c>
      <c r="K35" s="98">
        <f>'Bon #BL25-0002'!N31</f>
        <v>23</v>
      </c>
      <c r="L35" s="64">
        <f>'Bon #BL25-0002'!Q31</f>
        <v>2375.9</v>
      </c>
      <c r="M35" s="111">
        <f>'Bon #BL25-0002'!R31</f>
        <v>321.39999999999998</v>
      </c>
      <c r="N35" s="65" t="str">
        <f>'Bon #BL25-0002'!S31</f>
        <v>/ ea</v>
      </c>
      <c r="O35" s="112">
        <f>'Bon #BL25-0002'!T31</f>
        <v>1607</v>
      </c>
      <c r="P35" s="67"/>
      <c r="Q35" s="1"/>
      <c r="R35" s="45"/>
      <c r="S35" s="46"/>
      <c r="T35" s="45"/>
    </row>
    <row r="36" spans="1:20" s="16" customFormat="1" ht="35.25" customHeight="1" thickTop="1" thickBot="1">
      <c r="A36" s="79"/>
      <c r="B36" s="79" t="str">
        <f>'Bon #BL25-0002'!B32</f>
        <v>P#02</v>
      </c>
      <c r="C36" s="20" t="str">
        <f>'Bon #BL25-0002'!D32</f>
        <v>P#02 / null</v>
      </c>
      <c r="D36" s="20" t="str">
        <f>'Bon #BL25-0002'!E32</f>
        <v>DRC25-0006-C1R0</v>
      </c>
      <c r="E36" s="20" t="str">
        <f>'Bon #BL25-0002'!H32</f>
        <v>Caledonia</v>
      </c>
      <c r="F36" s="80">
        <f>'Bon #BL25-0002'!I32</f>
        <v>33</v>
      </c>
      <c r="G36" s="97" t="str">
        <f>'Bon #BL25-0002'!J32</f>
        <v>toto</v>
      </c>
      <c r="H36" s="375" t="str">
        <f>IF(OR(Source!L17="Salt and Pepper",Source!L17="Salt and Pepper Clear",Source!L17="Noir Cambrien",Source!L17="Cambrian Black"),"6802.99.0070","6802.93.0090")</f>
        <v>6802.93.0090</v>
      </c>
      <c r="I36" s="75">
        <f>'Bon #BL25-0002'!M32</f>
        <v>5</v>
      </c>
      <c r="J36" s="67">
        <f>'Bon #BL25-0002'!O32</f>
        <v>628.66669999999999</v>
      </c>
      <c r="K36" s="98">
        <f>'Bon #BL25-0002'!N32</f>
        <v>23</v>
      </c>
      <c r="L36" s="64">
        <f>'Bon #BL25-0002'!Q32</f>
        <v>12298.6</v>
      </c>
      <c r="M36" s="111">
        <f>'Bon #BL25-0002'!R32</f>
        <v>271.3</v>
      </c>
      <c r="N36" s="65" t="str">
        <f>'Bon #BL25-0002'!S32</f>
        <v>/ ea</v>
      </c>
      <c r="O36" s="112">
        <f>'Bon #BL25-0002'!T32</f>
        <v>8952.9</v>
      </c>
      <c r="P36" s="67"/>
      <c r="Q36" s="1"/>
      <c r="R36" s="45"/>
      <c r="S36" s="46"/>
      <c r="T36" s="45"/>
    </row>
    <row r="37" spans="1:20" s="16" customFormat="1" ht="35.25" hidden="1" customHeight="1" outlineLevel="1" thickTop="1" thickBot="1">
      <c r="A37" s="79"/>
      <c r="B37" s="97" t="s">
        <v>101</v>
      </c>
      <c r="C37" s="97"/>
      <c r="D37" s="81"/>
      <c r="E37" s="81"/>
      <c r="F37" s="83"/>
      <c r="G37" s="81"/>
      <c r="H37" s="84"/>
      <c r="I37" s="85"/>
      <c r="J37" s="86"/>
      <c r="K37" s="120"/>
      <c r="L37" s="88"/>
      <c r="M37" s="121"/>
      <c r="N37" s="104"/>
      <c r="O37" s="319">
        <f>TaxesPx</f>
        <v>0</v>
      </c>
      <c r="P37" s="67"/>
      <c r="Q37" s="1"/>
      <c r="R37" s="45"/>
      <c r="S37" s="46"/>
      <c r="T37" s="45"/>
    </row>
    <row r="38" spans="1:20" s="16" customFormat="1" ht="35.25" hidden="1" customHeight="1" outlineLevel="1" thickTop="1" thickBot="1">
      <c r="A38" s="20"/>
      <c r="B38" s="407" t="s">
        <v>102</v>
      </c>
      <c r="C38" s="406"/>
      <c r="D38" s="81"/>
      <c r="E38" s="82"/>
      <c r="F38" s="83"/>
      <c r="G38" s="82"/>
      <c r="H38" s="84"/>
      <c r="I38" s="85"/>
      <c r="J38" s="86"/>
      <c r="K38" s="87"/>
      <c r="L38" s="88"/>
      <c r="M38" s="89"/>
      <c r="N38" s="90"/>
      <c r="O38" s="319">
        <f>CourtagePx</f>
        <v>0</v>
      </c>
      <c r="P38" s="67"/>
      <c r="Q38" s="1"/>
      <c r="R38" s="45"/>
      <c r="S38" s="46"/>
      <c r="T38" s="45"/>
    </row>
    <row r="39" spans="1:20" s="16" customFormat="1" ht="35.25" hidden="1" customHeight="1" outlineLevel="1" thickTop="1" thickBot="1">
      <c r="A39" s="20"/>
      <c r="B39" s="20" t="s">
        <v>103</v>
      </c>
      <c r="C39" s="97"/>
      <c r="D39" s="81"/>
      <c r="E39" s="82"/>
      <c r="F39" s="83"/>
      <c r="G39" s="82"/>
      <c r="H39" s="84"/>
      <c r="I39" s="85"/>
      <c r="J39" s="86"/>
      <c r="K39" s="87"/>
      <c r="L39" s="88"/>
      <c r="M39" s="89"/>
      <c r="N39" s="90"/>
      <c r="O39" s="319">
        <f>FretPx</f>
        <v>0</v>
      </c>
      <c r="P39" s="67"/>
      <c r="Q39" s="1"/>
      <c r="R39" s="45"/>
      <c r="S39" s="46"/>
      <c r="T39" s="45"/>
    </row>
    <row r="40" spans="1:20" ht="15" customHeight="1" collapsed="1" thickTop="1">
      <c r="E40" s="17"/>
      <c r="F40" s="17"/>
      <c r="G40" s="17"/>
      <c r="H40" s="74"/>
      <c r="J40" s="19"/>
      <c r="K40" s="19"/>
      <c r="O40" s="18"/>
    </row>
    <row r="41" spans="1:20" ht="15" customHeight="1">
      <c r="E41" s="17"/>
      <c r="F41" s="17"/>
      <c r="G41" s="17"/>
      <c r="H41" s="74"/>
      <c r="J41" s="19"/>
      <c r="K41" s="19"/>
      <c r="O41" s="18"/>
    </row>
    <row r="42" spans="1:20" ht="15" customHeight="1">
      <c r="E42" s="17"/>
      <c r="F42" s="17"/>
      <c r="G42" s="17"/>
      <c r="H42" s="74"/>
      <c r="J42" s="19"/>
      <c r="K42" s="19"/>
      <c r="O42" s="18"/>
    </row>
    <row r="43" spans="1:20" ht="15" customHeight="1">
      <c r="E43" s="17"/>
      <c r="F43" s="17"/>
      <c r="G43" s="17"/>
      <c r="H43" s="74"/>
      <c r="J43" s="19"/>
      <c r="K43" s="19"/>
      <c r="O43" s="18"/>
    </row>
    <row r="44" spans="1:20" ht="15" customHeight="1">
      <c r="E44" s="17"/>
      <c r="F44" s="17"/>
      <c r="G44" s="17"/>
      <c r="H44" s="74"/>
      <c r="J44" s="19"/>
      <c r="K44" s="19"/>
      <c r="O44" s="18"/>
    </row>
    <row r="45" spans="1:20" ht="15" customHeight="1">
      <c r="E45" s="17"/>
      <c r="F45" s="17"/>
      <c r="G45" s="17"/>
      <c r="H45" s="74"/>
      <c r="J45" s="19"/>
      <c r="K45" s="19"/>
      <c r="O45" s="18"/>
    </row>
    <row r="46" spans="1:20" ht="15" customHeight="1">
      <c r="E46" s="17"/>
      <c r="F46" s="17"/>
      <c r="G46" s="17"/>
      <c r="H46" s="74"/>
      <c r="J46" s="19"/>
      <c r="K46" s="19"/>
      <c r="O46" s="18"/>
    </row>
    <row r="47" spans="1:20" ht="15" customHeight="1">
      <c r="E47" s="17"/>
      <c r="F47" s="17"/>
      <c r="G47" s="17"/>
      <c r="H47" s="74"/>
      <c r="J47" s="19"/>
      <c r="K47" s="19"/>
      <c r="O47" s="18"/>
    </row>
    <row r="48" spans="1:20" ht="15" customHeight="1">
      <c r="E48" s="17"/>
      <c r="F48" s="17"/>
      <c r="G48" s="17"/>
      <c r="H48" s="74"/>
      <c r="J48" s="19"/>
      <c r="K48" s="19"/>
      <c r="O48" s="18"/>
    </row>
    <row r="49" spans="5:15" ht="15" customHeight="1">
      <c r="E49" s="17"/>
      <c r="F49" s="17"/>
      <c r="G49" s="17"/>
      <c r="H49" s="74"/>
      <c r="J49" s="19"/>
      <c r="K49" s="19"/>
      <c r="O49" s="18"/>
    </row>
    <row r="50" spans="5:15" ht="15" customHeight="1">
      <c r="E50" s="17"/>
      <c r="F50" s="17"/>
      <c r="G50" s="17"/>
      <c r="H50" s="74"/>
      <c r="J50" s="19"/>
      <c r="K50" s="19"/>
      <c r="O50" s="18"/>
    </row>
    <row r="51" spans="5:15" ht="15" customHeight="1">
      <c r="E51" s="17"/>
      <c r="F51" s="17"/>
      <c r="G51" s="17"/>
      <c r="H51" s="74"/>
      <c r="J51" s="19"/>
      <c r="K51" s="19"/>
      <c r="O51" s="18"/>
    </row>
    <row r="52" spans="5:15" ht="15" customHeight="1">
      <c r="E52" s="17"/>
      <c r="F52" s="17"/>
      <c r="G52" s="17"/>
      <c r="H52" s="74"/>
      <c r="J52" s="19"/>
      <c r="K52" s="19"/>
      <c r="O52" s="18"/>
    </row>
    <row r="53" spans="5:15" ht="15" customHeight="1">
      <c r="E53" s="17"/>
      <c r="F53" s="17"/>
      <c r="G53" s="17"/>
      <c r="H53" s="74"/>
      <c r="J53" s="19"/>
      <c r="K53" s="19"/>
      <c r="O53" s="18"/>
    </row>
    <row r="54" spans="5:15" ht="15" customHeight="1">
      <c r="E54" s="17"/>
      <c r="F54" s="17"/>
      <c r="G54" s="17"/>
      <c r="H54" s="74"/>
      <c r="J54" s="19"/>
      <c r="K54" s="19"/>
      <c r="O54" s="18"/>
    </row>
    <row r="55" spans="5:15" ht="15" customHeight="1">
      <c r="E55" s="17"/>
      <c r="F55" s="17"/>
      <c r="G55" s="17"/>
      <c r="H55" s="74"/>
      <c r="J55" s="19"/>
      <c r="K55" s="19"/>
      <c r="O55" s="18"/>
    </row>
    <row r="56" spans="5:15" ht="15" customHeight="1">
      <c r="E56" s="17"/>
      <c r="F56" s="17"/>
      <c r="G56" s="17"/>
      <c r="H56" s="74"/>
      <c r="J56" s="19"/>
      <c r="K56" s="19"/>
      <c r="O56" s="18"/>
    </row>
    <row r="57" spans="5:15" ht="15" customHeight="1">
      <c r="E57" s="17"/>
      <c r="F57" s="17"/>
      <c r="G57" s="17"/>
      <c r="H57" s="74"/>
      <c r="J57" s="19"/>
      <c r="K57" s="19"/>
      <c r="O57" s="18"/>
    </row>
    <row r="58" spans="5:15" ht="15" customHeight="1">
      <c r="E58" s="17"/>
      <c r="F58" s="17"/>
      <c r="G58" s="17"/>
      <c r="H58" s="74"/>
      <c r="J58" s="19"/>
      <c r="K58" s="19"/>
      <c r="O58" s="18"/>
    </row>
    <row r="59" spans="5:15" ht="15" customHeight="1">
      <c r="E59" s="17"/>
      <c r="F59" s="17"/>
      <c r="G59" s="17"/>
      <c r="H59" s="74"/>
      <c r="J59" s="19"/>
      <c r="K59" s="19"/>
      <c r="O59" s="18"/>
    </row>
    <row r="60" spans="5:15" ht="15" customHeight="1">
      <c r="E60" s="17"/>
      <c r="F60" s="17"/>
      <c r="G60" s="17"/>
      <c r="H60" s="74"/>
      <c r="J60" s="19"/>
      <c r="K60" s="19"/>
      <c r="O60" s="18"/>
    </row>
    <row r="61" spans="5:15" ht="15" customHeight="1">
      <c r="E61" s="17"/>
      <c r="F61" s="17"/>
      <c r="G61" s="17"/>
      <c r="H61" s="74"/>
      <c r="J61" s="19"/>
      <c r="K61" s="19"/>
      <c r="O61" s="18"/>
    </row>
    <row r="62" spans="5:15" ht="15" customHeight="1">
      <c r="E62" s="17"/>
      <c r="F62" s="17"/>
      <c r="G62" s="17"/>
      <c r="H62" s="74"/>
      <c r="J62" s="19"/>
      <c r="K62" s="19"/>
      <c r="O62" s="18"/>
    </row>
    <row r="63" spans="5:15" ht="15" customHeight="1">
      <c r="E63" s="17"/>
      <c r="F63" s="17"/>
      <c r="G63" s="17"/>
      <c r="H63" s="74"/>
      <c r="J63" s="19"/>
      <c r="K63" s="19"/>
      <c r="O63" s="18"/>
    </row>
    <row r="64" spans="5:15" ht="15" customHeight="1">
      <c r="E64" s="17"/>
      <c r="F64" s="17"/>
      <c r="G64" s="17"/>
      <c r="H64" s="74"/>
      <c r="J64" s="19"/>
      <c r="K64" s="19"/>
      <c r="O64" s="18"/>
    </row>
    <row r="65" spans="5:15" ht="15" customHeight="1">
      <c r="E65" s="17"/>
      <c r="F65" s="17"/>
      <c r="G65" s="17"/>
      <c r="H65" s="74"/>
      <c r="J65" s="19"/>
      <c r="K65" s="19"/>
      <c r="O65" s="18"/>
    </row>
    <row r="66" spans="5:15" ht="15" customHeight="1">
      <c r="E66" s="17"/>
      <c r="F66" s="17"/>
      <c r="G66" s="17"/>
      <c r="H66" s="74"/>
      <c r="J66" s="19"/>
      <c r="K66" s="19"/>
      <c r="O66" s="18"/>
    </row>
    <row r="67" spans="5:15" ht="15" customHeight="1">
      <c r="E67" s="17"/>
      <c r="F67" s="17"/>
      <c r="G67" s="17"/>
      <c r="H67" s="74"/>
      <c r="J67" s="19"/>
      <c r="K67" s="19"/>
      <c r="O67" s="18"/>
    </row>
    <row r="68" spans="5:15" ht="15" customHeight="1">
      <c r="E68" s="17"/>
      <c r="F68" s="17"/>
      <c r="G68" s="17"/>
      <c r="H68" s="74"/>
      <c r="J68" s="19"/>
      <c r="K68" s="19"/>
      <c r="O68" s="18"/>
    </row>
    <row r="69" spans="5:15" ht="15" customHeight="1">
      <c r="E69" s="17"/>
      <c r="F69" s="17"/>
      <c r="G69" s="17"/>
      <c r="H69" s="74"/>
      <c r="J69" s="19"/>
      <c r="K69" s="19"/>
      <c r="O69" s="18"/>
    </row>
    <row r="70" spans="5:15" ht="15" customHeight="1">
      <c r="E70" s="17"/>
      <c r="F70" s="17"/>
      <c r="G70" s="17"/>
      <c r="H70" s="74"/>
      <c r="J70" s="19"/>
      <c r="K70" s="19"/>
      <c r="O70" s="18"/>
    </row>
    <row r="71" spans="5:15" ht="15" customHeight="1">
      <c r="E71" s="17"/>
      <c r="F71" s="17"/>
      <c r="G71" s="17"/>
      <c r="H71" s="74"/>
      <c r="J71" s="19"/>
      <c r="K71" s="19"/>
      <c r="O71" s="18"/>
    </row>
    <row r="72" spans="5:15" ht="15" customHeight="1">
      <c r="E72" s="17"/>
      <c r="F72" s="17"/>
      <c r="G72" s="17"/>
      <c r="H72" s="74"/>
      <c r="J72" s="19"/>
      <c r="K72" s="19"/>
      <c r="O72" s="18"/>
    </row>
    <row r="73" spans="5:15" ht="15" customHeight="1">
      <c r="E73" s="17"/>
      <c r="F73" s="17"/>
      <c r="G73" s="17"/>
      <c r="H73" s="74"/>
      <c r="J73" s="19"/>
      <c r="K73" s="19"/>
      <c r="O73" s="18"/>
    </row>
    <row r="74" spans="5:15" ht="15" customHeight="1">
      <c r="E74" s="17"/>
      <c r="F74" s="17"/>
      <c r="G74" s="17"/>
      <c r="H74" s="74"/>
      <c r="J74" s="19"/>
      <c r="K74" s="19"/>
      <c r="O74" s="18"/>
    </row>
    <row r="75" spans="5:15" ht="15" customHeight="1">
      <c r="E75" s="17"/>
      <c r="F75" s="17"/>
      <c r="G75" s="17"/>
      <c r="H75" s="74"/>
      <c r="J75" s="19"/>
      <c r="K75" s="19"/>
      <c r="O75" s="18"/>
    </row>
    <row r="76" spans="5:15" ht="15" customHeight="1">
      <c r="E76" s="17"/>
      <c r="F76" s="17"/>
      <c r="G76" s="17"/>
      <c r="H76" s="74"/>
      <c r="J76" s="19"/>
      <c r="K76" s="19"/>
      <c r="O76" s="18"/>
    </row>
    <row r="77" spans="5:15" ht="15" customHeight="1">
      <c r="E77" s="17"/>
      <c r="F77" s="17"/>
      <c r="G77" s="17"/>
      <c r="H77" s="74"/>
      <c r="J77" s="19"/>
      <c r="K77" s="19"/>
      <c r="O77" s="18"/>
    </row>
    <row r="78" spans="5:15" ht="15" customHeight="1">
      <c r="E78" s="17"/>
      <c r="F78" s="17"/>
      <c r="G78" s="17"/>
      <c r="H78" s="74"/>
      <c r="J78" s="19"/>
      <c r="K78" s="19"/>
      <c r="O78" s="18"/>
    </row>
    <row r="79" spans="5:15" ht="15" customHeight="1">
      <c r="E79" s="17"/>
      <c r="F79" s="17"/>
      <c r="G79" s="17"/>
      <c r="H79" s="74"/>
      <c r="J79" s="19"/>
      <c r="K79" s="19"/>
      <c r="O79" s="18"/>
    </row>
    <row r="80" spans="5:15" ht="15" customHeight="1">
      <c r="E80" s="17"/>
      <c r="F80" s="17"/>
      <c r="G80" s="17"/>
      <c r="H80" s="74"/>
      <c r="J80" s="19"/>
      <c r="K80" s="19"/>
      <c r="O80" s="18"/>
    </row>
    <row r="81" spans="5:15" ht="15" customHeight="1">
      <c r="E81" s="17"/>
      <c r="F81" s="17"/>
      <c r="G81" s="17"/>
      <c r="H81" s="74"/>
      <c r="J81" s="19"/>
      <c r="K81" s="19"/>
      <c r="O81" s="18"/>
    </row>
    <row r="82" spans="5:15" ht="15" customHeight="1">
      <c r="E82" s="17"/>
      <c r="F82" s="17"/>
      <c r="G82" s="17"/>
      <c r="H82" s="74"/>
      <c r="J82" s="19"/>
      <c r="K82" s="19"/>
      <c r="O82" s="18"/>
    </row>
    <row r="83" spans="5:15" ht="15" customHeight="1">
      <c r="E83" s="17"/>
      <c r="F83" s="17"/>
      <c r="G83" s="17"/>
      <c r="H83" s="74"/>
      <c r="J83" s="19"/>
      <c r="K83" s="19"/>
      <c r="O83" s="18"/>
    </row>
    <row r="84" spans="5:15" ht="15" customHeight="1">
      <c r="E84" s="17"/>
      <c r="F84" s="17"/>
      <c r="G84" s="17"/>
      <c r="H84" s="74"/>
      <c r="J84" s="19"/>
      <c r="K84" s="19"/>
      <c r="O84" s="18"/>
    </row>
    <row r="85" spans="5:15" ht="15" customHeight="1">
      <c r="E85" s="17"/>
      <c r="F85" s="17"/>
      <c r="G85" s="17"/>
      <c r="H85" s="74"/>
      <c r="J85" s="19"/>
      <c r="K85" s="19"/>
      <c r="O85" s="18"/>
    </row>
    <row r="86" spans="5:15" ht="15" customHeight="1">
      <c r="E86" s="17"/>
      <c r="F86" s="17"/>
      <c r="G86" s="17"/>
      <c r="H86" s="74"/>
      <c r="J86" s="19"/>
      <c r="K86" s="19"/>
      <c r="O86" s="18"/>
    </row>
    <row r="87" spans="5:15" ht="15" customHeight="1">
      <c r="E87" s="17"/>
      <c r="F87" s="17"/>
      <c r="G87" s="17"/>
      <c r="H87" s="74"/>
      <c r="J87" s="19"/>
      <c r="K87" s="19"/>
      <c r="O87" s="18"/>
    </row>
    <row r="88" spans="5:15" ht="15" customHeight="1">
      <c r="E88" s="17"/>
      <c r="F88" s="17"/>
      <c r="G88" s="17"/>
      <c r="H88" s="74"/>
      <c r="J88" s="19"/>
      <c r="K88" s="19"/>
      <c r="O88" s="18"/>
    </row>
    <row r="89" spans="5:15" ht="15" customHeight="1">
      <c r="E89" s="17"/>
      <c r="F89" s="17"/>
      <c r="G89" s="17"/>
      <c r="H89" s="74"/>
      <c r="J89" s="19"/>
      <c r="K89" s="19"/>
      <c r="O89" s="18"/>
    </row>
    <row r="90" spans="5:15" ht="15" customHeight="1">
      <c r="E90" s="17"/>
      <c r="F90" s="17"/>
      <c r="G90" s="17"/>
      <c r="H90" s="74"/>
      <c r="J90" s="19"/>
      <c r="K90" s="19"/>
      <c r="O90" s="18"/>
    </row>
    <row r="91" spans="5:15" ht="15" customHeight="1">
      <c r="E91" s="17"/>
      <c r="F91" s="17"/>
      <c r="G91" s="17"/>
      <c r="H91" s="74"/>
      <c r="J91" s="19"/>
      <c r="K91" s="19"/>
      <c r="O91" s="18"/>
    </row>
    <row r="92" spans="5:15" ht="15" customHeight="1">
      <c r="E92" s="17"/>
      <c r="F92" s="17"/>
      <c r="G92" s="17"/>
      <c r="H92" s="74"/>
      <c r="J92" s="19"/>
      <c r="K92" s="19"/>
      <c r="O92" s="18"/>
    </row>
    <row r="93" spans="5:15" ht="15" customHeight="1">
      <c r="E93" s="17"/>
      <c r="F93" s="17"/>
      <c r="G93" s="17"/>
      <c r="H93" s="74"/>
      <c r="J93" s="19"/>
      <c r="K93" s="19"/>
      <c r="O93" s="18"/>
    </row>
    <row r="94" spans="5:15" ht="15" customHeight="1">
      <c r="E94" s="17"/>
      <c r="F94" s="17"/>
      <c r="G94" s="17"/>
      <c r="H94" s="74"/>
      <c r="J94" s="19"/>
      <c r="K94" s="19"/>
      <c r="O94" s="18"/>
    </row>
    <row r="95" spans="5:15" ht="15" customHeight="1">
      <c r="E95" s="17"/>
      <c r="F95" s="17"/>
      <c r="G95" s="17"/>
      <c r="H95" s="74"/>
      <c r="J95" s="19"/>
      <c r="K95" s="19"/>
      <c r="O95" s="18"/>
    </row>
    <row r="96" spans="5:15" ht="15" customHeight="1">
      <c r="E96" s="17"/>
      <c r="F96" s="17"/>
      <c r="G96" s="17"/>
      <c r="H96" s="74"/>
      <c r="J96" s="19"/>
      <c r="K96" s="19"/>
      <c r="O96" s="18"/>
    </row>
    <row r="97" spans="5:15" ht="15" customHeight="1">
      <c r="E97" s="17"/>
      <c r="F97" s="17"/>
      <c r="G97" s="17"/>
      <c r="H97" s="74"/>
      <c r="J97" s="19"/>
      <c r="K97" s="19"/>
      <c r="O97" s="18"/>
    </row>
    <row r="98" spans="5:15" ht="15" customHeight="1">
      <c r="E98" s="17"/>
      <c r="F98" s="17"/>
      <c r="G98" s="17"/>
      <c r="H98" s="74"/>
      <c r="J98" s="19"/>
      <c r="K98" s="19"/>
      <c r="O98" s="18"/>
    </row>
    <row r="99" spans="5:15" ht="15" customHeight="1">
      <c r="E99" s="17"/>
      <c r="F99" s="17"/>
      <c r="G99" s="17"/>
      <c r="H99" s="74"/>
      <c r="J99" s="19"/>
      <c r="K99" s="19"/>
      <c r="O99" s="18"/>
    </row>
    <row r="100" spans="5:15" ht="15" customHeight="1">
      <c r="E100" s="17"/>
      <c r="F100" s="17"/>
      <c r="G100" s="17"/>
      <c r="H100" s="74"/>
      <c r="J100" s="19"/>
      <c r="K100" s="19"/>
      <c r="O100" s="18"/>
    </row>
    <row r="101" spans="5:15" ht="15" customHeight="1">
      <c r="E101" s="17"/>
      <c r="F101" s="17"/>
      <c r="G101" s="17"/>
      <c r="H101" s="74"/>
      <c r="J101" s="19"/>
      <c r="K101" s="19"/>
      <c r="O101" s="18"/>
    </row>
    <row r="102" spans="5:15" ht="15" customHeight="1">
      <c r="E102" s="17"/>
      <c r="F102" s="17"/>
      <c r="G102" s="17"/>
      <c r="H102" s="74"/>
      <c r="J102" s="19"/>
      <c r="K102" s="19"/>
      <c r="O102" s="18"/>
    </row>
    <row r="103" spans="5:15" ht="15" customHeight="1">
      <c r="E103" s="17"/>
      <c r="F103" s="17"/>
      <c r="G103" s="17"/>
      <c r="H103" s="74"/>
      <c r="J103" s="19"/>
      <c r="K103" s="19"/>
      <c r="O103" s="18"/>
    </row>
    <row r="104" spans="5:15" ht="15" customHeight="1">
      <c r="E104" s="17"/>
      <c r="F104" s="17"/>
      <c r="G104" s="17"/>
      <c r="H104" s="74"/>
      <c r="J104" s="19"/>
      <c r="K104" s="19"/>
      <c r="O104" s="18"/>
    </row>
    <row r="105" spans="5:15" ht="15" customHeight="1">
      <c r="E105" s="17"/>
      <c r="F105" s="17"/>
      <c r="G105" s="17"/>
      <c r="H105" s="74"/>
      <c r="J105" s="19"/>
      <c r="K105" s="19"/>
      <c r="O105" s="18"/>
    </row>
    <row r="106" spans="5:15" ht="15" customHeight="1">
      <c r="E106" s="17"/>
      <c r="F106" s="17"/>
      <c r="G106" s="17"/>
      <c r="H106" s="74"/>
      <c r="J106" s="19"/>
      <c r="K106" s="19"/>
      <c r="O106" s="18"/>
    </row>
    <row r="107" spans="5:15" ht="15" customHeight="1">
      <c r="E107" s="17"/>
      <c r="F107" s="17"/>
      <c r="G107" s="17"/>
      <c r="H107" s="74"/>
      <c r="J107" s="19"/>
      <c r="K107" s="19"/>
      <c r="O107" s="18"/>
    </row>
    <row r="108" spans="5:15" ht="15" customHeight="1">
      <c r="E108" s="17"/>
      <c r="F108" s="17"/>
      <c r="G108" s="17"/>
      <c r="H108" s="74"/>
      <c r="J108" s="19"/>
      <c r="K108" s="19"/>
      <c r="O108" s="18"/>
    </row>
    <row r="109" spans="5:15" ht="15" customHeight="1">
      <c r="E109" s="17"/>
      <c r="F109" s="17"/>
      <c r="G109" s="17"/>
      <c r="H109" s="74"/>
      <c r="J109" s="19"/>
      <c r="K109" s="19"/>
      <c r="O109" s="18"/>
    </row>
    <row r="110" spans="5:15" ht="15" customHeight="1">
      <c r="E110" s="17"/>
      <c r="F110" s="17"/>
      <c r="G110" s="17"/>
      <c r="H110" s="74"/>
      <c r="J110" s="19"/>
      <c r="K110" s="19"/>
      <c r="O110" s="18"/>
    </row>
    <row r="111" spans="5:15" ht="15" customHeight="1">
      <c r="E111" s="17"/>
      <c r="F111" s="17"/>
      <c r="G111" s="17"/>
      <c r="H111" s="74"/>
      <c r="J111" s="19"/>
      <c r="K111" s="19"/>
      <c r="O111" s="18"/>
    </row>
    <row r="112" spans="5:15" ht="15" customHeight="1">
      <c r="E112" s="17"/>
      <c r="F112" s="17"/>
      <c r="G112" s="17"/>
      <c r="H112" s="74"/>
      <c r="J112" s="19"/>
      <c r="K112" s="19"/>
      <c r="O112" s="18"/>
    </row>
    <row r="113" spans="5:15" ht="15" customHeight="1">
      <c r="E113" s="17"/>
      <c r="F113" s="17"/>
      <c r="G113" s="17"/>
      <c r="H113" s="74"/>
      <c r="J113" s="19"/>
      <c r="K113" s="19"/>
      <c r="O113" s="18"/>
    </row>
    <row r="114" spans="5:15" ht="15" customHeight="1">
      <c r="E114" s="17"/>
      <c r="F114" s="17"/>
      <c r="G114" s="17"/>
      <c r="H114" s="74"/>
      <c r="J114" s="19"/>
      <c r="K114" s="19"/>
      <c r="O114" s="18"/>
    </row>
    <row r="115" spans="5:15" ht="15" customHeight="1">
      <c r="E115" s="17"/>
      <c r="F115" s="17"/>
      <c r="G115" s="17"/>
      <c r="H115" s="74"/>
      <c r="J115" s="19"/>
      <c r="K115" s="19"/>
      <c r="O115" s="18"/>
    </row>
    <row r="116" spans="5:15" ht="15" customHeight="1">
      <c r="E116" s="17"/>
      <c r="F116" s="17"/>
      <c r="G116" s="17"/>
      <c r="H116" s="74"/>
      <c r="J116" s="19"/>
      <c r="K116" s="19"/>
      <c r="O116" s="18"/>
    </row>
    <row r="117" spans="5:15" ht="15" customHeight="1">
      <c r="E117" s="17"/>
      <c r="F117" s="17"/>
      <c r="G117" s="17"/>
      <c r="H117" s="74"/>
      <c r="J117" s="19"/>
      <c r="K117" s="19"/>
      <c r="O117" s="18"/>
    </row>
    <row r="118" spans="5:15" ht="15" customHeight="1">
      <c r="E118" s="17"/>
      <c r="F118" s="17"/>
      <c r="G118" s="17"/>
      <c r="H118" s="74"/>
      <c r="J118" s="19"/>
      <c r="K118" s="19"/>
      <c r="O118" s="18"/>
    </row>
    <row r="119" spans="5:15" ht="15" customHeight="1">
      <c r="E119" s="17"/>
      <c r="F119" s="17"/>
      <c r="G119" s="17"/>
      <c r="H119" s="74"/>
      <c r="J119" s="19"/>
      <c r="K119" s="19"/>
      <c r="O119" s="18"/>
    </row>
    <row r="120" spans="5:15" ht="15" customHeight="1">
      <c r="E120" s="17"/>
      <c r="F120" s="17"/>
      <c r="G120" s="17"/>
      <c r="H120" s="74"/>
      <c r="J120" s="19"/>
      <c r="K120" s="19"/>
      <c r="O120" s="18"/>
    </row>
    <row r="121" spans="5:15" ht="15" customHeight="1">
      <c r="E121" s="17"/>
      <c r="F121" s="17"/>
      <c r="G121" s="17"/>
      <c r="H121" s="74"/>
      <c r="J121" s="19"/>
      <c r="K121" s="19"/>
      <c r="O121" s="18"/>
    </row>
    <row r="122" spans="5:15" ht="15" customHeight="1">
      <c r="E122" s="17"/>
      <c r="F122" s="17"/>
      <c r="G122" s="17"/>
      <c r="H122" s="74"/>
      <c r="J122" s="19"/>
      <c r="K122" s="19"/>
      <c r="O122" s="18"/>
    </row>
    <row r="123" spans="5:15" ht="15" customHeight="1">
      <c r="E123" s="17"/>
      <c r="F123" s="17"/>
      <c r="G123" s="17"/>
      <c r="H123" s="74"/>
      <c r="J123" s="19"/>
      <c r="K123" s="19"/>
      <c r="O123" s="18"/>
    </row>
    <row r="124" spans="5:15" ht="15" customHeight="1">
      <c r="E124" s="17"/>
      <c r="F124" s="17"/>
      <c r="G124" s="17"/>
      <c r="H124" s="74"/>
      <c r="J124" s="19"/>
      <c r="K124" s="19"/>
      <c r="O124" s="18"/>
    </row>
    <row r="125" spans="5:15" ht="15" customHeight="1">
      <c r="E125" s="17"/>
      <c r="F125" s="17"/>
      <c r="G125" s="17"/>
      <c r="H125" s="74"/>
      <c r="J125" s="19"/>
      <c r="K125" s="19"/>
      <c r="O125" s="18"/>
    </row>
    <row r="126" spans="5:15" ht="15" customHeight="1">
      <c r="E126" s="17"/>
      <c r="F126" s="17"/>
      <c r="G126" s="17"/>
      <c r="H126" s="74"/>
      <c r="J126" s="19"/>
      <c r="K126" s="19"/>
      <c r="O126" s="18"/>
    </row>
    <row r="127" spans="5:15" ht="15" customHeight="1">
      <c r="E127" s="17"/>
      <c r="F127" s="17"/>
      <c r="G127" s="17"/>
      <c r="H127" s="74"/>
      <c r="J127" s="19"/>
      <c r="K127" s="19"/>
      <c r="O127" s="18"/>
    </row>
    <row r="128" spans="5:15" ht="15" customHeight="1">
      <c r="E128" s="17"/>
      <c r="F128" s="17"/>
      <c r="G128" s="17"/>
      <c r="H128" s="74"/>
      <c r="J128" s="19"/>
      <c r="K128" s="19"/>
      <c r="O128" s="18"/>
    </row>
    <row r="129" spans="5:15" ht="15" customHeight="1">
      <c r="E129" s="17"/>
      <c r="F129" s="17"/>
      <c r="G129" s="17"/>
      <c r="H129" s="74"/>
      <c r="J129" s="19"/>
      <c r="K129" s="19"/>
      <c r="O129" s="18"/>
    </row>
    <row r="130" spans="5:15" ht="15" customHeight="1">
      <c r="E130" s="17"/>
      <c r="F130" s="17"/>
      <c r="G130" s="17"/>
      <c r="H130" s="74"/>
      <c r="J130" s="19"/>
      <c r="K130" s="19"/>
      <c r="O130" s="18"/>
    </row>
    <row r="131" spans="5:15" ht="15" customHeight="1">
      <c r="E131" s="17"/>
      <c r="F131" s="17"/>
      <c r="G131" s="17"/>
      <c r="H131" s="74"/>
      <c r="J131" s="19"/>
      <c r="K131" s="19"/>
      <c r="O131" s="18"/>
    </row>
    <row r="132" spans="5:15" ht="15" customHeight="1">
      <c r="E132" s="17"/>
      <c r="F132" s="17"/>
      <c r="G132" s="17"/>
      <c r="H132" s="74"/>
      <c r="J132" s="19"/>
      <c r="K132" s="19"/>
      <c r="O132" s="18"/>
    </row>
    <row r="133" spans="5:15" ht="15" customHeight="1">
      <c r="E133" s="17"/>
      <c r="F133" s="17"/>
      <c r="G133" s="17"/>
      <c r="H133" s="74"/>
      <c r="J133" s="19"/>
      <c r="K133" s="19"/>
      <c r="O133" s="18"/>
    </row>
    <row r="134" spans="5:15" ht="15" customHeight="1">
      <c r="E134" s="17"/>
      <c r="F134" s="17"/>
      <c r="G134" s="17"/>
      <c r="H134" s="74"/>
      <c r="J134" s="19"/>
      <c r="K134" s="19"/>
      <c r="O134" s="18"/>
    </row>
    <row r="135" spans="5:15" ht="15" customHeight="1">
      <c r="E135" s="17"/>
      <c r="F135" s="17"/>
      <c r="G135" s="17"/>
      <c r="H135" s="74"/>
      <c r="J135" s="19"/>
      <c r="K135" s="19"/>
      <c r="O135" s="18"/>
    </row>
    <row r="136" spans="5:15" ht="15" customHeight="1">
      <c r="E136" s="17"/>
      <c r="F136" s="17"/>
      <c r="G136" s="17"/>
      <c r="H136" s="74"/>
      <c r="J136" s="19"/>
      <c r="K136" s="19"/>
      <c r="O136" s="18"/>
    </row>
    <row r="137" spans="5:15" ht="15" customHeight="1">
      <c r="E137" s="17"/>
      <c r="F137" s="17"/>
      <c r="G137" s="17"/>
      <c r="H137" s="74"/>
      <c r="J137" s="19"/>
      <c r="K137" s="19"/>
      <c r="O137" s="18"/>
    </row>
    <row r="138" spans="5:15" ht="15" customHeight="1">
      <c r="E138" s="17"/>
      <c r="F138" s="17"/>
      <c r="G138" s="17"/>
      <c r="H138" s="74"/>
      <c r="J138" s="19"/>
      <c r="K138" s="19"/>
      <c r="O138" s="18"/>
    </row>
    <row r="139" spans="5:15" ht="15" customHeight="1">
      <c r="E139" s="17"/>
      <c r="F139" s="17"/>
      <c r="G139" s="17"/>
      <c r="H139" s="74"/>
      <c r="J139" s="19"/>
      <c r="K139" s="19"/>
      <c r="O139" s="18"/>
    </row>
    <row r="140" spans="5:15" ht="15" customHeight="1">
      <c r="E140" s="17"/>
      <c r="F140" s="17"/>
      <c r="G140" s="17"/>
      <c r="H140" s="74"/>
      <c r="J140" s="19"/>
      <c r="K140" s="19"/>
      <c r="O140" s="18"/>
    </row>
    <row r="141" spans="5:15" ht="15" customHeight="1">
      <c r="E141" s="17"/>
      <c r="F141" s="17"/>
      <c r="G141" s="17"/>
      <c r="H141" s="74"/>
      <c r="J141" s="19"/>
      <c r="K141" s="19"/>
      <c r="O141" s="18"/>
    </row>
    <row r="142" spans="5:15" ht="15" customHeight="1">
      <c r="E142" s="17"/>
      <c r="F142" s="17"/>
      <c r="G142" s="17"/>
      <c r="H142" s="74"/>
      <c r="J142" s="19"/>
      <c r="K142" s="19"/>
      <c r="O142" s="18"/>
    </row>
    <row r="143" spans="5:15" ht="15" customHeight="1">
      <c r="E143" s="17"/>
      <c r="F143" s="17"/>
      <c r="G143" s="17"/>
      <c r="H143" s="74"/>
      <c r="J143" s="19"/>
      <c r="K143" s="19"/>
      <c r="O143" s="18"/>
    </row>
    <row r="144" spans="5:15" ht="15" customHeight="1">
      <c r="E144" s="17"/>
      <c r="F144" s="17"/>
      <c r="G144" s="17"/>
      <c r="H144" s="74"/>
      <c r="J144" s="19"/>
      <c r="K144" s="19"/>
      <c r="O144" s="18"/>
    </row>
    <row r="145" spans="5:15" ht="15" customHeight="1">
      <c r="E145" s="17"/>
      <c r="F145" s="17"/>
      <c r="G145" s="17"/>
      <c r="H145" s="74"/>
      <c r="J145" s="19"/>
      <c r="K145" s="19"/>
      <c r="O145" s="18"/>
    </row>
    <row r="146" spans="5:15" ht="15" customHeight="1">
      <c r="E146" s="17"/>
      <c r="F146" s="17"/>
      <c r="G146" s="17"/>
      <c r="H146" s="74"/>
      <c r="J146" s="19"/>
      <c r="K146" s="19"/>
      <c r="O146" s="18"/>
    </row>
    <row r="147" spans="5:15" ht="15" customHeight="1">
      <c r="E147" s="17"/>
      <c r="F147" s="17"/>
      <c r="G147" s="17"/>
      <c r="H147" s="74"/>
      <c r="J147" s="19"/>
      <c r="K147" s="19"/>
      <c r="O147" s="18"/>
    </row>
    <row r="148" spans="5:15" ht="15" customHeight="1">
      <c r="E148" s="17"/>
      <c r="F148" s="17"/>
      <c r="G148" s="17"/>
      <c r="H148" s="74"/>
      <c r="J148" s="19"/>
      <c r="K148" s="19"/>
      <c r="O148" s="18"/>
    </row>
    <row r="149" spans="5:15" ht="15" customHeight="1">
      <c r="E149" s="17"/>
      <c r="F149" s="17"/>
      <c r="G149" s="17"/>
      <c r="H149" s="74"/>
      <c r="J149" s="19"/>
      <c r="K149" s="19"/>
      <c r="O149" s="18"/>
    </row>
    <row r="150" spans="5:15" ht="15" customHeight="1">
      <c r="E150" s="17"/>
      <c r="F150" s="17"/>
      <c r="G150" s="17"/>
      <c r="H150" s="74"/>
      <c r="J150" s="19"/>
      <c r="K150" s="19"/>
      <c r="O150" s="18"/>
    </row>
    <row r="151" spans="5:15" ht="15" customHeight="1">
      <c r="E151" s="17"/>
      <c r="F151" s="17"/>
      <c r="G151" s="17"/>
      <c r="H151" s="74"/>
      <c r="J151" s="19"/>
      <c r="K151" s="19"/>
      <c r="O151" s="18"/>
    </row>
    <row r="152" spans="5:15" ht="15" customHeight="1">
      <c r="E152" s="17"/>
      <c r="F152" s="17"/>
      <c r="G152" s="17"/>
      <c r="H152" s="74"/>
      <c r="J152" s="19"/>
      <c r="K152" s="19"/>
      <c r="O152" s="18"/>
    </row>
    <row r="153" spans="5:15" ht="15" customHeight="1">
      <c r="E153" s="17"/>
      <c r="F153" s="17"/>
      <c r="G153" s="17"/>
      <c r="H153" s="74"/>
      <c r="J153" s="19"/>
      <c r="K153" s="19"/>
      <c r="O153" s="18"/>
    </row>
    <row r="154" spans="5:15" ht="15" customHeight="1">
      <c r="E154" s="17"/>
      <c r="F154" s="17"/>
      <c r="G154" s="17"/>
      <c r="H154" s="74"/>
      <c r="J154" s="19"/>
      <c r="K154" s="19"/>
      <c r="O154" s="18"/>
    </row>
    <row r="155" spans="5:15" ht="15" customHeight="1">
      <c r="E155" s="17"/>
      <c r="F155" s="17"/>
      <c r="G155" s="17"/>
      <c r="H155" s="18"/>
      <c r="J155" s="19"/>
      <c r="K155" s="19"/>
      <c r="O155" s="18"/>
    </row>
    <row r="156" spans="5:15" ht="15" customHeight="1">
      <c r="E156" s="17"/>
      <c r="F156" s="17"/>
      <c r="G156" s="17"/>
      <c r="H156" s="18"/>
      <c r="J156" s="19"/>
      <c r="K156" s="19"/>
      <c r="O156" s="18"/>
    </row>
    <row r="157" spans="5:15" ht="15" customHeight="1">
      <c r="E157" s="17"/>
      <c r="F157" s="17"/>
      <c r="G157" s="17"/>
      <c r="H157" s="18"/>
      <c r="J157" s="19"/>
      <c r="K157" s="19"/>
      <c r="O157" s="18"/>
    </row>
    <row r="158" spans="5:15" ht="15" customHeight="1">
      <c r="E158" s="17"/>
      <c r="F158" s="17"/>
      <c r="G158" s="17"/>
      <c r="H158" s="18"/>
      <c r="J158" s="19"/>
      <c r="K158" s="19"/>
      <c r="O158" s="18"/>
    </row>
    <row r="159" spans="5:15" ht="15" customHeight="1">
      <c r="E159" s="17"/>
      <c r="F159" s="17"/>
      <c r="G159" s="17"/>
      <c r="H159" s="18"/>
      <c r="J159" s="19"/>
      <c r="K159" s="19"/>
      <c r="O159" s="18"/>
    </row>
    <row r="160" spans="5:15" ht="15" customHeight="1">
      <c r="E160" s="17"/>
      <c r="F160" s="17"/>
      <c r="G160" s="17"/>
      <c r="H160" s="18"/>
      <c r="J160" s="19"/>
      <c r="K160" s="19"/>
      <c r="O160" s="18"/>
    </row>
    <row r="161" spans="5:15" ht="15" customHeight="1">
      <c r="E161" s="17"/>
      <c r="F161" s="17"/>
      <c r="G161" s="17"/>
      <c r="H161" s="18"/>
      <c r="J161" s="19"/>
      <c r="K161" s="19"/>
      <c r="O161" s="18"/>
    </row>
    <row r="162" spans="5:15" ht="15" customHeight="1">
      <c r="E162" s="17"/>
      <c r="F162" s="17"/>
      <c r="G162" s="17"/>
      <c r="H162" s="18"/>
      <c r="J162" s="19"/>
      <c r="K162" s="19"/>
      <c r="O162" s="18"/>
    </row>
    <row r="163" spans="5:15" ht="15" customHeight="1">
      <c r="E163" s="17"/>
      <c r="F163" s="17"/>
      <c r="G163" s="17"/>
      <c r="H163" s="18"/>
      <c r="J163" s="19"/>
      <c r="K163" s="19"/>
      <c r="O163" s="18"/>
    </row>
    <row r="164" spans="5:15" ht="15" customHeight="1">
      <c r="E164" s="17"/>
      <c r="F164" s="17"/>
      <c r="G164" s="17"/>
      <c r="H164" s="18"/>
      <c r="J164" s="19"/>
      <c r="K164" s="19"/>
      <c r="O164" s="18"/>
    </row>
    <row r="165" spans="5:15" ht="15" customHeight="1">
      <c r="E165" s="17"/>
      <c r="F165" s="17"/>
      <c r="G165" s="17"/>
      <c r="H165" s="18"/>
      <c r="J165" s="19"/>
      <c r="K165" s="19"/>
      <c r="O165" s="18"/>
    </row>
    <row r="166" spans="5:15" ht="15" customHeight="1">
      <c r="E166" s="17"/>
      <c r="F166" s="17"/>
      <c r="G166" s="17"/>
      <c r="H166" s="18"/>
      <c r="J166" s="19"/>
      <c r="K166" s="19"/>
      <c r="O166" s="18"/>
    </row>
    <row r="167" spans="5:15" ht="15" customHeight="1">
      <c r="E167" s="17"/>
      <c r="F167" s="17"/>
      <c r="G167" s="17"/>
      <c r="H167" s="18"/>
      <c r="J167" s="19"/>
      <c r="K167" s="19"/>
      <c r="O167" s="18"/>
    </row>
    <row r="168" spans="5:15" ht="15" customHeight="1">
      <c r="E168" s="17"/>
      <c r="F168" s="17"/>
      <c r="G168" s="17"/>
      <c r="H168" s="18"/>
      <c r="J168" s="19"/>
      <c r="K168" s="19"/>
      <c r="O168" s="18"/>
    </row>
    <row r="169" spans="5:15" ht="15" customHeight="1">
      <c r="E169" s="17"/>
      <c r="F169" s="17"/>
      <c r="G169" s="17"/>
      <c r="H169" s="18"/>
      <c r="J169" s="19"/>
      <c r="K169" s="19"/>
      <c r="O169" s="18"/>
    </row>
    <row r="170" spans="5:15" ht="15" customHeight="1">
      <c r="E170" s="17"/>
      <c r="F170" s="17"/>
      <c r="G170" s="17"/>
      <c r="H170" s="18"/>
      <c r="J170" s="19"/>
      <c r="K170" s="19"/>
      <c r="O170" s="18"/>
    </row>
    <row r="171" spans="5:15" ht="15" customHeight="1">
      <c r="E171" s="17"/>
      <c r="F171" s="17"/>
      <c r="G171" s="17"/>
      <c r="H171" s="18"/>
      <c r="J171" s="19"/>
      <c r="K171" s="19"/>
      <c r="O171" s="18"/>
    </row>
    <row r="172" spans="5:15" ht="15" customHeight="1">
      <c r="E172" s="17"/>
      <c r="F172" s="17"/>
      <c r="G172" s="17"/>
      <c r="H172" s="18"/>
      <c r="J172" s="19"/>
      <c r="K172" s="19"/>
      <c r="O172" s="18"/>
    </row>
    <row r="173" spans="5:15" ht="15" customHeight="1">
      <c r="E173" s="17"/>
      <c r="F173" s="17"/>
      <c r="G173" s="17"/>
      <c r="H173" s="18"/>
      <c r="J173" s="19"/>
      <c r="K173" s="19"/>
      <c r="O173" s="18"/>
    </row>
    <row r="174" spans="5:15" ht="15" customHeight="1">
      <c r="E174" s="17"/>
      <c r="F174" s="17"/>
      <c r="G174" s="17"/>
      <c r="H174" s="18"/>
      <c r="J174" s="19"/>
      <c r="K174" s="19"/>
      <c r="O174" s="18"/>
    </row>
    <row r="175" spans="5:15" ht="15" customHeight="1">
      <c r="E175" s="17"/>
      <c r="F175" s="17"/>
      <c r="G175" s="17"/>
      <c r="H175" s="18"/>
      <c r="J175" s="19"/>
      <c r="K175" s="19"/>
      <c r="O175" s="18"/>
    </row>
    <row r="176" spans="5:15" ht="15" customHeight="1">
      <c r="E176" s="17"/>
      <c r="F176" s="17"/>
      <c r="G176" s="17"/>
      <c r="H176" s="18"/>
      <c r="J176" s="19"/>
      <c r="K176" s="19"/>
      <c r="O176" s="18"/>
    </row>
    <row r="177" spans="5:15" ht="15" customHeight="1">
      <c r="E177" s="17"/>
      <c r="F177" s="17"/>
      <c r="G177" s="17"/>
      <c r="H177" s="18"/>
      <c r="J177" s="19"/>
      <c r="K177" s="19"/>
      <c r="O177" s="18"/>
    </row>
    <row r="178" spans="5:15" ht="15" customHeight="1">
      <c r="E178" s="17"/>
      <c r="F178" s="17"/>
      <c r="G178" s="17"/>
      <c r="H178" s="18"/>
      <c r="J178" s="19"/>
      <c r="K178" s="19"/>
      <c r="O178" s="18"/>
    </row>
    <row r="179" spans="5:15" ht="15" customHeight="1">
      <c r="E179" s="17"/>
      <c r="F179" s="17"/>
      <c r="G179" s="17"/>
      <c r="H179" s="18"/>
      <c r="J179" s="19"/>
      <c r="K179" s="19"/>
      <c r="O179" s="18"/>
    </row>
    <row r="180" spans="5:15" ht="15" customHeight="1">
      <c r="E180" s="17"/>
      <c r="F180" s="17"/>
      <c r="G180" s="17"/>
      <c r="H180" s="18"/>
      <c r="J180" s="19"/>
      <c r="K180" s="19"/>
      <c r="O180" s="18"/>
    </row>
    <row r="181" spans="5:15" ht="15" customHeight="1">
      <c r="E181" s="17"/>
      <c r="F181" s="17"/>
      <c r="G181" s="17"/>
      <c r="H181" s="18"/>
      <c r="J181" s="19"/>
      <c r="K181" s="19"/>
      <c r="O181" s="18"/>
    </row>
    <row r="182" spans="5:15" ht="15" customHeight="1">
      <c r="E182" s="17"/>
      <c r="F182" s="17"/>
      <c r="G182" s="17"/>
      <c r="H182" s="18"/>
      <c r="J182" s="19"/>
      <c r="K182" s="19"/>
      <c r="O182" s="18"/>
    </row>
    <row r="183" spans="5:15" ht="15" customHeight="1">
      <c r="E183" s="17"/>
      <c r="F183" s="17"/>
      <c r="G183" s="17"/>
      <c r="H183" s="18"/>
      <c r="J183" s="19"/>
      <c r="K183" s="19"/>
      <c r="O183" s="18"/>
    </row>
    <row r="184" spans="5:15" ht="15" customHeight="1">
      <c r="E184" s="17"/>
      <c r="F184" s="17"/>
      <c r="G184" s="17"/>
      <c r="H184" s="18"/>
      <c r="J184" s="19"/>
      <c r="K184" s="19"/>
      <c r="O184" s="18"/>
    </row>
    <row r="185" spans="5:15" ht="15" customHeight="1">
      <c r="E185" s="17"/>
      <c r="F185" s="17"/>
      <c r="G185" s="17"/>
      <c r="H185" s="18"/>
      <c r="J185" s="19"/>
      <c r="K185" s="19"/>
      <c r="O185" s="18"/>
    </row>
    <row r="186" spans="5:15" ht="15" customHeight="1">
      <c r="E186" s="17"/>
      <c r="F186" s="17"/>
      <c r="G186" s="17"/>
      <c r="H186" s="18"/>
      <c r="J186" s="19"/>
      <c r="K186" s="19"/>
      <c r="O186" s="18"/>
    </row>
    <row r="187" spans="5:15" ht="15" customHeight="1">
      <c r="E187" s="17"/>
      <c r="F187" s="17"/>
      <c r="G187" s="17"/>
      <c r="H187" s="18"/>
      <c r="J187" s="19"/>
      <c r="K187" s="19"/>
      <c r="O187" s="18"/>
    </row>
    <row r="188" spans="5:15" ht="15" customHeight="1">
      <c r="E188" s="17"/>
      <c r="F188" s="17"/>
      <c r="G188" s="17"/>
      <c r="H188" s="18"/>
      <c r="J188" s="19"/>
      <c r="K188" s="19"/>
      <c r="O188" s="18"/>
    </row>
    <row r="189" spans="5:15" ht="15" customHeight="1">
      <c r="E189" s="17"/>
      <c r="F189" s="17"/>
      <c r="G189" s="17"/>
      <c r="H189" s="18"/>
      <c r="J189" s="19"/>
      <c r="K189" s="19"/>
      <c r="O189" s="18"/>
    </row>
    <row r="190" spans="5:15" ht="15" customHeight="1">
      <c r="E190" s="17"/>
      <c r="F190" s="17"/>
      <c r="G190" s="17"/>
      <c r="H190" s="18"/>
      <c r="J190" s="19"/>
      <c r="K190" s="19"/>
      <c r="O190" s="18"/>
    </row>
    <row r="191" spans="5:15" ht="15" customHeight="1">
      <c r="E191" s="17"/>
      <c r="F191" s="17"/>
      <c r="G191" s="17"/>
      <c r="H191" s="18"/>
      <c r="J191" s="19"/>
      <c r="K191" s="19"/>
      <c r="O191" s="18"/>
    </row>
    <row r="192" spans="5:15" ht="15" customHeight="1">
      <c r="E192" s="17"/>
      <c r="F192" s="17"/>
      <c r="G192" s="17"/>
      <c r="H192" s="18"/>
      <c r="J192" s="19"/>
      <c r="K192" s="19"/>
      <c r="O192" s="18"/>
    </row>
    <row r="193" spans="5:15" ht="15" customHeight="1">
      <c r="E193" s="17"/>
      <c r="F193" s="17"/>
      <c r="G193" s="17"/>
      <c r="H193" s="18"/>
      <c r="J193" s="19"/>
      <c r="K193" s="19"/>
      <c r="O193" s="18"/>
    </row>
    <row r="194" spans="5:15" ht="15" customHeight="1">
      <c r="E194" s="17"/>
      <c r="F194" s="17"/>
      <c r="G194" s="17"/>
      <c r="H194" s="18"/>
      <c r="J194" s="19"/>
      <c r="K194" s="19"/>
      <c r="O194" s="18"/>
    </row>
    <row r="195" spans="5:15" ht="15" customHeight="1">
      <c r="E195" s="17"/>
      <c r="F195" s="17"/>
      <c r="G195" s="17"/>
      <c r="H195" s="18"/>
      <c r="J195" s="19"/>
      <c r="K195" s="19"/>
      <c r="O195" s="18"/>
    </row>
    <row r="196" spans="5:15" ht="15" customHeight="1">
      <c r="E196" s="17"/>
      <c r="F196" s="17"/>
      <c r="G196" s="17"/>
      <c r="H196" s="18"/>
      <c r="J196" s="19"/>
      <c r="K196" s="19"/>
      <c r="O196" s="18"/>
    </row>
    <row r="197" spans="5:15" ht="15" customHeight="1">
      <c r="E197" s="17"/>
      <c r="F197" s="17"/>
      <c r="G197" s="17"/>
      <c r="H197" s="18"/>
      <c r="J197" s="19"/>
      <c r="K197" s="19"/>
      <c r="O197" s="18"/>
    </row>
    <row r="198" spans="5:15" ht="15" customHeight="1">
      <c r="E198" s="17"/>
      <c r="F198" s="17"/>
      <c r="G198" s="17"/>
      <c r="H198" s="18"/>
      <c r="J198" s="19"/>
      <c r="K198" s="19"/>
      <c r="O198" s="18"/>
    </row>
    <row r="199" spans="5:15" ht="15" customHeight="1">
      <c r="E199" s="17"/>
      <c r="F199" s="17"/>
      <c r="G199" s="17"/>
      <c r="H199" s="18"/>
      <c r="J199" s="19"/>
      <c r="K199" s="19"/>
      <c r="O199" s="18"/>
    </row>
    <row r="200" spans="5:15" ht="15" customHeight="1">
      <c r="E200" s="17"/>
      <c r="F200" s="17"/>
      <c r="G200" s="17"/>
      <c r="H200" s="18"/>
      <c r="J200" s="19"/>
      <c r="K200" s="19"/>
      <c r="O200" s="18"/>
    </row>
    <row r="201" spans="5:15" ht="15" customHeight="1">
      <c r="E201" s="17"/>
      <c r="F201" s="17"/>
      <c r="G201" s="17"/>
      <c r="H201" s="18"/>
      <c r="J201" s="19"/>
      <c r="K201" s="19"/>
      <c r="O201" s="18"/>
    </row>
    <row r="202" spans="5:15" ht="15" customHeight="1">
      <c r="E202" s="17"/>
      <c r="F202" s="17"/>
      <c r="G202" s="17"/>
      <c r="H202" s="18"/>
      <c r="J202" s="19"/>
      <c r="K202" s="19"/>
      <c r="O202" s="18"/>
    </row>
    <row r="203" spans="5:15" ht="15" customHeight="1">
      <c r="E203" s="17"/>
      <c r="F203" s="17"/>
      <c r="G203" s="17"/>
      <c r="H203" s="18"/>
      <c r="J203" s="19"/>
      <c r="K203" s="19"/>
      <c r="O203" s="18"/>
    </row>
    <row r="204" spans="5:15" ht="15" customHeight="1">
      <c r="E204" s="17"/>
      <c r="F204" s="17"/>
      <c r="G204" s="17"/>
      <c r="H204" s="18"/>
      <c r="J204" s="19"/>
      <c r="K204" s="19"/>
      <c r="O204" s="18"/>
    </row>
    <row r="205" spans="5:15" ht="15" customHeight="1">
      <c r="E205" s="17"/>
      <c r="F205" s="17"/>
      <c r="G205" s="17"/>
      <c r="H205" s="18"/>
      <c r="J205" s="19"/>
      <c r="K205" s="19"/>
      <c r="O205" s="18"/>
    </row>
    <row r="206" spans="5:15" ht="15" customHeight="1">
      <c r="E206" s="17"/>
      <c r="F206" s="17"/>
      <c r="G206" s="17"/>
      <c r="H206" s="18"/>
      <c r="J206" s="19"/>
      <c r="K206" s="19"/>
      <c r="O206" s="18"/>
    </row>
    <row r="207" spans="5:15" ht="15" customHeight="1">
      <c r="E207" s="17"/>
      <c r="F207" s="17"/>
      <c r="G207" s="17"/>
      <c r="H207" s="18"/>
      <c r="J207" s="19"/>
      <c r="K207" s="19"/>
      <c r="O207" s="18"/>
    </row>
    <row r="208" spans="5:15" ht="15" customHeight="1">
      <c r="E208" s="17"/>
      <c r="F208" s="17"/>
      <c r="G208" s="17"/>
      <c r="H208" s="18"/>
      <c r="J208" s="19"/>
      <c r="K208" s="19"/>
      <c r="O208" s="18"/>
    </row>
    <row r="209" spans="5:15" ht="15" customHeight="1">
      <c r="E209" s="17"/>
      <c r="F209" s="17"/>
      <c r="G209" s="17"/>
      <c r="H209" s="18"/>
      <c r="J209" s="19"/>
      <c r="K209" s="19"/>
      <c r="O209" s="18"/>
    </row>
    <row r="210" spans="5:15" ht="15" customHeight="1">
      <c r="E210" s="17"/>
      <c r="F210" s="17"/>
      <c r="G210" s="17"/>
      <c r="H210" s="18"/>
      <c r="J210" s="19"/>
      <c r="K210" s="19"/>
      <c r="O210" s="18"/>
    </row>
    <row r="211" spans="5:15" ht="15" customHeight="1">
      <c r="E211" s="17"/>
      <c r="F211" s="17"/>
      <c r="G211" s="17"/>
      <c r="H211" s="18"/>
      <c r="J211" s="19"/>
      <c r="K211" s="19"/>
      <c r="O211" s="18"/>
    </row>
    <row r="212" spans="5:15" ht="15" customHeight="1">
      <c r="E212" s="17"/>
      <c r="F212" s="17"/>
      <c r="G212" s="17"/>
      <c r="H212" s="18"/>
      <c r="J212" s="19"/>
      <c r="K212" s="19"/>
      <c r="O212" s="18"/>
    </row>
    <row r="213" spans="5:15" ht="15" customHeight="1">
      <c r="E213" s="17"/>
      <c r="F213" s="17"/>
      <c r="G213" s="17"/>
      <c r="H213" s="18"/>
      <c r="J213" s="19"/>
      <c r="K213" s="19"/>
      <c r="O213" s="18"/>
    </row>
    <row r="214" spans="5:15" ht="15" customHeight="1">
      <c r="E214" s="17"/>
      <c r="F214" s="17"/>
      <c r="G214" s="17"/>
      <c r="H214" s="18"/>
      <c r="J214" s="19"/>
      <c r="K214" s="19"/>
      <c r="O214" s="18"/>
    </row>
    <row r="215" spans="5:15" ht="15" customHeight="1">
      <c r="E215" s="17"/>
      <c r="F215" s="17"/>
      <c r="G215" s="17"/>
      <c r="H215" s="18"/>
      <c r="J215" s="19"/>
      <c r="K215" s="19"/>
      <c r="O215" s="18"/>
    </row>
    <row r="216" spans="5:15" ht="15" customHeight="1">
      <c r="E216" s="17"/>
      <c r="F216" s="17"/>
      <c r="G216" s="17"/>
      <c r="H216" s="18"/>
      <c r="J216" s="19"/>
      <c r="K216" s="19"/>
      <c r="O216" s="18"/>
    </row>
    <row r="217" spans="5:15" ht="15" customHeight="1">
      <c r="E217" s="17"/>
      <c r="F217" s="17"/>
      <c r="G217" s="17"/>
      <c r="H217" s="18"/>
      <c r="J217" s="19"/>
      <c r="K217" s="19"/>
      <c r="O217" s="18"/>
    </row>
    <row r="218" spans="5:15" ht="15" customHeight="1">
      <c r="E218" s="17"/>
      <c r="F218" s="17"/>
      <c r="G218" s="17"/>
      <c r="H218" s="18"/>
      <c r="J218" s="19"/>
      <c r="K218" s="19"/>
      <c r="O218" s="18"/>
    </row>
    <row r="219" spans="5:15" ht="15" customHeight="1">
      <c r="E219" s="17"/>
      <c r="F219" s="17"/>
      <c r="G219" s="17"/>
      <c r="H219" s="18"/>
      <c r="J219" s="19"/>
      <c r="K219" s="19"/>
      <c r="O219" s="18"/>
    </row>
    <row r="220" spans="5:15" ht="15" customHeight="1">
      <c r="E220" s="17"/>
      <c r="F220" s="17"/>
      <c r="G220" s="17"/>
      <c r="H220" s="18"/>
      <c r="J220" s="19"/>
      <c r="K220" s="19"/>
      <c r="O220" s="18"/>
    </row>
    <row r="221" spans="5:15" ht="15" customHeight="1">
      <c r="E221" s="17"/>
      <c r="F221" s="17"/>
      <c r="G221" s="17"/>
      <c r="H221" s="18"/>
      <c r="J221" s="19"/>
      <c r="K221" s="19"/>
      <c r="O221" s="18"/>
    </row>
    <row r="222" spans="5:15" ht="15" customHeight="1">
      <c r="E222" s="17"/>
      <c r="F222" s="17"/>
      <c r="G222" s="17"/>
      <c r="H222" s="18"/>
      <c r="J222" s="19"/>
      <c r="K222" s="19"/>
      <c r="O222" s="18"/>
    </row>
    <row r="223" spans="5:15" ht="15" customHeight="1">
      <c r="E223" s="17"/>
      <c r="F223" s="17"/>
      <c r="G223" s="17"/>
      <c r="H223" s="18"/>
      <c r="J223" s="19"/>
      <c r="K223" s="19"/>
      <c r="O223" s="18"/>
    </row>
    <row r="224" spans="5:15" ht="15" customHeight="1">
      <c r="E224" s="17"/>
      <c r="F224" s="17"/>
      <c r="G224" s="17"/>
      <c r="H224" s="18"/>
      <c r="J224" s="19"/>
      <c r="K224" s="19"/>
      <c r="O224" s="18"/>
    </row>
    <row r="225" spans="5:15" ht="15" customHeight="1">
      <c r="E225" s="17"/>
      <c r="F225" s="17"/>
      <c r="G225" s="17"/>
      <c r="H225" s="18"/>
      <c r="J225" s="19"/>
      <c r="K225" s="19"/>
      <c r="O225" s="18"/>
    </row>
    <row r="226" spans="5:15" ht="15" customHeight="1">
      <c r="E226" s="17"/>
      <c r="F226" s="17"/>
      <c r="G226" s="17"/>
      <c r="H226" s="18"/>
      <c r="J226" s="19"/>
      <c r="K226" s="19"/>
      <c r="O226" s="18"/>
    </row>
    <row r="227" spans="5:15" ht="15" customHeight="1">
      <c r="E227" s="17"/>
      <c r="F227" s="17"/>
      <c r="G227" s="17"/>
      <c r="H227" s="18"/>
      <c r="J227" s="19"/>
      <c r="K227" s="19"/>
      <c r="O227" s="18"/>
    </row>
    <row r="228" spans="5:15" ht="15" customHeight="1">
      <c r="E228" s="17"/>
      <c r="F228" s="17"/>
      <c r="G228" s="17"/>
      <c r="H228" s="18"/>
      <c r="J228" s="19"/>
      <c r="K228" s="19"/>
      <c r="O228" s="18"/>
    </row>
    <row r="229" spans="5:15" ht="15" customHeight="1">
      <c r="E229" s="17"/>
      <c r="F229" s="17"/>
      <c r="G229" s="17"/>
      <c r="H229" s="18"/>
      <c r="J229" s="19"/>
      <c r="K229" s="19"/>
      <c r="O229" s="18"/>
    </row>
    <row r="230" spans="5:15" ht="15" customHeight="1">
      <c r="E230" s="17"/>
      <c r="F230" s="17"/>
      <c r="G230" s="17"/>
      <c r="H230" s="18"/>
      <c r="J230" s="19"/>
      <c r="K230" s="19"/>
      <c r="O230" s="18"/>
    </row>
    <row r="231" spans="5:15" ht="15" customHeight="1">
      <c r="E231" s="17"/>
      <c r="F231" s="17"/>
      <c r="G231" s="17"/>
      <c r="H231" s="18"/>
      <c r="J231" s="19"/>
      <c r="K231" s="19"/>
      <c r="O231" s="18"/>
    </row>
    <row r="232" spans="5:15" ht="15" customHeight="1">
      <c r="E232" s="17"/>
      <c r="F232" s="17"/>
      <c r="G232" s="17"/>
      <c r="H232" s="18"/>
      <c r="J232" s="19"/>
      <c r="K232" s="19"/>
      <c r="O232" s="18"/>
    </row>
    <row r="233" spans="5:15" ht="15" customHeight="1">
      <c r="E233" s="17"/>
      <c r="F233" s="17"/>
      <c r="G233" s="17"/>
      <c r="H233" s="18"/>
      <c r="J233" s="19"/>
      <c r="K233" s="19"/>
      <c r="O233" s="18"/>
    </row>
    <row r="234" spans="5:15" ht="15" customHeight="1">
      <c r="E234" s="17"/>
      <c r="F234" s="17"/>
      <c r="G234" s="17"/>
      <c r="H234" s="18"/>
      <c r="J234" s="19"/>
      <c r="K234" s="19"/>
      <c r="O234" s="18"/>
    </row>
    <row r="235" spans="5:15" ht="15" customHeight="1">
      <c r="E235" s="17"/>
      <c r="F235" s="17"/>
      <c r="G235" s="17"/>
      <c r="H235" s="18"/>
      <c r="J235" s="19"/>
      <c r="K235" s="19"/>
      <c r="O235" s="18"/>
    </row>
    <row r="236" spans="5:15" ht="15" customHeight="1">
      <c r="E236" s="17"/>
      <c r="F236" s="17"/>
      <c r="G236" s="17"/>
      <c r="H236" s="18"/>
      <c r="J236" s="19"/>
      <c r="K236" s="19"/>
      <c r="O236" s="18"/>
    </row>
    <row r="237" spans="5:15" ht="15" customHeight="1">
      <c r="E237" s="17"/>
      <c r="F237" s="17"/>
      <c r="G237" s="17"/>
      <c r="H237" s="18"/>
      <c r="J237" s="19"/>
      <c r="K237" s="19"/>
      <c r="O237" s="18"/>
    </row>
    <row r="238" spans="5:15" ht="15" customHeight="1">
      <c r="E238" s="17"/>
      <c r="F238" s="17"/>
      <c r="G238" s="17"/>
      <c r="H238" s="18"/>
      <c r="J238" s="19"/>
      <c r="K238" s="19"/>
      <c r="O238" s="18"/>
    </row>
    <row r="239" spans="5:15" ht="15" customHeight="1">
      <c r="E239" s="17"/>
      <c r="F239" s="17"/>
      <c r="G239" s="17"/>
      <c r="H239" s="18"/>
      <c r="J239" s="19"/>
      <c r="K239" s="19"/>
      <c r="O239" s="18"/>
    </row>
    <row r="240" spans="5:15" ht="15" customHeight="1">
      <c r="E240" s="17"/>
      <c r="F240" s="17"/>
      <c r="G240" s="17"/>
      <c r="H240" s="18"/>
      <c r="J240" s="19"/>
      <c r="K240" s="19"/>
      <c r="O240" s="18"/>
    </row>
    <row r="241" spans="5:15" ht="15" customHeight="1">
      <c r="E241" s="17"/>
      <c r="F241" s="17"/>
      <c r="G241" s="17"/>
      <c r="H241" s="18"/>
      <c r="J241" s="19"/>
      <c r="K241" s="19"/>
      <c r="O241" s="18"/>
    </row>
    <row r="242" spans="5:15" ht="15" customHeight="1">
      <c r="E242" s="17"/>
      <c r="F242" s="17"/>
      <c r="G242" s="17"/>
      <c r="H242" s="18"/>
      <c r="J242" s="19"/>
      <c r="K242" s="19"/>
      <c r="O242" s="18"/>
    </row>
    <row r="243" spans="5:15" ht="15" customHeight="1">
      <c r="E243" s="17"/>
      <c r="F243" s="17"/>
      <c r="G243" s="17"/>
      <c r="H243" s="18"/>
      <c r="J243" s="19"/>
      <c r="K243" s="19"/>
      <c r="O243" s="18"/>
    </row>
    <row r="244" spans="5:15" ht="15" customHeight="1">
      <c r="E244" s="17"/>
      <c r="F244" s="17"/>
      <c r="G244" s="17"/>
      <c r="H244" s="18"/>
      <c r="J244" s="19"/>
      <c r="K244" s="19"/>
      <c r="O244" s="18"/>
    </row>
    <row r="245" spans="5:15" ht="15" customHeight="1">
      <c r="E245" s="17"/>
      <c r="F245" s="17"/>
      <c r="G245" s="17"/>
      <c r="H245" s="18"/>
      <c r="J245" s="19"/>
      <c r="K245" s="19"/>
      <c r="O245" s="18"/>
    </row>
    <row r="246" spans="5:15" ht="15" customHeight="1">
      <c r="E246" s="17"/>
      <c r="F246" s="17"/>
      <c r="G246" s="17"/>
      <c r="H246" s="18"/>
      <c r="J246" s="19"/>
      <c r="K246" s="19"/>
      <c r="O246" s="18"/>
    </row>
    <row r="247" spans="5:15" ht="15" customHeight="1">
      <c r="E247" s="17"/>
      <c r="F247" s="17"/>
      <c r="G247" s="17"/>
      <c r="H247" s="18"/>
      <c r="J247" s="19"/>
      <c r="K247" s="19"/>
      <c r="O247" s="18"/>
    </row>
    <row r="248" spans="5:15" ht="15" customHeight="1">
      <c r="E248" s="17"/>
      <c r="F248" s="17"/>
      <c r="G248" s="17"/>
      <c r="H248" s="18"/>
      <c r="J248" s="19"/>
      <c r="K248" s="19"/>
      <c r="O248" s="18"/>
    </row>
    <row r="249" spans="5:15" ht="15" customHeight="1">
      <c r="E249" s="17"/>
      <c r="F249" s="17"/>
      <c r="G249" s="17"/>
      <c r="H249" s="18"/>
      <c r="J249" s="19"/>
      <c r="K249" s="19"/>
      <c r="O249" s="18"/>
    </row>
    <row r="250" spans="5:15" ht="15" customHeight="1">
      <c r="E250" s="17"/>
      <c r="F250" s="17"/>
      <c r="G250" s="17"/>
      <c r="H250" s="18"/>
      <c r="J250" s="19"/>
      <c r="K250" s="19"/>
      <c r="O250" s="18"/>
    </row>
    <row r="251" spans="5:15" ht="15" customHeight="1">
      <c r="E251" s="17"/>
      <c r="F251" s="17"/>
      <c r="G251" s="17"/>
      <c r="H251" s="18"/>
      <c r="J251" s="19"/>
      <c r="K251" s="19"/>
      <c r="O251" s="18"/>
    </row>
    <row r="252" spans="5:15" ht="15" customHeight="1">
      <c r="E252" s="17"/>
      <c r="F252" s="17"/>
      <c r="G252" s="17"/>
      <c r="H252" s="18"/>
      <c r="J252" s="19"/>
      <c r="K252" s="19"/>
      <c r="O252" s="18"/>
    </row>
    <row r="253" spans="5:15" ht="15" customHeight="1">
      <c r="E253" s="17"/>
      <c r="F253" s="17"/>
      <c r="G253" s="17"/>
      <c r="H253" s="18"/>
      <c r="J253" s="19"/>
      <c r="K253" s="19"/>
      <c r="O253" s="18"/>
    </row>
    <row r="254" spans="5:15" ht="15" customHeight="1">
      <c r="E254" s="17"/>
      <c r="F254" s="17"/>
      <c r="G254" s="17"/>
      <c r="H254" s="18"/>
      <c r="J254" s="19"/>
      <c r="K254" s="19"/>
      <c r="O254" s="18"/>
    </row>
    <row r="255" spans="5:15" ht="15" customHeight="1">
      <c r="E255" s="17"/>
      <c r="F255" s="17"/>
      <c r="G255" s="17"/>
      <c r="H255" s="18"/>
      <c r="J255" s="19"/>
      <c r="K255" s="19"/>
      <c r="O255" s="18"/>
    </row>
    <row r="256" spans="5:15" ht="15" customHeight="1">
      <c r="E256" s="17"/>
      <c r="F256" s="17"/>
      <c r="G256" s="17"/>
      <c r="H256" s="18"/>
      <c r="J256" s="19"/>
      <c r="K256" s="19"/>
      <c r="O256" s="18"/>
    </row>
    <row r="257" spans="5:15" ht="15" customHeight="1">
      <c r="E257" s="17"/>
      <c r="F257" s="17"/>
      <c r="G257" s="17"/>
      <c r="H257" s="18"/>
      <c r="J257" s="19"/>
      <c r="K257" s="19"/>
      <c r="O257" s="18"/>
    </row>
    <row r="258" spans="5:15" ht="15" customHeight="1">
      <c r="E258" s="17"/>
      <c r="F258" s="17"/>
      <c r="G258" s="17"/>
      <c r="H258" s="18"/>
      <c r="J258" s="19"/>
      <c r="K258" s="19"/>
      <c r="O258" s="18"/>
    </row>
    <row r="259" spans="5:15" ht="15" customHeight="1">
      <c r="E259" s="17"/>
      <c r="F259" s="17"/>
      <c r="G259" s="17"/>
      <c r="H259" s="18"/>
      <c r="J259" s="19"/>
      <c r="K259" s="19"/>
      <c r="O259" s="18"/>
    </row>
    <row r="260" spans="5:15" ht="15" customHeight="1">
      <c r="E260" s="17"/>
      <c r="F260" s="17"/>
      <c r="G260" s="17"/>
      <c r="H260" s="18"/>
      <c r="J260" s="19"/>
      <c r="K260" s="19"/>
      <c r="O260" s="18"/>
    </row>
    <row r="261" spans="5:15" ht="15" customHeight="1">
      <c r="E261" s="17"/>
      <c r="F261" s="17"/>
      <c r="G261" s="17"/>
      <c r="H261" s="18"/>
      <c r="J261" s="19"/>
      <c r="K261" s="19"/>
      <c r="O261" s="18"/>
    </row>
    <row r="262" spans="5:15" ht="15" customHeight="1">
      <c r="E262" s="17"/>
      <c r="F262" s="17"/>
      <c r="G262" s="17"/>
      <c r="H262" s="18"/>
      <c r="J262" s="19"/>
      <c r="K262" s="19"/>
      <c r="O262" s="18"/>
    </row>
    <row r="263" spans="5:15" ht="15" customHeight="1">
      <c r="E263" s="17"/>
      <c r="F263" s="17"/>
      <c r="G263" s="17"/>
      <c r="H263" s="18"/>
      <c r="J263" s="19"/>
      <c r="K263" s="19"/>
      <c r="O263" s="18"/>
    </row>
    <row r="264" spans="5:15" ht="15" customHeight="1">
      <c r="E264" s="17"/>
      <c r="F264" s="17"/>
      <c r="G264" s="17"/>
      <c r="H264" s="18"/>
      <c r="J264" s="19"/>
      <c r="K264" s="19"/>
      <c r="O264" s="18"/>
    </row>
    <row r="265" spans="5:15" ht="15" customHeight="1">
      <c r="E265" s="17"/>
      <c r="F265" s="17"/>
      <c r="G265" s="17"/>
      <c r="H265" s="18"/>
      <c r="J265" s="19"/>
      <c r="K265" s="19"/>
      <c r="O265" s="18"/>
    </row>
    <row r="266" spans="5:15" ht="15" customHeight="1">
      <c r="E266" s="17"/>
      <c r="F266" s="17"/>
      <c r="G266" s="17"/>
      <c r="H266" s="18"/>
      <c r="J266" s="19"/>
      <c r="K266" s="19"/>
      <c r="O266" s="18"/>
    </row>
    <row r="267" spans="5:15" ht="15" customHeight="1">
      <c r="E267" s="17"/>
      <c r="F267" s="17"/>
      <c r="G267" s="17"/>
      <c r="H267" s="18"/>
      <c r="J267" s="19"/>
      <c r="K267" s="19"/>
      <c r="O267" s="18"/>
    </row>
    <row r="268" spans="5:15" ht="15" customHeight="1">
      <c r="E268" s="17"/>
      <c r="F268" s="17"/>
      <c r="G268" s="17"/>
      <c r="H268" s="18"/>
      <c r="J268" s="19"/>
      <c r="K268" s="19"/>
      <c r="O268" s="18"/>
    </row>
    <row r="269" spans="5:15" ht="15" customHeight="1">
      <c r="E269" s="17"/>
      <c r="F269" s="17"/>
      <c r="G269" s="17"/>
      <c r="H269" s="18"/>
      <c r="J269" s="19"/>
      <c r="K269" s="19"/>
      <c r="O269" s="18"/>
    </row>
    <row r="270" spans="5:15" ht="15" customHeight="1">
      <c r="E270" s="17"/>
      <c r="F270" s="17"/>
      <c r="G270" s="17"/>
      <c r="H270" s="18"/>
      <c r="J270" s="19"/>
      <c r="K270" s="19"/>
      <c r="O270" s="18"/>
    </row>
    <row r="271" spans="5:15" ht="15" customHeight="1">
      <c r="E271" s="17"/>
      <c r="F271" s="17"/>
      <c r="G271" s="17"/>
      <c r="H271" s="18"/>
      <c r="J271" s="19"/>
      <c r="K271" s="19"/>
      <c r="O271" s="18"/>
    </row>
    <row r="272" spans="5:15" ht="15" customHeight="1">
      <c r="E272" s="17"/>
      <c r="F272" s="17"/>
      <c r="G272" s="17"/>
      <c r="H272" s="18"/>
      <c r="J272" s="19"/>
      <c r="K272" s="19"/>
      <c r="O272" s="18"/>
    </row>
    <row r="273" spans="5:15" ht="15" customHeight="1">
      <c r="E273" s="17"/>
      <c r="F273" s="17"/>
      <c r="G273" s="17"/>
      <c r="H273" s="18"/>
      <c r="J273" s="19"/>
      <c r="K273" s="19"/>
      <c r="O273" s="18"/>
    </row>
    <row r="274" spans="5:15" ht="15" customHeight="1">
      <c r="E274" s="17"/>
      <c r="F274" s="17"/>
      <c r="G274" s="17"/>
      <c r="H274" s="18"/>
      <c r="J274" s="19"/>
      <c r="K274" s="19"/>
      <c r="O274" s="18"/>
    </row>
    <row r="275" spans="5:15" ht="15" customHeight="1">
      <c r="E275" s="17"/>
      <c r="F275" s="17"/>
      <c r="G275" s="17"/>
      <c r="H275" s="18"/>
      <c r="J275" s="19"/>
      <c r="K275" s="19"/>
      <c r="O275" s="18"/>
    </row>
    <row r="276" spans="5:15" ht="15" customHeight="1">
      <c r="E276" s="17"/>
      <c r="F276" s="17"/>
      <c r="G276" s="17"/>
      <c r="H276" s="18"/>
      <c r="J276" s="19"/>
      <c r="K276" s="19"/>
      <c r="O276" s="18"/>
    </row>
    <row r="277" spans="5:15" ht="15" customHeight="1">
      <c r="E277" s="17"/>
      <c r="F277" s="17"/>
      <c r="G277" s="17"/>
      <c r="H277" s="18"/>
      <c r="J277" s="19"/>
      <c r="K277" s="19"/>
      <c r="O277" s="18"/>
    </row>
    <row r="278" spans="5:15" ht="15" customHeight="1">
      <c r="E278" s="17"/>
      <c r="F278" s="17"/>
      <c r="G278" s="17"/>
      <c r="H278" s="18"/>
      <c r="J278" s="19"/>
      <c r="K278" s="19"/>
      <c r="O278" s="18"/>
    </row>
    <row r="279" spans="5:15" ht="15" customHeight="1">
      <c r="E279" s="17"/>
      <c r="F279" s="17"/>
      <c r="G279" s="17"/>
      <c r="H279" s="18"/>
      <c r="J279" s="19"/>
      <c r="K279" s="19"/>
      <c r="O279" s="18"/>
    </row>
    <row r="280" spans="5:15" ht="15" customHeight="1">
      <c r="E280" s="17"/>
      <c r="F280" s="17"/>
      <c r="G280" s="17"/>
      <c r="H280" s="18"/>
      <c r="J280" s="19"/>
      <c r="K280" s="19"/>
      <c r="O280" s="18"/>
    </row>
    <row r="281" spans="5:15" ht="15" customHeight="1">
      <c r="E281" s="17"/>
      <c r="F281" s="17"/>
      <c r="G281" s="17"/>
      <c r="H281" s="18"/>
      <c r="J281" s="19"/>
      <c r="K281" s="19"/>
      <c r="O281" s="18"/>
    </row>
    <row r="282" spans="5:15" ht="15" customHeight="1">
      <c r="E282" s="17"/>
      <c r="F282" s="17"/>
      <c r="G282" s="17"/>
      <c r="H282" s="18"/>
      <c r="J282" s="19"/>
      <c r="K282" s="19"/>
      <c r="O282" s="18"/>
    </row>
    <row r="283" spans="5:15" ht="15" customHeight="1">
      <c r="E283" s="17"/>
      <c r="F283" s="17"/>
      <c r="G283" s="17"/>
      <c r="H283" s="18"/>
      <c r="J283" s="19"/>
      <c r="K283" s="19"/>
      <c r="O283" s="18"/>
    </row>
    <row r="284" spans="5:15" ht="15" customHeight="1">
      <c r="E284" s="17"/>
      <c r="F284" s="17"/>
      <c r="G284" s="17"/>
      <c r="H284" s="18"/>
      <c r="J284" s="19"/>
      <c r="K284" s="19"/>
      <c r="O284" s="18"/>
    </row>
    <row r="285" spans="5:15" ht="15" customHeight="1">
      <c r="E285" s="17"/>
      <c r="F285" s="17"/>
      <c r="G285" s="17"/>
      <c r="H285" s="18"/>
      <c r="J285" s="19"/>
      <c r="K285" s="19"/>
      <c r="O285" s="18"/>
    </row>
    <row r="286" spans="5:15" ht="15" customHeight="1">
      <c r="E286" s="17"/>
      <c r="F286" s="17"/>
      <c r="G286" s="17"/>
      <c r="H286" s="18"/>
      <c r="J286" s="19"/>
      <c r="K286" s="19"/>
      <c r="O286" s="18"/>
    </row>
    <row r="287" spans="5:15" ht="15" customHeight="1">
      <c r="E287" s="17"/>
      <c r="F287" s="17"/>
      <c r="G287" s="17"/>
      <c r="H287" s="18"/>
      <c r="J287" s="19"/>
      <c r="K287" s="19"/>
      <c r="O287" s="18"/>
    </row>
    <row r="288" spans="5:15" ht="15" customHeight="1">
      <c r="E288" s="17"/>
      <c r="F288" s="17"/>
      <c r="G288" s="17"/>
      <c r="H288" s="18"/>
      <c r="J288" s="19"/>
      <c r="K288" s="19"/>
      <c r="O288" s="18"/>
    </row>
    <row r="289" spans="5:15" ht="15" customHeight="1">
      <c r="E289" s="17"/>
      <c r="F289" s="17"/>
      <c r="G289" s="17"/>
      <c r="H289" s="18"/>
      <c r="J289" s="19"/>
      <c r="K289" s="19"/>
      <c r="O289" s="18"/>
    </row>
    <row r="290" spans="5:15" ht="15" customHeight="1">
      <c r="E290" s="17"/>
      <c r="F290" s="17"/>
      <c r="G290" s="17"/>
      <c r="H290" s="18"/>
      <c r="J290" s="19"/>
      <c r="K290" s="19"/>
      <c r="O290" s="18"/>
    </row>
    <row r="291" spans="5:15" ht="15" customHeight="1">
      <c r="E291" s="17"/>
      <c r="F291" s="17"/>
      <c r="G291" s="17"/>
      <c r="H291" s="18"/>
      <c r="J291" s="19"/>
      <c r="K291" s="19"/>
      <c r="O291" s="18"/>
    </row>
    <row r="292" spans="5:15" ht="15" customHeight="1">
      <c r="E292" s="17"/>
      <c r="F292" s="17"/>
      <c r="G292" s="17"/>
      <c r="H292" s="18"/>
      <c r="J292" s="19"/>
      <c r="K292" s="19"/>
      <c r="O292" s="18"/>
    </row>
    <row r="293" spans="5:15" ht="15" customHeight="1">
      <c r="E293" s="17"/>
      <c r="F293" s="17"/>
      <c r="G293" s="17"/>
      <c r="H293" s="18"/>
      <c r="J293" s="19"/>
      <c r="K293" s="19"/>
      <c r="O293" s="18"/>
    </row>
    <row r="294" spans="5:15" ht="15" customHeight="1">
      <c r="E294" s="17"/>
      <c r="F294" s="17"/>
      <c r="G294" s="17"/>
      <c r="H294" s="18"/>
      <c r="J294" s="19"/>
      <c r="K294" s="19"/>
      <c r="O294" s="18"/>
    </row>
    <row r="295" spans="5:15" ht="15" customHeight="1">
      <c r="E295" s="17"/>
      <c r="F295" s="17"/>
      <c r="G295" s="17"/>
      <c r="H295" s="18"/>
      <c r="J295" s="19"/>
      <c r="K295" s="19"/>
      <c r="O295" s="18"/>
    </row>
    <row r="296" spans="5:15" ht="15" customHeight="1">
      <c r="E296" s="17"/>
      <c r="F296" s="17"/>
      <c r="G296" s="17"/>
      <c r="H296" s="18"/>
      <c r="J296" s="19"/>
      <c r="K296" s="19"/>
      <c r="O296" s="18"/>
    </row>
    <row r="297" spans="5:15" ht="15" customHeight="1">
      <c r="E297" s="17"/>
      <c r="F297" s="17"/>
      <c r="G297" s="17"/>
      <c r="H297" s="18"/>
      <c r="J297" s="19"/>
      <c r="K297" s="19"/>
      <c r="O297" s="18"/>
    </row>
    <row r="298" spans="5:15" ht="15" customHeight="1">
      <c r="E298" s="17"/>
      <c r="F298" s="17"/>
      <c r="G298" s="17"/>
      <c r="H298" s="18"/>
      <c r="J298" s="19"/>
      <c r="K298" s="19"/>
      <c r="O298" s="18"/>
    </row>
    <row r="299" spans="5:15" ht="15" customHeight="1">
      <c r="E299" s="17"/>
      <c r="F299" s="17"/>
      <c r="G299" s="17"/>
      <c r="H299" s="18"/>
      <c r="J299" s="19"/>
      <c r="K299" s="19"/>
      <c r="O299" s="18"/>
    </row>
    <row r="300" spans="5:15" ht="15" customHeight="1">
      <c r="E300" s="17"/>
      <c r="F300" s="17"/>
      <c r="G300" s="17"/>
      <c r="H300" s="18"/>
      <c r="J300" s="19"/>
      <c r="K300" s="19"/>
      <c r="O300" s="18"/>
    </row>
    <row r="301" spans="5:15" ht="15" customHeight="1">
      <c r="E301" s="17"/>
      <c r="F301" s="17"/>
      <c r="G301" s="17"/>
      <c r="H301" s="18"/>
      <c r="J301" s="19"/>
      <c r="K301" s="19"/>
      <c r="O301" s="18"/>
    </row>
    <row r="302" spans="5:15" ht="15" customHeight="1">
      <c r="E302" s="17"/>
      <c r="F302" s="17"/>
      <c r="G302" s="17"/>
      <c r="H302" s="18"/>
      <c r="J302" s="19"/>
      <c r="K302" s="19"/>
      <c r="O302" s="18"/>
    </row>
    <row r="303" spans="5:15" ht="15" customHeight="1">
      <c r="E303" s="17"/>
      <c r="F303" s="17"/>
      <c r="G303" s="17"/>
      <c r="H303" s="18"/>
      <c r="J303" s="19"/>
      <c r="K303" s="19"/>
      <c r="O303" s="18"/>
    </row>
    <row r="304" spans="5:15" ht="15" customHeight="1">
      <c r="E304" s="17"/>
      <c r="F304" s="17"/>
      <c r="G304" s="17"/>
      <c r="H304" s="18"/>
      <c r="J304" s="19"/>
      <c r="K304" s="19"/>
      <c r="O304" s="18"/>
    </row>
    <row r="305" spans="5:15" ht="15" customHeight="1">
      <c r="E305" s="17"/>
      <c r="F305" s="17"/>
      <c r="G305" s="17"/>
      <c r="H305" s="18"/>
      <c r="J305" s="19"/>
      <c r="K305" s="19"/>
      <c r="O305" s="18"/>
    </row>
    <row r="306" spans="5:15" ht="15" customHeight="1">
      <c r="E306" s="17"/>
      <c r="F306" s="17"/>
      <c r="G306" s="17"/>
      <c r="H306" s="18"/>
      <c r="J306" s="19"/>
      <c r="K306" s="19"/>
      <c r="O306" s="18"/>
    </row>
    <row r="307" spans="5:15" ht="15" customHeight="1">
      <c r="E307" s="17"/>
      <c r="F307" s="17"/>
      <c r="G307" s="17"/>
      <c r="H307" s="18"/>
      <c r="J307" s="19"/>
      <c r="K307" s="19"/>
      <c r="O307" s="18"/>
    </row>
    <row r="308" spans="5:15" ht="15" customHeight="1">
      <c r="E308" s="17"/>
      <c r="F308" s="17"/>
      <c r="G308" s="17"/>
      <c r="H308" s="18"/>
      <c r="J308" s="19"/>
      <c r="K308" s="19"/>
      <c r="O308" s="18"/>
    </row>
    <row r="309" spans="5:15" ht="15" customHeight="1">
      <c r="E309" s="17"/>
      <c r="F309" s="17"/>
      <c r="G309" s="17"/>
      <c r="H309" s="18"/>
      <c r="J309" s="19"/>
      <c r="K309" s="19"/>
      <c r="O309" s="18"/>
    </row>
    <row r="310" spans="5:15" ht="15" customHeight="1">
      <c r="E310" s="17"/>
      <c r="F310" s="17"/>
      <c r="G310" s="17"/>
      <c r="H310" s="18"/>
      <c r="J310" s="19"/>
      <c r="K310" s="19"/>
      <c r="O310" s="18"/>
    </row>
    <row r="311" spans="5:15" ht="15" customHeight="1">
      <c r="E311" s="17"/>
      <c r="F311" s="17"/>
      <c r="G311" s="17"/>
      <c r="H311" s="18"/>
      <c r="J311" s="19"/>
      <c r="K311" s="19"/>
      <c r="O311" s="18"/>
    </row>
    <row r="312" spans="5:15" ht="15" customHeight="1">
      <c r="E312" s="17"/>
      <c r="F312" s="17"/>
      <c r="G312" s="17"/>
      <c r="H312" s="18"/>
      <c r="J312" s="19"/>
      <c r="K312" s="19"/>
      <c r="O312" s="18"/>
    </row>
    <row r="313" spans="5:15" ht="15" customHeight="1">
      <c r="E313" s="17"/>
      <c r="F313" s="17"/>
      <c r="G313" s="17"/>
      <c r="H313" s="18"/>
      <c r="J313" s="19"/>
      <c r="K313" s="19"/>
      <c r="O313" s="18"/>
    </row>
    <row r="314" spans="5:15" ht="15" customHeight="1">
      <c r="E314" s="17"/>
      <c r="F314" s="17"/>
      <c r="G314" s="17"/>
      <c r="H314" s="18"/>
      <c r="J314" s="19"/>
      <c r="K314" s="19"/>
      <c r="O314" s="18"/>
    </row>
    <row r="315" spans="5:15" ht="15" customHeight="1">
      <c r="E315" s="17"/>
      <c r="F315" s="17"/>
      <c r="G315" s="17"/>
      <c r="H315" s="18"/>
      <c r="J315" s="19"/>
      <c r="K315" s="19"/>
      <c r="O315" s="18"/>
    </row>
    <row r="316" spans="5:15" ht="15" customHeight="1">
      <c r="E316" s="17"/>
      <c r="F316" s="17"/>
      <c r="G316" s="17"/>
      <c r="H316" s="18"/>
      <c r="J316" s="19"/>
      <c r="K316" s="19"/>
      <c r="O316" s="18"/>
    </row>
    <row r="317" spans="5:15" ht="15" customHeight="1">
      <c r="E317" s="17"/>
      <c r="F317" s="17"/>
      <c r="G317" s="17"/>
      <c r="H317" s="18"/>
      <c r="J317" s="19"/>
      <c r="K317" s="19"/>
      <c r="O317" s="18"/>
    </row>
    <row r="318" spans="5:15" ht="15" customHeight="1">
      <c r="E318" s="17"/>
      <c r="F318" s="17"/>
      <c r="G318" s="17"/>
      <c r="H318" s="18"/>
      <c r="J318" s="19"/>
      <c r="K318" s="19"/>
      <c r="O318" s="18"/>
    </row>
    <row r="319" spans="5:15" ht="15" customHeight="1">
      <c r="E319" s="17"/>
      <c r="F319" s="17"/>
      <c r="G319" s="17"/>
      <c r="H319" s="18"/>
      <c r="J319" s="19"/>
      <c r="K319" s="19"/>
      <c r="O319" s="18"/>
    </row>
    <row r="320" spans="5:15" ht="15" customHeight="1">
      <c r="E320" s="17"/>
      <c r="F320" s="17"/>
      <c r="G320" s="17"/>
      <c r="H320" s="18"/>
      <c r="J320" s="19"/>
      <c r="K320" s="19"/>
      <c r="O320" s="18"/>
    </row>
    <row r="321" spans="5:15" ht="15" customHeight="1">
      <c r="E321" s="17"/>
      <c r="F321" s="17"/>
      <c r="G321" s="17"/>
      <c r="H321" s="18"/>
      <c r="J321" s="19"/>
      <c r="K321" s="19"/>
      <c r="O321" s="18"/>
    </row>
    <row r="322" spans="5:15" ht="15" customHeight="1">
      <c r="E322" s="17"/>
      <c r="F322" s="17"/>
      <c r="G322" s="17"/>
      <c r="H322" s="18"/>
      <c r="J322" s="19"/>
      <c r="K322" s="19"/>
      <c r="O322" s="18"/>
    </row>
    <row r="323" spans="5:15" ht="15" customHeight="1">
      <c r="E323" s="17"/>
      <c r="F323" s="17"/>
      <c r="G323" s="17"/>
      <c r="H323" s="18"/>
      <c r="J323" s="19"/>
      <c r="K323" s="19"/>
      <c r="O323" s="18"/>
    </row>
    <row r="324" spans="5:15" ht="15" customHeight="1">
      <c r="E324" s="17"/>
      <c r="F324" s="17"/>
      <c r="G324" s="17"/>
      <c r="H324" s="18"/>
      <c r="J324" s="19"/>
      <c r="K324" s="19"/>
      <c r="O324" s="18"/>
    </row>
    <row r="325" spans="5:15" ht="15" customHeight="1">
      <c r="E325" s="17"/>
      <c r="F325" s="17"/>
      <c r="G325" s="17"/>
      <c r="H325" s="18"/>
      <c r="J325" s="19"/>
      <c r="K325" s="19"/>
      <c r="O325" s="18"/>
    </row>
    <row r="326" spans="5:15" ht="15" customHeight="1">
      <c r="E326" s="17"/>
      <c r="F326" s="17"/>
      <c r="G326" s="17"/>
      <c r="H326" s="18"/>
      <c r="J326" s="19"/>
      <c r="K326" s="19"/>
      <c r="O326" s="18"/>
    </row>
    <row r="327" spans="5:15" ht="15" customHeight="1">
      <c r="E327" s="17"/>
      <c r="F327" s="17"/>
      <c r="G327" s="17"/>
      <c r="H327" s="18"/>
      <c r="J327" s="19"/>
      <c r="K327" s="19"/>
      <c r="O327" s="18"/>
    </row>
    <row r="328" spans="5:15" ht="15" customHeight="1">
      <c r="E328" s="17"/>
      <c r="F328" s="17"/>
      <c r="G328" s="17"/>
      <c r="H328" s="18"/>
      <c r="J328" s="19"/>
      <c r="K328" s="19"/>
      <c r="O328" s="18"/>
    </row>
    <row r="329" spans="5:15" ht="15" customHeight="1">
      <c r="E329" s="17"/>
      <c r="F329" s="17"/>
      <c r="G329" s="17"/>
      <c r="H329" s="18"/>
      <c r="J329" s="19"/>
      <c r="K329" s="19"/>
      <c r="O329" s="18"/>
    </row>
    <row r="330" spans="5:15" ht="15" customHeight="1">
      <c r="E330" s="17"/>
      <c r="F330" s="17"/>
      <c r="G330" s="17"/>
      <c r="H330" s="18"/>
      <c r="J330" s="19"/>
      <c r="K330" s="19"/>
      <c r="O330" s="18"/>
    </row>
    <row r="331" spans="5:15" ht="15" customHeight="1">
      <c r="E331" s="17"/>
      <c r="F331" s="17"/>
      <c r="G331" s="17"/>
      <c r="H331" s="18"/>
      <c r="J331" s="19"/>
      <c r="K331" s="19"/>
      <c r="O331" s="18"/>
    </row>
    <row r="332" spans="5:15" ht="15" customHeight="1">
      <c r="E332" s="17"/>
      <c r="F332" s="17"/>
      <c r="G332" s="17"/>
      <c r="H332" s="18"/>
      <c r="J332" s="19"/>
      <c r="K332" s="19"/>
      <c r="O332" s="18"/>
    </row>
    <row r="333" spans="5:15" ht="15" customHeight="1">
      <c r="E333" s="17"/>
      <c r="F333" s="17"/>
      <c r="G333" s="17"/>
      <c r="H333" s="18"/>
      <c r="J333" s="19"/>
      <c r="K333" s="19"/>
      <c r="O333" s="18"/>
    </row>
    <row r="334" spans="5:15" ht="15" customHeight="1">
      <c r="E334" s="17"/>
      <c r="F334" s="17"/>
      <c r="G334" s="17"/>
      <c r="H334" s="18"/>
      <c r="J334" s="19"/>
      <c r="K334" s="19"/>
      <c r="O334" s="18"/>
    </row>
    <row r="335" spans="5:15" ht="15" customHeight="1">
      <c r="E335" s="17"/>
      <c r="F335" s="17"/>
      <c r="G335" s="17"/>
      <c r="H335" s="18"/>
      <c r="J335" s="19"/>
      <c r="K335" s="19"/>
      <c r="O335" s="18"/>
    </row>
    <row r="336" spans="5:15" ht="15" customHeight="1">
      <c r="E336" s="17"/>
      <c r="F336" s="17"/>
      <c r="G336" s="17"/>
      <c r="H336" s="18"/>
      <c r="J336" s="19"/>
      <c r="K336" s="19"/>
      <c r="O336" s="18"/>
    </row>
    <row r="337" spans="5:15" ht="15" customHeight="1">
      <c r="E337" s="17"/>
      <c r="F337" s="17"/>
      <c r="G337" s="17"/>
      <c r="H337" s="18"/>
      <c r="J337" s="19"/>
      <c r="K337" s="19"/>
      <c r="O337" s="18"/>
    </row>
    <row r="338" spans="5:15" ht="15" customHeight="1">
      <c r="E338" s="17"/>
      <c r="F338" s="17"/>
      <c r="G338" s="17"/>
      <c r="H338" s="18"/>
      <c r="J338" s="19"/>
      <c r="K338" s="19"/>
      <c r="O338" s="18"/>
    </row>
    <row r="339" spans="5:15" ht="15" customHeight="1">
      <c r="E339" s="17"/>
      <c r="F339" s="17"/>
      <c r="G339" s="17"/>
      <c r="H339" s="18"/>
      <c r="J339" s="19"/>
      <c r="K339" s="19"/>
      <c r="O339" s="18"/>
    </row>
    <row r="340" spans="5:15" ht="15" customHeight="1">
      <c r="E340" s="17"/>
      <c r="F340" s="17"/>
      <c r="G340" s="17"/>
      <c r="H340" s="18"/>
      <c r="J340" s="19"/>
      <c r="K340" s="19"/>
      <c r="O340" s="18"/>
    </row>
    <row r="341" spans="5:15" ht="15" customHeight="1">
      <c r="E341" s="17"/>
      <c r="F341" s="17"/>
      <c r="G341" s="17"/>
      <c r="H341" s="18"/>
      <c r="J341" s="19"/>
      <c r="K341" s="19"/>
      <c r="O341" s="18"/>
    </row>
    <row r="342" spans="5:15" ht="15" customHeight="1">
      <c r="E342" s="17"/>
      <c r="F342" s="17"/>
      <c r="G342" s="17"/>
      <c r="H342" s="18"/>
      <c r="J342" s="19"/>
      <c r="K342" s="19"/>
      <c r="O342" s="18"/>
    </row>
    <row r="343" spans="5:15" ht="15" customHeight="1">
      <c r="E343" s="17"/>
      <c r="F343" s="17"/>
      <c r="G343" s="17"/>
      <c r="H343" s="18"/>
      <c r="J343" s="19"/>
      <c r="K343" s="19"/>
      <c r="O343" s="18"/>
    </row>
    <row r="344" spans="5:15" ht="15" customHeight="1">
      <c r="E344" s="17"/>
      <c r="F344" s="17"/>
      <c r="G344" s="17"/>
      <c r="H344" s="18"/>
      <c r="J344" s="19"/>
      <c r="K344" s="19"/>
      <c r="O344" s="18"/>
    </row>
    <row r="345" spans="5:15" ht="15" customHeight="1">
      <c r="E345" s="17"/>
      <c r="F345" s="17"/>
      <c r="G345" s="17"/>
      <c r="H345" s="18"/>
      <c r="J345" s="19"/>
      <c r="K345" s="19"/>
      <c r="O345" s="18"/>
    </row>
    <row r="346" spans="5:15" ht="15" customHeight="1">
      <c r="E346" s="17"/>
      <c r="F346" s="17"/>
      <c r="G346" s="17"/>
      <c r="H346" s="18"/>
      <c r="J346" s="19"/>
      <c r="K346" s="19"/>
      <c r="O346" s="18"/>
    </row>
    <row r="347" spans="5:15" ht="15" customHeight="1">
      <c r="E347" s="17"/>
      <c r="F347" s="17"/>
      <c r="G347" s="17"/>
      <c r="H347" s="18"/>
      <c r="J347" s="19"/>
      <c r="K347" s="19"/>
      <c r="O347" s="18"/>
    </row>
    <row r="348" spans="5:15" ht="15" customHeight="1">
      <c r="E348" s="17"/>
      <c r="F348" s="17"/>
      <c r="G348" s="17"/>
      <c r="H348" s="18"/>
      <c r="J348" s="19"/>
      <c r="K348" s="19"/>
      <c r="O348" s="18"/>
    </row>
    <row r="349" spans="5:15" ht="15" customHeight="1">
      <c r="E349" s="17"/>
      <c r="F349" s="17"/>
      <c r="G349" s="17"/>
      <c r="H349" s="18"/>
      <c r="J349" s="19"/>
      <c r="K349" s="19"/>
      <c r="O349" s="18"/>
    </row>
    <row r="350" spans="5:15" ht="15" customHeight="1">
      <c r="E350" s="17"/>
      <c r="F350" s="17"/>
      <c r="G350" s="17"/>
      <c r="H350" s="18"/>
      <c r="J350" s="19"/>
      <c r="K350" s="19"/>
      <c r="O350" s="18"/>
    </row>
    <row r="351" spans="5:15" ht="15" customHeight="1">
      <c r="E351" s="17"/>
      <c r="F351" s="17"/>
      <c r="G351" s="17"/>
      <c r="H351" s="18"/>
      <c r="J351" s="19"/>
      <c r="K351" s="19"/>
      <c r="O351" s="18"/>
    </row>
    <row r="352" spans="5:15" ht="15" customHeight="1">
      <c r="E352" s="17"/>
      <c r="F352" s="17"/>
      <c r="G352" s="17"/>
      <c r="H352" s="18"/>
      <c r="J352" s="19"/>
      <c r="K352" s="19"/>
      <c r="O352" s="18"/>
    </row>
    <row r="353" spans="5:15" ht="15" customHeight="1">
      <c r="E353" s="17"/>
      <c r="F353" s="17"/>
      <c r="G353" s="17"/>
      <c r="H353" s="18"/>
      <c r="J353" s="19"/>
      <c r="K353" s="19"/>
      <c r="O353" s="18"/>
    </row>
    <row r="354" spans="5:15" ht="15" customHeight="1">
      <c r="E354" s="17"/>
      <c r="F354" s="17"/>
      <c r="G354" s="17"/>
      <c r="H354" s="18"/>
      <c r="J354" s="19"/>
      <c r="K354" s="19"/>
      <c r="O354" s="18"/>
    </row>
    <row r="355" spans="5:15" ht="15" customHeight="1">
      <c r="E355" s="17"/>
      <c r="F355" s="17"/>
      <c r="G355" s="17"/>
      <c r="H355" s="18"/>
      <c r="J355" s="19"/>
      <c r="K355" s="19"/>
      <c r="O355" s="18"/>
    </row>
    <row r="356" spans="5:15" ht="15" customHeight="1">
      <c r="E356" s="17"/>
      <c r="F356" s="17"/>
      <c r="G356" s="17"/>
      <c r="H356" s="18"/>
      <c r="J356" s="19"/>
      <c r="K356" s="19"/>
      <c r="O356" s="18"/>
    </row>
    <row r="357" spans="5:15" ht="15" customHeight="1">
      <c r="E357" s="17"/>
      <c r="F357" s="17"/>
      <c r="G357" s="17"/>
      <c r="H357" s="18"/>
      <c r="J357" s="19"/>
      <c r="K357" s="19"/>
      <c r="O357" s="18"/>
    </row>
    <row r="358" spans="5:15" ht="15" customHeight="1">
      <c r="E358" s="17"/>
      <c r="F358" s="17"/>
      <c r="G358" s="17"/>
      <c r="H358" s="18"/>
      <c r="J358" s="19"/>
      <c r="K358" s="19"/>
      <c r="O358" s="18"/>
    </row>
    <row r="359" spans="5:15" ht="15" customHeight="1">
      <c r="E359" s="17"/>
      <c r="F359" s="17"/>
      <c r="G359" s="17"/>
      <c r="H359" s="18"/>
      <c r="J359" s="19"/>
      <c r="K359" s="19"/>
      <c r="O359" s="18"/>
    </row>
    <row r="360" spans="5:15" ht="15" customHeight="1">
      <c r="E360" s="17"/>
      <c r="F360" s="17"/>
      <c r="G360" s="17"/>
      <c r="H360" s="18"/>
      <c r="J360" s="19"/>
      <c r="K360" s="19"/>
      <c r="O360" s="18"/>
    </row>
    <row r="361" spans="5:15" ht="15" customHeight="1">
      <c r="E361" s="17"/>
      <c r="F361" s="17"/>
      <c r="G361" s="17"/>
      <c r="H361" s="18"/>
      <c r="J361" s="19"/>
      <c r="K361" s="19"/>
      <c r="O361" s="18"/>
    </row>
    <row r="362" spans="5:15" ht="15" customHeight="1">
      <c r="E362" s="17"/>
      <c r="F362" s="17"/>
      <c r="G362" s="17"/>
      <c r="H362" s="18"/>
      <c r="J362" s="19"/>
      <c r="K362" s="19"/>
      <c r="O362" s="18"/>
    </row>
    <row r="363" spans="5:15" ht="15" customHeight="1">
      <c r="E363" s="17"/>
      <c r="F363" s="17"/>
      <c r="G363" s="17"/>
      <c r="H363" s="18"/>
      <c r="J363" s="19"/>
      <c r="K363" s="19"/>
      <c r="O363" s="18"/>
    </row>
    <row r="364" spans="5:15" ht="15" customHeight="1">
      <c r="E364" s="17"/>
      <c r="F364" s="17"/>
      <c r="G364" s="17"/>
      <c r="H364" s="18"/>
      <c r="J364" s="19"/>
      <c r="K364" s="19"/>
      <c r="O364" s="18"/>
    </row>
    <row r="365" spans="5:15" ht="15" customHeight="1">
      <c r="E365" s="17"/>
      <c r="F365" s="17"/>
      <c r="G365" s="17"/>
      <c r="H365" s="18"/>
      <c r="J365" s="19"/>
      <c r="K365" s="19"/>
      <c r="O365" s="18"/>
    </row>
    <row r="366" spans="5:15" ht="15" customHeight="1">
      <c r="E366" s="17"/>
      <c r="F366" s="17"/>
      <c r="G366" s="17"/>
      <c r="H366" s="18"/>
      <c r="J366" s="19"/>
      <c r="K366" s="19"/>
      <c r="O366" s="18"/>
    </row>
    <row r="367" spans="5:15" ht="15" customHeight="1">
      <c r="E367" s="17"/>
      <c r="F367" s="17"/>
      <c r="G367" s="17"/>
      <c r="H367" s="18"/>
      <c r="J367" s="19"/>
      <c r="K367" s="19"/>
      <c r="O367" s="18"/>
    </row>
    <row r="368" spans="5:15" ht="15" customHeight="1">
      <c r="E368" s="17"/>
      <c r="F368" s="17"/>
      <c r="G368" s="17"/>
      <c r="H368" s="18"/>
      <c r="J368" s="19"/>
      <c r="K368" s="19"/>
      <c r="O368" s="18"/>
    </row>
    <row r="369" spans="5:15" ht="15" customHeight="1">
      <c r="E369" s="17"/>
      <c r="F369" s="17"/>
      <c r="G369" s="17"/>
      <c r="H369" s="18"/>
      <c r="J369" s="19"/>
      <c r="K369" s="19"/>
      <c r="O369" s="18"/>
    </row>
    <row r="370" spans="5:15" ht="15" customHeight="1">
      <c r="E370" s="17"/>
      <c r="F370" s="17"/>
      <c r="G370" s="17"/>
      <c r="H370" s="18"/>
      <c r="J370" s="19"/>
      <c r="K370" s="19"/>
      <c r="O370" s="18"/>
    </row>
    <row r="371" spans="5:15" ht="15" customHeight="1">
      <c r="E371" s="17"/>
      <c r="F371" s="17"/>
      <c r="G371" s="17"/>
      <c r="H371" s="18"/>
      <c r="J371" s="19"/>
      <c r="K371" s="19"/>
      <c r="O371" s="18"/>
    </row>
    <row r="372" spans="5:15" ht="15" customHeight="1">
      <c r="E372" s="17"/>
      <c r="F372" s="17"/>
      <c r="G372" s="17"/>
      <c r="H372" s="18"/>
      <c r="J372" s="19"/>
      <c r="K372" s="19"/>
      <c r="O372" s="18"/>
    </row>
    <row r="373" spans="5:15" ht="15" customHeight="1">
      <c r="E373" s="17"/>
      <c r="F373" s="17"/>
      <c r="G373" s="17"/>
      <c r="H373" s="18"/>
      <c r="J373" s="19"/>
      <c r="K373" s="19"/>
      <c r="O373" s="18"/>
    </row>
    <row r="374" spans="5:15" ht="15" customHeight="1">
      <c r="E374" s="17"/>
      <c r="F374" s="17"/>
      <c r="G374" s="17"/>
      <c r="H374" s="18"/>
      <c r="J374" s="19"/>
      <c r="K374" s="19"/>
      <c r="O374" s="18"/>
    </row>
    <row r="375" spans="5:15" ht="15" customHeight="1">
      <c r="E375" s="17"/>
      <c r="F375" s="17"/>
      <c r="G375" s="17"/>
      <c r="H375" s="18"/>
      <c r="J375" s="19"/>
      <c r="K375" s="19"/>
      <c r="O375" s="18"/>
    </row>
    <row r="376" spans="5:15" ht="15" customHeight="1">
      <c r="E376" s="17"/>
      <c r="F376" s="17"/>
      <c r="G376" s="17"/>
      <c r="H376" s="18"/>
      <c r="J376" s="19"/>
      <c r="K376" s="19"/>
      <c r="O376" s="18"/>
    </row>
    <row r="377" spans="5:15" ht="15" customHeight="1">
      <c r="E377" s="17"/>
      <c r="F377" s="17"/>
      <c r="G377" s="17"/>
      <c r="H377" s="18"/>
      <c r="J377" s="19"/>
      <c r="K377" s="19"/>
      <c r="O377" s="18"/>
    </row>
    <row r="378" spans="5:15" ht="15" customHeight="1">
      <c r="E378" s="17"/>
      <c r="F378" s="17"/>
      <c r="G378" s="17"/>
      <c r="H378" s="18"/>
      <c r="J378" s="19"/>
      <c r="K378" s="19"/>
      <c r="O378" s="18"/>
    </row>
    <row r="379" spans="5:15" ht="15" customHeight="1">
      <c r="E379" s="17"/>
      <c r="F379" s="17"/>
      <c r="G379" s="17"/>
      <c r="H379" s="18"/>
      <c r="J379" s="19"/>
      <c r="K379" s="19"/>
      <c r="O379" s="18"/>
    </row>
    <row r="380" spans="5:15" ht="15" customHeight="1">
      <c r="E380" s="17"/>
      <c r="F380" s="17"/>
      <c r="G380" s="17"/>
      <c r="H380" s="18"/>
      <c r="J380" s="19"/>
      <c r="K380" s="19"/>
      <c r="O380" s="18"/>
    </row>
    <row r="381" spans="5:15" ht="15" customHeight="1">
      <c r="E381" s="17"/>
      <c r="F381" s="17"/>
      <c r="G381" s="17"/>
      <c r="H381" s="18"/>
      <c r="J381" s="19"/>
      <c r="K381" s="19"/>
      <c r="O381" s="18"/>
    </row>
    <row r="382" spans="5:15" ht="15" customHeight="1">
      <c r="E382" s="17"/>
      <c r="F382" s="17"/>
      <c r="G382" s="17"/>
      <c r="H382" s="18"/>
      <c r="J382" s="19"/>
      <c r="K382" s="19"/>
      <c r="O382" s="18"/>
    </row>
    <row r="383" spans="5:15" ht="15" customHeight="1">
      <c r="E383" s="17"/>
      <c r="F383" s="17"/>
      <c r="G383" s="17"/>
      <c r="H383" s="18"/>
      <c r="J383" s="19"/>
      <c r="K383" s="19"/>
      <c r="O383" s="18"/>
    </row>
    <row r="384" spans="5:15" ht="15" customHeight="1">
      <c r="E384" s="17"/>
      <c r="F384" s="17"/>
      <c r="G384" s="17"/>
      <c r="H384" s="18"/>
      <c r="J384" s="19"/>
      <c r="K384" s="19"/>
      <c r="O384" s="18"/>
    </row>
    <row r="385" spans="5:15" ht="15" customHeight="1">
      <c r="E385" s="17"/>
      <c r="F385" s="17"/>
      <c r="G385" s="17"/>
      <c r="H385" s="18"/>
      <c r="J385" s="19"/>
      <c r="K385" s="19"/>
      <c r="O385" s="18"/>
    </row>
    <row r="386" spans="5:15" ht="15" customHeight="1">
      <c r="E386" s="17"/>
      <c r="F386" s="17"/>
      <c r="G386" s="17"/>
      <c r="H386" s="18"/>
      <c r="J386" s="19"/>
      <c r="K386" s="19"/>
      <c r="O386" s="18"/>
    </row>
    <row r="387" spans="5:15" ht="15" customHeight="1">
      <c r="E387" s="17"/>
      <c r="F387" s="17"/>
      <c r="G387" s="17"/>
      <c r="H387" s="18"/>
      <c r="J387" s="19"/>
      <c r="K387" s="19"/>
      <c r="O387" s="18"/>
    </row>
    <row r="388" spans="5:15" ht="15" customHeight="1">
      <c r="E388" s="17"/>
      <c r="F388" s="17"/>
      <c r="G388" s="17"/>
      <c r="H388" s="18"/>
      <c r="J388" s="19"/>
      <c r="K388" s="19"/>
      <c r="O388" s="18"/>
    </row>
    <row r="389" spans="5:15" ht="15" customHeight="1">
      <c r="E389" s="17"/>
      <c r="F389" s="17"/>
      <c r="G389" s="17"/>
      <c r="H389" s="18"/>
      <c r="J389" s="19"/>
      <c r="K389" s="19"/>
      <c r="O389" s="18"/>
    </row>
    <row r="390" spans="5:15" ht="15" customHeight="1">
      <c r="E390" s="17"/>
      <c r="F390" s="17"/>
      <c r="G390" s="17"/>
      <c r="H390" s="18"/>
      <c r="J390" s="19"/>
      <c r="K390" s="19"/>
      <c r="O390" s="18"/>
    </row>
    <row r="391" spans="5:15" ht="15" customHeight="1">
      <c r="E391" s="17"/>
      <c r="F391" s="17"/>
      <c r="G391" s="17"/>
      <c r="H391" s="18"/>
      <c r="J391" s="19"/>
      <c r="K391" s="19"/>
      <c r="O391" s="18"/>
    </row>
    <row r="392" spans="5:15" ht="15" customHeight="1">
      <c r="E392" s="17"/>
      <c r="F392" s="17"/>
      <c r="G392" s="17"/>
      <c r="H392" s="18"/>
      <c r="J392" s="19"/>
      <c r="K392" s="19"/>
      <c r="O392" s="18"/>
    </row>
    <row r="393" spans="5:15" ht="15" customHeight="1">
      <c r="E393" s="17"/>
      <c r="F393" s="17"/>
      <c r="G393" s="17"/>
      <c r="H393" s="18"/>
      <c r="J393" s="19"/>
      <c r="K393" s="19"/>
      <c r="O393" s="18"/>
    </row>
    <row r="394" spans="5:15" ht="15" customHeight="1">
      <c r="E394" s="17"/>
      <c r="F394" s="17"/>
      <c r="G394" s="17"/>
      <c r="H394" s="18"/>
      <c r="J394" s="19"/>
      <c r="K394" s="19"/>
      <c r="O394" s="18"/>
    </row>
    <row r="395" spans="5:15" ht="15" customHeight="1">
      <c r="E395" s="17"/>
      <c r="F395" s="17"/>
      <c r="G395" s="17"/>
      <c r="H395" s="18"/>
      <c r="J395" s="19"/>
      <c r="K395" s="19"/>
      <c r="O395" s="18"/>
    </row>
    <row r="396" spans="5:15" ht="15" customHeight="1">
      <c r="E396" s="17"/>
      <c r="F396" s="17"/>
      <c r="G396" s="17"/>
      <c r="H396" s="18"/>
      <c r="J396" s="19"/>
      <c r="K396" s="19"/>
      <c r="O396" s="18"/>
    </row>
    <row r="397" spans="5:15" ht="15" customHeight="1">
      <c r="E397" s="17"/>
      <c r="F397" s="17"/>
      <c r="G397" s="17"/>
      <c r="H397" s="18"/>
      <c r="J397" s="19"/>
      <c r="K397" s="19"/>
      <c r="O397" s="18"/>
    </row>
    <row r="398" spans="5:15" ht="15" customHeight="1">
      <c r="E398" s="17"/>
      <c r="F398" s="17"/>
      <c r="G398" s="17"/>
      <c r="H398" s="18"/>
      <c r="J398" s="19"/>
      <c r="K398" s="19"/>
      <c r="O398" s="18"/>
    </row>
    <row r="399" spans="5:15" ht="15" customHeight="1">
      <c r="E399" s="17"/>
      <c r="F399" s="17"/>
      <c r="G399" s="17"/>
      <c r="H399" s="18"/>
      <c r="J399" s="19"/>
      <c r="K399" s="19"/>
      <c r="O399" s="18"/>
    </row>
    <row r="400" spans="5:15" ht="15" customHeight="1">
      <c r="E400" s="17"/>
      <c r="F400" s="17"/>
      <c r="G400" s="17"/>
      <c r="H400" s="18"/>
      <c r="J400" s="19"/>
      <c r="K400" s="19"/>
      <c r="O400" s="18"/>
    </row>
    <row r="401" spans="5:15" ht="15" customHeight="1">
      <c r="E401" s="17"/>
      <c r="F401" s="17"/>
      <c r="G401" s="17"/>
      <c r="H401" s="18"/>
      <c r="J401" s="19"/>
      <c r="K401" s="19"/>
      <c r="O401" s="18"/>
    </row>
    <row r="402" spans="5:15" ht="15" customHeight="1">
      <c r="E402" s="17"/>
      <c r="F402" s="17"/>
      <c r="G402" s="17"/>
      <c r="H402" s="18"/>
      <c r="J402" s="19"/>
      <c r="K402" s="19"/>
      <c r="O402" s="18"/>
    </row>
    <row r="403" spans="5:15" ht="15" customHeight="1">
      <c r="E403" s="17"/>
      <c r="F403" s="17"/>
      <c r="G403" s="17"/>
      <c r="H403" s="18"/>
      <c r="J403" s="19"/>
      <c r="K403" s="19"/>
      <c r="O403" s="18"/>
    </row>
    <row r="404" spans="5:15" ht="15" customHeight="1">
      <c r="E404" s="17"/>
      <c r="F404" s="17"/>
      <c r="G404" s="17"/>
      <c r="H404" s="18"/>
      <c r="J404" s="19"/>
      <c r="K404" s="19"/>
      <c r="O404" s="18"/>
    </row>
    <row r="405" spans="5:15" ht="15" customHeight="1">
      <c r="E405" s="17"/>
      <c r="F405" s="17"/>
      <c r="G405" s="17"/>
      <c r="H405" s="18"/>
      <c r="J405" s="19"/>
      <c r="K405" s="19"/>
      <c r="O405" s="18"/>
    </row>
    <row r="406" spans="5:15" ht="15" customHeight="1">
      <c r="E406" s="17"/>
      <c r="F406" s="17"/>
      <c r="G406" s="17"/>
      <c r="H406" s="18"/>
      <c r="J406" s="19"/>
      <c r="K406" s="19"/>
      <c r="O406" s="18"/>
    </row>
    <row r="407" spans="5:15" ht="15" customHeight="1">
      <c r="E407" s="17"/>
      <c r="F407" s="17"/>
      <c r="G407" s="17"/>
      <c r="H407" s="18"/>
      <c r="J407" s="19"/>
      <c r="K407" s="19"/>
      <c r="O407" s="18"/>
    </row>
    <row r="408" spans="5:15" ht="15" customHeight="1">
      <c r="E408" s="17"/>
      <c r="F408" s="17"/>
      <c r="G408" s="17"/>
      <c r="H408" s="18"/>
      <c r="J408" s="19"/>
      <c r="K408" s="19"/>
      <c r="O408" s="18"/>
    </row>
    <row r="409" spans="5:15" ht="15" customHeight="1">
      <c r="E409" s="17"/>
      <c r="F409" s="17"/>
      <c r="G409" s="17"/>
      <c r="H409" s="18"/>
      <c r="J409" s="19"/>
      <c r="K409" s="19"/>
      <c r="O409" s="18"/>
    </row>
    <row r="410" spans="5:15" ht="15" customHeight="1">
      <c r="E410" s="17"/>
      <c r="F410" s="17"/>
      <c r="G410" s="17"/>
      <c r="H410" s="18"/>
      <c r="J410" s="19"/>
      <c r="K410" s="19"/>
      <c r="O410" s="18"/>
    </row>
    <row r="411" spans="5:15" ht="15" customHeight="1">
      <c r="E411" s="17"/>
      <c r="F411" s="17"/>
      <c r="G411" s="17"/>
      <c r="H411" s="18"/>
      <c r="J411" s="19"/>
      <c r="K411" s="19"/>
      <c r="O411" s="18"/>
    </row>
    <row r="412" spans="5:15" ht="15" customHeight="1">
      <c r="E412" s="17"/>
      <c r="F412" s="17"/>
      <c r="G412" s="17"/>
      <c r="H412" s="18"/>
      <c r="J412" s="19"/>
      <c r="K412" s="19"/>
      <c r="O412" s="18"/>
    </row>
    <row r="413" spans="5:15" ht="15" customHeight="1">
      <c r="E413" s="17"/>
      <c r="F413" s="17"/>
      <c r="G413" s="17"/>
      <c r="H413" s="18"/>
      <c r="J413" s="19"/>
      <c r="K413" s="19"/>
      <c r="O413" s="18"/>
    </row>
    <row r="414" spans="5:15" ht="15" customHeight="1">
      <c r="E414" s="17"/>
      <c r="F414" s="17"/>
      <c r="G414" s="17"/>
      <c r="H414" s="18"/>
      <c r="J414" s="19"/>
      <c r="K414" s="19"/>
      <c r="O414" s="18"/>
    </row>
    <row r="415" spans="5:15" ht="15" customHeight="1">
      <c r="E415" s="17"/>
      <c r="F415" s="17"/>
      <c r="G415" s="17"/>
      <c r="H415" s="18"/>
      <c r="J415" s="19"/>
      <c r="K415" s="19"/>
      <c r="O415" s="18"/>
    </row>
    <row r="416" spans="5:15" ht="15" customHeight="1">
      <c r="E416" s="17"/>
      <c r="F416" s="17"/>
      <c r="G416" s="17"/>
      <c r="H416" s="18"/>
      <c r="J416" s="19"/>
      <c r="K416" s="19"/>
      <c r="O416" s="18"/>
    </row>
    <row r="417" spans="5:15" ht="15" customHeight="1">
      <c r="E417" s="17"/>
      <c r="F417" s="17"/>
      <c r="G417" s="17"/>
      <c r="H417" s="18"/>
      <c r="J417" s="19"/>
      <c r="K417" s="19"/>
      <c r="O417" s="18"/>
    </row>
    <row r="418" spans="5:15" ht="15" customHeight="1">
      <c r="E418" s="17"/>
      <c r="F418" s="17"/>
      <c r="G418" s="17"/>
      <c r="H418" s="18"/>
      <c r="J418" s="19"/>
      <c r="K418" s="19"/>
      <c r="O418" s="18"/>
    </row>
    <row r="419" spans="5:15" ht="15" customHeight="1">
      <c r="E419" s="17"/>
      <c r="F419" s="17"/>
      <c r="G419" s="17"/>
      <c r="H419" s="18"/>
      <c r="J419" s="19"/>
      <c r="K419" s="19"/>
      <c r="O419" s="18"/>
    </row>
    <row r="420" spans="5:15" ht="15" customHeight="1">
      <c r="E420" s="17"/>
      <c r="F420" s="17"/>
      <c r="G420" s="17"/>
      <c r="H420" s="18"/>
      <c r="J420" s="19"/>
      <c r="K420" s="19"/>
      <c r="O420" s="18"/>
    </row>
    <row r="421" spans="5:15" ht="15" customHeight="1">
      <c r="E421" s="17"/>
      <c r="F421" s="17"/>
      <c r="G421" s="17"/>
      <c r="H421" s="18"/>
      <c r="J421" s="19"/>
      <c r="K421" s="19"/>
      <c r="O421" s="18"/>
    </row>
    <row r="422" spans="5:15" ht="15" customHeight="1">
      <c r="E422" s="17"/>
      <c r="F422" s="17"/>
      <c r="G422" s="17"/>
      <c r="H422" s="18"/>
      <c r="J422" s="19"/>
      <c r="K422" s="19"/>
      <c r="O422" s="18"/>
    </row>
    <row r="423" spans="5:15" ht="15" customHeight="1">
      <c r="E423" s="17"/>
      <c r="F423" s="17"/>
      <c r="G423" s="17"/>
      <c r="H423" s="18"/>
      <c r="J423" s="19"/>
      <c r="K423" s="19"/>
      <c r="O423" s="18"/>
    </row>
    <row r="424" spans="5:15" ht="15" customHeight="1">
      <c r="E424" s="17"/>
      <c r="F424" s="17"/>
      <c r="G424" s="17"/>
      <c r="H424" s="18"/>
      <c r="J424" s="19"/>
      <c r="K424" s="19"/>
      <c r="O424" s="18"/>
    </row>
    <row r="425" spans="5:15" ht="15" customHeight="1">
      <c r="E425" s="17"/>
      <c r="F425" s="17"/>
      <c r="G425" s="17"/>
      <c r="H425" s="18"/>
      <c r="J425" s="19"/>
      <c r="K425" s="19"/>
      <c r="O425" s="18"/>
    </row>
    <row r="426" spans="5:15" ht="15" customHeight="1">
      <c r="E426" s="17"/>
      <c r="F426" s="17"/>
      <c r="G426" s="17"/>
      <c r="H426" s="18"/>
      <c r="J426" s="19"/>
      <c r="K426" s="19"/>
      <c r="O426" s="18"/>
    </row>
    <row r="427" spans="5:15" ht="15" customHeight="1">
      <c r="E427" s="17"/>
      <c r="F427" s="17"/>
      <c r="G427" s="17"/>
      <c r="H427" s="18"/>
      <c r="J427" s="19"/>
      <c r="K427" s="19"/>
      <c r="O427" s="18"/>
    </row>
    <row r="428" spans="5:15" ht="15" customHeight="1">
      <c r="E428" s="17"/>
      <c r="F428" s="17"/>
      <c r="G428" s="17"/>
      <c r="H428" s="18"/>
      <c r="J428" s="19"/>
      <c r="K428" s="19"/>
      <c r="O428" s="18"/>
    </row>
    <row r="429" spans="5:15" ht="15" customHeight="1">
      <c r="E429" s="17"/>
      <c r="F429" s="17"/>
      <c r="G429" s="17"/>
      <c r="H429" s="18"/>
      <c r="J429" s="19"/>
      <c r="K429" s="19"/>
      <c r="O429" s="18"/>
    </row>
    <row r="430" spans="5:15" ht="15" customHeight="1">
      <c r="E430" s="17"/>
      <c r="F430" s="17"/>
      <c r="G430" s="17"/>
      <c r="H430" s="18"/>
      <c r="J430" s="19"/>
      <c r="K430" s="19"/>
      <c r="O430" s="18"/>
    </row>
    <row r="431" spans="5:15" ht="15" customHeight="1">
      <c r="E431" s="17"/>
      <c r="F431" s="17"/>
      <c r="G431" s="17"/>
      <c r="H431" s="18"/>
      <c r="J431" s="19"/>
      <c r="K431" s="19"/>
      <c r="O431" s="18"/>
    </row>
    <row r="432" spans="5:15" ht="15" customHeight="1">
      <c r="E432" s="17"/>
      <c r="F432" s="17"/>
      <c r="G432" s="17"/>
      <c r="H432" s="18"/>
      <c r="J432" s="19"/>
      <c r="K432" s="19"/>
      <c r="O432" s="18"/>
    </row>
    <row r="433" spans="5:15" ht="15" customHeight="1">
      <c r="E433" s="17"/>
      <c r="F433" s="17"/>
      <c r="G433" s="17"/>
      <c r="H433" s="18"/>
      <c r="J433" s="19"/>
      <c r="K433" s="19"/>
      <c r="O433" s="18"/>
    </row>
    <row r="434" spans="5:15" ht="15" customHeight="1">
      <c r="E434" s="17"/>
      <c r="F434" s="17"/>
      <c r="G434" s="17"/>
      <c r="H434" s="18"/>
      <c r="J434" s="19"/>
      <c r="K434" s="19"/>
      <c r="O434" s="18"/>
    </row>
    <row r="435" spans="5:15" ht="15" customHeight="1">
      <c r="E435" s="17"/>
      <c r="F435" s="17"/>
      <c r="G435" s="17"/>
      <c r="H435" s="18"/>
      <c r="J435" s="19"/>
      <c r="K435" s="19"/>
      <c r="O435" s="18"/>
    </row>
    <row r="436" spans="5:15" ht="15" customHeight="1">
      <c r="E436" s="17"/>
      <c r="F436" s="17"/>
      <c r="G436" s="17"/>
      <c r="H436" s="18"/>
      <c r="J436" s="19"/>
      <c r="K436" s="19"/>
      <c r="O436" s="18"/>
    </row>
    <row r="437" spans="5:15" ht="15" customHeight="1">
      <c r="E437" s="17"/>
      <c r="F437" s="17"/>
      <c r="G437" s="17"/>
      <c r="H437" s="18"/>
      <c r="J437" s="19"/>
      <c r="K437" s="19"/>
      <c r="O437" s="18"/>
    </row>
    <row r="438" spans="5:15" ht="15" customHeight="1">
      <c r="E438" s="17"/>
      <c r="F438" s="17"/>
      <c r="G438" s="17"/>
      <c r="H438" s="18"/>
      <c r="J438" s="19"/>
      <c r="K438" s="19"/>
      <c r="O438" s="18"/>
    </row>
    <row r="439" spans="5:15" ht="15" customHeight="1">
      <c r="E439" s="17"/>
      <c r="F439" s="17"/>
      <c r="G439" s="17"/>
      <c r="H439" s="18"/>
      <c r="J439" s="19"/>
      <c r="K439" s="19"/>
      <c r="O439" s="18"/>
    </row>
    <row r="440" spans="5:15" ht="15" customHeight="1">
      <c r="E440" s="17"/>
      <c r="F440" s="17"/>
      <c r="G440" s="17"/>
      <c r="H440" s="18"/>
      <c r="J440" s="19"/>
      <c r="K440" s="19"/>
      <c r="O440" s="18"/>
    </row>
    <row r="441" spans="5:15" ht="15" customHeight="1">
      <c r="E441" s="17"/>
      <c r="F441" s="17"/>
      <c r="G441" s="17"/>
      <c r="H441" s="18"/>
      <c r="J441" s="19"/>
      <c r="K441" s="19"/>
      <c r="O441" s="18"/>
    </row>
    <row r="442" spans="5:15" ht="15" customHeight="1">
      <c r="E442" s="17"/>
      <c r="F442" s="17"/>
      <c r="G442" s="17"/>
      <c r="H442" s="18"/>
      <c r="J442" s="19"/>
      <c r="K442" s="19"/>
      <c r="O442" s="18"/>
    </row>
    <row r="443" spans="5:15" ht="15" customHeight="1">
      <c r="E443" s="17"/>
      <c r="F443" s="17"/>
      <c r="G443" s="17"/>
      <c r="H443" s="18"/>
      <c r="J443" s="19"/>
      <c r="K443" s="19"/>
      <c r="O443" s="18"/>
    </row>
    <row r="444" spans="5:15" ht="15" customHeight="1">
      <c r="E444" s="17"/>
      <c r="F444" s="17"/>
      <c r="G444" s="17"/>
      <c r="H444" s="18"/>
      <c r="J444" s="19"/>
      <c r="K444" s="19"/>
      <c r="O444" s="18"/>
    </row>
    <row r="445" spans="5:15" ht="15" customHeight="1">
      <c r="E445" s="17"/>
      <c r="F445" s="17"/>
      <c r="G445" s="17"/>
      <c r="H445" s="18"/>
      <c r="J445" s="19"/>
      <c r="K445" s="19"/>
      <c r="O445" s="18"/>
    </row>
    <row r="446" spans="5:15" ht="15" customHeight="1">
      <c r="E446" s="17"/>
      <c r="F446" s="17"/>
      <c r="G446" s="17"/>
      <c r="H446" s="18"/>
      <c r="J446" s="19"/>
      <c r="K446" s="19"/>
      <c r="O446" s="18"/>
    </row>
    <row r="447" spans="5:15" ht="15" customHeight="1">
      <c r="E447" s="17"/>
      <c r="F447" s="17"/>
      <c r="G447" s="17"/>
      <c r="H447" s="18"/>
      <c r="J447" s="19"/>
      <c r="K447" s="19"/>
      <c r="O447" s="18"/>
    </row>
    <row r="448" spans="5:15" ht="15" customHeight="1">
      <c r="E448" s="17"/>
      <c r="F448" s="17"/>
      <c r="G448" s="17"/>
      <c r="H448" s="18"/>
      <c r="J448" s="19"/>
      <c r="K448" s="19"/>
      <c r="O448" s="18"/>
    </row>
    <row r="449" spans="5:15" ht="15" customHeight="1">
      <c r="E449" s="17"/>
      <c r="F449" s="17"/>
      <c r="G449" s="17"/>
      <c r="H449" s="18"/>
      <c r="J449" s="19"/>
      <c r="K449" s="19"/>
      <c r="O449" s="18"/>
    </row>
    <row r="450" spans="5:15" ht="15" customHeight="1">
      <c r="E450" s="17"/>
      <c r="F450" s="17"/>
      <c r="G450" s="17"/>
      <c r="H450" s="18"/>
      <c r="J450" s="19"/>
      <c r="K450" s="19"/>
      <c r="O450" s="18"/>
    </row>
    <row r="451" spans="5:15" ht="15" customHeight="1">
      <c r="E451" s="17"/>
      <c r="F451" s="17"/>
      <c r="G451" s="17"/>
      <c r="H451" s="18"/>
      <c r="J451" s="19"/>
      <c r="K451" s="19"/>
      <c r="O451" s="18"/>
    </row>
    <row r="452" spans="5:15" ht="15" customHeight="1">
      <c r="E452" s="17"/>
      <c r="F452" s="17"/>
      <c r="G452" s="17"/>
      <c r="H452" s="18"/>
      <c r="J452" s="19"/>
      <c r="K452" s="19"/>
      <c r="O452" s="18"/>
    </row>
    <row r="453" spans="5:15" ht="15" customHeight="1">
      <c r="E453" s="17"/>
      <c r="F453" s="17"/>
      <c r="G453" s="17"/>
      <c r="H453" s="18"/>
      <c r="J453" s="19"/>
      <c r="K453" s="19"/>
      <c r="O453" s="18"/>
    </row>
    <row r="454" spans="5:15" ht="15" customHeight="1">
      <c r="E454" s="17"/>
      <c r="F454" s="17"/>
      <c r="G454" s="17"/>
      <c r="H454" s="18"/>
      <c r="J454" s="19"/>
      <c r="K454" s="19"/>
      <c r="O454" s="18"/>
    </row>
    <row r="455" spans="5:15" ht="15" customHeight="1">
      <c r="E455" s="17"/>
      <c r="F455" s="17"/>
      <c r="G455" s="17"/>
      <c r="H455" s="18"/>
      <c r="J455" s="19"/>
      <c r="K455" s="19"/>
      <c r="O455" s="18"/>
    </row>
    <row r="456" spans="5:15" ht="15" customHeight="1">
      <c r="E456" s="17"/>
      <c r="F456" s="17"/>
      <c r="G456" s="17"/>
      <c r="H456" s="18"/>
      <c r="J456" s="19"/>
      <c r="K456" s="19"/>
      <c r="O456" s="18"/>
    </row>
    <row r="457" spans="5:15" ht="15" customHeight="1">
      <c r="E457" s="17"/>
      <c r="F457" s="17"/>
      <c r="G457" s="17"/>
      <c r="H457" s="18"/>
      <c r="J457" s="19"/>
      <c r="K457" s="19"/>
      <c r="O457" s="18"/>
    </row>
    <row r="458" spans="5:15" ht="15" customHeight="1">
      <c r="E458" s="17"/>
      <c r="F458" s="17"/>
      <c r="G458" s="17"/>
      <c r="H458" s="18"/>
      <c r="J458" s="19"/>
      <c r="K458" s="19"/>
      <c r="O458" s="18"/>
    </row>
    <row r="459" spans="5:15" ht="15" customHeight="1">
      <c r="E459" s="17"/>
      <c r="F459" s="17"/>
      <c r="G459" s="17"/>
      <c r="H459" s="18"/>
      <c r="J459" s="19"/>
      <c r="K459" s="19"/>
      <c r="O459" s="18"/>
    </row>
    <row r="460" spans="5:15" ht="15" customHeight="1">
      <c r="E460" s="17"/>
      <c r="F460" s="17"/>
      <c r="G460" s="17"/>
      <c r="H460" s="18"/>
      <c r="J460" s="19"/>
      <c r="K460" s="19"/>
      <c r="O460" s="18"/>
    </row>
    <row r="461" spans="5:15" ht="15" customHeight="1">
      <c r="E461" s="17"/>
      <c r="F461" s="17"/>
      <c r="G461" s="17"/>
      <c r="H461" s="18"/>
      <c r="J461" s="19"/>
      <c r="K461" s="19"/>
      <c r="O461" s="18"/>
    </row>
    <row r="462" spans="5:15" ht="15" customHeight="1">
      <c r="E462" s="17"/>
      <c r="F462" s="17"/>
      <c r="G462" s="17"/>
      <c r="H462" s="18"/>
      <c r="J462" s="19"/>
      <c r="K462" s="19"/>
      <c r="O462" s="18"/>
    </row>
    <row r="463" spans="5:15" ht="15" customHeight="1">
      <c r="E463" s="17"/>
      <c r="F463" s="17"/>
      <c r="G463" s="17"/>
      <c r="H463" s="18"/>
      <c r="J463" s="19"/>
      <c r="K463" s="19"/>
      <c r="O463" s="18"/>
    </row>
    <row r="464" spans="5:15" ht="15" customHeight="1">
      <c r="E464" s="17"/>
      <c r="F464" s="17"/>
      <c r="G464" s="17"/>
      <c r="H464" s="18"/>
      <c r="J464" s="19"/>
      <c r="K464" s="19"/>
      <c r="O464" s="18"/>
    </row>
    <row r="465" spans="5:15" ht="15" customHeight="1">
      <c r="E465" s="17"/>
      <c r="F465" s="17"/>
      <c r="G465" s="17"/>
      <c r="H465" s="18"/>
      <c r="J465" s="19"/>
      <c r="K465" s="19"/>
      <c r="O465" s="18"/>
    </row>
    <row r="466" spans="5:15" ht="15" customHeight="1">
      <c r="E466" s="17"/>
      <c r="F466" s="17"/>
      <c r="G466" s="17"/>
      <c r="H466" s="18"/>
      <c r="J466" s="19"/>
      <c r="K466" s="19"/>
      <c r="O466" s="18"/>
    </row>
    <row r="467" spans="5:15" ht="15" customHeight="1">
      <c r="E467" s="17"/>
      <c r="F467" s="17"/>
      <c r="G467" s="17"/>
      <c r="H467" s="18"/>
      <c r="J467" s="19"/>
      <c r="K467" s="19"/>
      <c r="O467" s="18"/>
    </row>
    <row r="468" spans="5:15" ht="15" customHeight="1">
      <c r="E468" s="17"/>
      <c r="F468" s="17"/>
      <c r="G468" s="17"/>
      <c r="H468" s="18"/>
      <c r="J468" s="19"/>
      <c r="K468" s="19"/>
      <c r="O468" s="18"/>
    </row>
    <row r="469" spans="5:15" ht="15" customHeight="1">
      <c r="E469" s="17"/>
      <c r="F469" s="17"/>
      <c r="G469" s="17"/>
      <c r="H469" s="18"/>
      <c r="J469" s="19"/>
      <c r="K469" s="19"/>
      <c r="O469" s="18"/>
    </row>
    <row r="470" spans="5:15" ht="15" customHeight="1">
      <c r="E470" s="17"/>
      <c r="F470" s="17"/>
      <c r="G470" s="17"/>
      <c r="H470" s="18"/>
      <c r="J470" s="19"/>
      <c r="K470" s="19"/>
      <c r="O470" s="18"/>
    </row>
    <row r="471" spans="5:15" ht="15" customHeight="1">
      <c r="E471" s="17"/>
      <c r="F471" s="17"/>
      <c r="G471" s="17"/>
      <c r="H471" s="18"/>
      <c r="J471" s="19"/>
      <c r="K471" s="19"/>
      <c r="O471" s="18"/>
    </row>
    <row r="472" spans="5:15" ht="15" customHeight="1">
      <c r="E472" s="17"/>
      <c r="F472" s="17"/>
      <c r="G472" s="17"/>
      <c r="H472" s="18"/>
      <c r="J472" s="19"/>
      <c r="K472" s="19"/>
      <c r="O472" s="18"/>
    </row>
    <row r="473" spans="5:15" ht="15" customHeight="1">
      <c r="E473" s="17"/>
      <c r="F473" s="17"/>
      <c r="G473" s="17"/>
      <c r="H473" s="18"/>
      <c r="J473" s="19"/>
      <c r="K473" s="19"/>
      <c r="O473" s="18"/>
    </row>
    <row r="474" spans="5:15" ht="15" customHeight="1">
      <c r="E474" s="17"/>
      <c r="F474" s="17"/>
      <c r="G474" s="17"/>
      <c r="H474" s="18"/>
      <c r="J474" s="19"/>
      <c r="K474" s="19"/>
      <c r="O474" s="18"/>
    </row>
    <row r="475" spans="5:15" ht="15" customHeight="1">
      <c r="E475" s="17"/>
      <c r="F475" s="17"/>
      <c r="G475" s="17"/>
      <c r="H475" s="18"/>
      <c r="J475" s="19"/>
      <c r="K475" s="19"/>
      <c r="O475" s="18"/>
    </row>
    <row r="476" spans="5:15" ht="15" customHeight="1">
      <c r="E476" s="17"/>
      <c r="F476" s="17"/>
      <c r="G476" s="17"/>
      <c r="H476" s="18"/>
      <c r="J476" s="19"/>
      <c r="K476" s="19"/>
      <c r="O476" s="18"/>
    </row>
    <row r="477" spans="5:15" ht="15" customHeight="1">
      <c r="E477" s="17"/>
      <c r="F477" s="17"/>
      <c r="G477" s="17"/>
      <c r="H477" s="18"/>
      <c r="J477" s="19"/>
      <c r="K477" s="19"/>
      <c r="O477" s="18"/>
    </row>
    <row r="478" spans="5:15" ht="15" customHeight="1">
      <c r="E478" s="17"/>
      <c r="F478" s="17"/>
      <c r="G478" s="17"/>
      <c r="H478" s="18"/>
      <c r="J478" s="19"/>
      <c r="K478" s="19"/>
      <c r="O478" s="18"/>
    </row>
    <row r="479" spans="5:15" ht="15" customHeight="1">
      <c r="E479" s="17"/>
      <c r="F479" s="17"/>
      <c r="G479" s="17"/>
      <c r="H479" s="18"/>
      <c r="J479" s="19"/>
      <c r="K479" s="19"/>
      <c r="O479" s="18"/>
    </row>
    <row r="480" spans="5:15" ht="15" customHeight="1">
      <c r="E480" s="17"/>
      <c r="F480" s="17"/>
      <c r="G480" s="17"/>
      <c r="H480" s="18"/>
      <c r="J480" s="19"/>
      <c r="K480" s="19"/>
      <c r="O480" s="18"/>
    </row>
    <row r="481" spans="5:15" ht="15" customHeight="1">
      <c r="E481" s="17"/>
      <c r="F481" s="17"/>
      <c r="G481" s="17"/>
      <c r="H481" s="18"/>
      <c r="J481" s="19"/>
      <c r="K481" s="19"/>
      <c r="O481" s="18"/>
    </row>
    <row r="482" spans="5:15" ht="15" customHeight="1">
      <c r="E482" s="17"/>
      <c r="F482" s="17"/>
      <c r="G482" s="17"/>
      <c r="H482" s="18"/>
      <c r="J482" s="19"/>
      <c r="K482" s="19"/>
      <c r="O482" s="18"/>
    </row>
    <row r="483" spans="5:15" ht="15" customHeight="1">
      <c r="E483" s="17"/>
      <c r="F483" s="17"/>
      <c r="G483" s="17"/>
      <c r="H483" s="18"/>
      <c r="J483" s="19"/>
      <c r="K483" s="19"/>
      <c r="O483" s="18"/>
    </row>
    <row r="484" spans="5:15" ht="15" customHeight="1">
      <c r="E484" s="17"/>
      <c r="F484" s="17"/>
      <c r="G484" s="17"/>
      <c r="H484" s="18"/>
      <c r="J484" s="19"/>
      <c r="K484" s="19"/>
      <c r="O484" s="18"/>
    </row>
    <row r="485" spans="5:15" ht="15" customHeight="1">
      <c r="E485" s="17"/>
      <c r="F485" s="17"/>
      <c r="G485" s="17"/>
      <c r="H485" s="18"/>
      <c r="J485" s="19"/>
      <c r="K485" s="19"/>
      <c r="O485" s="18"/>
    </row>
    <row r="486" spans="5:15" ht="15" customHeight="1">
      <c r="E486" s="17"/>
      <c r="F486" s="17"/>
      <c r="G486" s="17"/>
      <c r="H486" s="18"/>
      <c r="J486" s="19"/>
      <c r="K486" s="19"/>
      <c r="O486" s="18"/>
    </row>
    <row r="487" spans="5:15" ht="15" customHeight="1">
      <c r="E487" s="17"/>
      <c r="F487" s="17"/>
      <c r="G487" s="17"/>
      <c r="H487" s="18"/>
      <c r="J487" s="19"/>
      <c r="K487" s="19"/>
      <c r="O487" s="18"/>
    </row>
    <row r="488" spans="5:15" ht="15" customHeight="1">
      <c r="E488" s="17"/>
      <c r="F488" s="17"/>
      <c r="G488" s="17"/>
      <c r="H488" s="18"/>
      <c r="J488" s="19"/>
      <c r="K488" s="19"/>
      <c r="O488" s="18"/>
    </row>
    <row r="489" spans="5:15" ht="15" customHeight="1">
      <c r="E489" s="17"/>
      <c r="F489" s="17"/>
      <c r="G489" s="17"/>
      <c r="H489" s="18"/>
      <c r="J489" s="19"/>
      <c r="K489" s="19"/>
      <c r="O489" s="18"/>
    </row>
    <row r="490" spans="5:15" ht="15" customHeight="1">
      <c r="E490" s="17"/>
      <c r="F490" s="17"/>
      <c r="G490" s="17"/>
      <c r="H490" s="18"/>
      <c r="J490" s="19"/>
      <c r="K490" s="19"/>
      <c r="O490" s="18"/>
    </row>
    <row r="491" spans="5:15" ht="15" customHeight="1">
      <c r="E491" s="17"/>
      <c r="F491" s="17"/>
      <c r="G491" s="17"/>
      <c r="H491" s="18"/>
      <c r="J491" s="19"/>
      <c r="K491" s="19"/>
      <c r="O491" s="18"/>
    </row>
    <row r="492" spans="5:15" ht="15" customHeight="1">
      <c r="E492" s="17"/>
      <c r="F492" s="17"/>
      <c r="G492" s="17"/>
      <c r="H492" s="18"/>
      <c r="J492" s="19"/>
      <c r="K492" s="19"/>
      <c r="O492" s="18"/>
    </row>
    <row r="493" spans="5:15" ht="15" customHeight="1">
      <c r="E493" s="17"/>
      <c r="F493" s="17"/>
      <c r="G493" s="17"/>
      <c r="H493" s="18"/>
      <c r="J493" s="19"/>
      <c r="K493" s="19"/>
      <c r="O493" s="18"/>
    </row>
    <row r="494" spans="5:15" ht="15" customHeight="1">
      <c r="E494" s="17"/>
      <c r="F494" s="17"/>
      <c r="G494" s="17"/>
      <c r="H494" s="18"/>
      <c r="J494" s="19"/>
      <c r="K494" s="19"/>
      <c r="O494" s="18"/>
    </row>
    <row r="495" spans="5:15" ht="15" customHeight="1">
      <c r="E495" s="17"/>
      <c r="F495" s="17"/>
      <c r="G495" s="17"/>
      <c r="H495" s="18"/>
      <c r="J495" s="19"/>
      <c r="K495" s="19"/>
      <c r="O495" s="18"/>
    </row>
    <row r="496" spans="5:15" ht="15" customHeight="1">
      <c r="E496" s="17"/>
      <c r="F496" s="17"/>
      <c r="G496" s="17"/>
      <c r="H496" s="18"/>
      <c r="J496" s="19"/>
      <c r="K496" s="19"/>
      <c r="O496" s="18"/>
    </row>
    <row r="497" spans="5:15" ht="15" customHeight="1">
      <c r="E497" s="17"/>
      <c r="F497" s="17"/>
      <c r="G497" s="17"/>
      <c r="H497" s="18"/>
      <c r="J497" s="19"/>
      <c r="K497" s="19"/>
      <c r="O497" s="18"/>
    </row>
    <row r="498" spans="5:15" ht="15" customHeight="1">
      <c r="E498" s="17"/>
      <c r="F498" s="17"/>
      <c r="G498" s="17"/>
      <c r="H498" s="18"/>
      <c r="J498" s="19"/>
      <c r="K498" s="19"/>
      <c r="O498" s="18"/>
    </row>
    <row r="499" spans="5:15" ht="15" customHeight="1">
      <c r="E499" s="17"/>
      <c r="F499" s="17"/>
      <c r="G499" s="17"/>
      <c r="H499" s="18"/>
      <c r="J499" s="19"/>
      <c r="K499" s="19"/>
      <c r="O499" s="18"/>
    </row>
    <row r="500" spans="5:15" ht="15" customHeight="1">
      <c r="E500" s="17"/>
      <c r="F500" s="17"/>
      <c r="G500" s="17"/>
      <c r="H500" s="18"/>
      <c r="J500" s="19"/>
      <c r="K500" s="19"/>
      <c r="O500" s="18"/>
    </row>
    <row r="501" spans="5:15" ht="15" customHeight="1">
      <c r="E501" s="17"/>
      <c r="F501" s="17"/>
      <c r="G501" s="17"/>
      <c r="H501" s="18"/>
      <c r="J501" s="19"/>
      <c r="K501" s="19"/>
      <c r="O501" s="18"/>
    </row>
    <row r="502" spans="5:15" ht="15" customHeight="1">
      <c r="E502" s="17"/>
      <c r="F502" s="17"/>
      <c r="G502" s="17"/>
      <c r="H502" s="18"/>
      <c r="J502" s="19"/>
      <c r="K502" s="19"/>
      <c r="O502" s="18"/>
    </row>
    <row r="503" spans="5:15" ht="15" customHeight="1">
      <c r="E503" s="17"/>
      <c r="F503" s="17"/>
      <c r="G503" s="17"/>
      <c r="H503" s="18"/>
      <c r="J503" s="19"/>
      <c r="K503" s="19"/>
      <c r="O503" s="18"/>
    </row>
    <row r="504" spans="5:15" ht="15" customHeight="1">
      <c r="E504" s="17"/>
      <c r="F504" s="17"/>
      <c r="G504" s="17"/>
      <c r="H504" s="18"/>
      <c r="J504" s="19"/>
      <c r="K504" s="19"/>
      <c r="O504" s="18"/>
    </row>
    <row r="505" spans="5:15" ht="15" customHeight="1">
      <c r="E505" s="17"/>
      <c r="F505" s="17"/>
      <c r="G505" s="17"/>
      <c r="H505" s="18"/>
      <c r="J505" s="19"/>
      <c r="K505" s="19"/>
      <c r="O505" s="18"/>
    </row>
    <row r="506" spans="5:15" ht="15" customHeight="1">
      <c r="E506" s="17"/>
      <c r="F506" s="17"/>
      <c r="G506" s="17"/>
      <c r="H506" s="18"/>
      <c r="J506" s="19"/>
      <c r="K506" s="19"/>
      <c r="O506" s="18"/>
    </row>
    <row r="507" spans="5:15" ht="15" customHeight="1">
      <c r="E507" s="17"/>
      <c r="F507" s="17"/>
      <c r="G507" s="17"/>
      <c r="H507" s="18"/>
      <c r="J507" s="19"/>
      <c r="K507" s="19"/>
      <c r="O507" s="18"/>
    </row>
    <row r="508" spans="5:15" ht="15" customHeight="1">
      <c r="E508" s="17"/>
      <c r="F508" s="17"/>
      <c r="G508" s="17"/>
      <c r="H508" s="18"/>
      <c r="J508" s="19"/>
      <c r="K508" s="19"/>
      <c r="O508" s="18"/>
    </row>
    <row r="509" spans="5:15" ht="15" customHeight="1">
      <c r="E509" s="17"/>
      <c r="F509" s="17"/>
      <c r="G509" s="17"/>
      <c r="H509" s="18"/>
      <c r="J509" s="19"/>
      <c r="K509" s="19"/>
      <c r="O509" s="18"/>
    </row>
    <row r="510" spans="5:15" ht="15" customHeight="1">
      <c r="E510" s="17"/>
      <c r="F510" s="17"/>
      <c r="G510" s="17"/>
      <c r="H510" s="18"/>
      <c r="J510" s="19"/>
      <c r="K510" s="19"/>
      <c r="O510" s="18"/>
    </row>
    <row r="511" spans="5:15" ht="15" customHeight="1">
      <c r="E511" s="17"/>
      <c r="F511" s="17"/>
      <c r="G511" s="17"/>
      <c r="H511" s="18"/>
      <c r="J511" s="19"/>
      <c r="K511" s="19"/>
      <c r="O511" s="18"/>
    </row>
    <row r="512" spans="5:15" ht="15" customHeight="1">
      <c r="E512" s="17"/>
      <c r="F512" s="17"/>
      <c r="G512" s="17"/>
      <c r="H512" s="18"/>
      <c r="J512" s="19"/>
      <c r="K512" s="19"/>
      <c r="O512" s="18"/>
    </row>
    <row r="513" spans="5:15" ht="15" customHeight="1">
      <c r="E513" s="17"/>
      <c r="F513" s="17"/>
      <c r="G513" s="17"/>
      <c r="H513" s="18"/>
      <c r="J513" s="19"/>
      <c r="K513" s="19"/>
      <c r="O513" s="18"/>
    </row>
    <row r="514" spans="5:15" ht="15" customHeight="1">
      <c r="E514" s="17"/>
      <c r="F514" s="17"/>
      <c r="G514" s="17"/>
      <c r="H514" s="18"/>
      <c r="J514" s="19"/>
      <c r="K514" s="19"/>
      <c r="O514" s="18"/>
    </row>
    <row r="515" spans="5:15" ht="15" customHeight="1">
      <c r="E515" s="17"/>
      <c r="F515" s="17"/>
      <c r="G515" s="17"/>
      <c r="H515" s="18"/>
      <c r="J515" s="19"/>
      <c r="K515" s="19"/>
      <c r="O515" s="18"/>
    </row>
    <row r="516" spans="5:15" ht="15" customHeight="1">
      <c r="E516" s="17"/>
      <c r="F516" s="17"/>
      <c r="G516" s="17"/>
      <c r="H516" s="18"/>
      <c r="J516" s="19"/>
      <c r="K516" s="19"/>
      <c r="O516" s="18"/>
    </row>
    <row r="517" spans="5:15" ht="15" customHeight="1">
      <c r="E517" s="17"/>
      <c r="F517" s="17"/>
      <c r="G517" s="17"/>
      <c r="H517" s="18"/>
      <c r="J517" s="19"/>
      <c r="K517" s="19"/>
      <c r="O517" s="18"/>
    </row>
    <row r="518" spans="5:15" ht="15" customHeight="1">
      <c r="E518" s="17"/>
      <c r="F518" s="17"/>
      <c r="G518" s="17"/>
      <c r="H518" s="18"/>
      <c r="J518" s="19"/>
      <c r="K518" s="19"/>
      <c r="O518" s="18"/>
    </row>
    <row r="519" spans="5:15" ht="15" customHeight="1">
      <c r="E519" s="17"/>
      <c r="F519" s="17"/>
      <c r="G519" s="17"/>
      <c r="H519" s="18"/>
      <c r="J519" s="19"/>
      <c r="K519" s="19"/>
      <c r="O519" s="18"/>
    </row>
    <row r="520" spans="5:15" ht="15" customHeight="1">
      <c r="E520" s="17"/>
      <c r="F520" s="17"/>
      <c r="G520" s="17"/>
      <c r="H520" s="18"/>
      <c r="J520" s="19"/>
      <c r="K520" s="19"/>
      <c r="O520" s="18"/>
    </row>
    <row r="521" spans="5:15" ht="15" customHeight="1">
      <c r="E521" s="17"/>
      <c r="F521" s="17"/>
      <c r="G521" s="17"/>
      <c r="H521" s="18"/>
      <c r="J521" s="19"/>
      <c r="K521" s="19"/>
      <c r="O521" s="18"/>
    </row>
    <row r="522" spans="5:15" ht="15" customHeight="1">
      <c r="E522" s="17"/>
      <c r="F522" s="17"/>
      <c r="G522" s="17"/>
      <c r="H522" s="18"/>
      <c r="J522" s="19"/>
      <c r="K522" s="19"/>
      <c r="O522" s="18"/>
    </row>
    <row r="523" spans="5:15" ht="15" customHeight="1">
      <c r="E523" s="17"/>
      <c r="F523" s="17"/>
      <c r="G523" s="17"/>
      <c r="H523" s="18"/>
      <c r="J523" s="19"/>
      <c r="K523" s="19"/>
      <c r="O523" s="18"/>
    </row>
    <row r="524" spans="5:15" ht="15" customHeight="1">
      <c r="E524" s="17"/>
      <c r="F524" s="17"/>
      <c r="G524" s="17"/>
      <c r="H524" s="18"/>
      <c r="J524" s="19"/>
      <c r="K524" s="19"/>
      <c r="O524" s="18"/>
    </row>
    <row r="525" spans="5:15" ht="15" customHeight="1">
      <c r="E525" s="17"/>
      <c r="F525" s="17"/>
      <c r="G525" s="17"/>
      <c r="H525" s="18"/>
      <c r="J525" s="19"/>
      <c r="K525" s="19"/>
      <c r="O525" s="18"/>
    </row>
    <row r="526" spans="5:15" ht="15" customHeight="1">
      <c r="E526" s="17"/>
      <c r="F526" s="17"/>
      <c r="G526" s="17"/>
      <c r="H526" s="18"/>
      <c r="J526" s="19"/>
      <c r="K526" s="19"/>
      <c r="O526" s="18"/>
    </row>
    <row r="527" spans="5:15" ht="15" customHeight="1">
      <c r="E527" s="17"/>
      <c r="F527" s="17"/>
      <c r="G527" s="17"/>
      <c r="H527" s="18"/>
      <c r="J527" s="19"/>
      <c r="K527" s="19"/>
      <c r="O527" s="18"/>
    </row>
    <row r="528" spans="5:15" ht="15" customHeight="1">
      <c r="E528" s="17"/>
      <c r="F528" s="17"/>
      <c r="G528" s="17"/>
      <c r="H528" s="18"/>
      <c r="J528" s="19"/>
      <c r="K528" s="19"/>
      <c r="O528" s="18"/>
    </row>
    <row r="529" spans="5:15" ht="15" customHeight="1">
      <c r="E529" s="17"/>
      <c r="F529" s="17"/>
      <c r="G529" s="17"/>
      <c r="H529" s="18"/>
      <c r="J529" s="19"/>
      <c r="K529" s="19"/>
      <c r="O529" s="18"/>
    </row>
    <row r="530" spans="5:15" ht="15" customHeight="1">
      <c r="E530" s="17"/>
      <c r="F530" s="17"/>
      <c r="G530" s="17"/>
      <c r="H530" s="18"/>
      <c r="J530" s="19"/>
      <c r="K530" s="19"/>
      <c r="O530" s="18"/>
    </row>
    <row r="531" spans="5:15" ht="15" customHeight="1">
      <c r="E531" s="17"/>
      <c r="F531" s="17"/>
      <c r="G531" s="17"/>
      <c r="H531" s="18"/>
      <c r="J531" s="19"/>
      <c r="K531" s="19"/>
      <c r="O531" s="18"/>
    </row>
  </sheetData>
  <mergeCells count="6">
    <mergeCell ref="E10:F10"/>
    <mergeCell ref="E21:G21"/>
    <mergeCell ref="H9:O10"/>
    <mergeCell ref="K14:M14"/>
    <mergeCell ref="J12:L12"/>
    <mergeCell ref="M12:O12"/>
  </mergeCells>
  <phoneticPr fontId="0" type="noConversion"/>
  <conditionalFormatting sqref="P24 I27:K41 P27:P41">
    <cfRule type="cellIs" dxfId="0" priority="1" stopIfTrue="1" operator="equal">
      <formula>1</formula>
    </cfRule>
  </conditionalFormatting>
  <printOptions horizontalCentered="1"/>
  <pageMargins left="0.33" right="0.33" top="0.44" bottom="0.38" header="0.17" footer="0.16"/>
  <pageSetup scale="64" fitToHeight="2" orientation="portrait" errors="blank" r:id="rId1"/>
  <headerFooter alignWithMargins="0">
    <oddHeader>&amp;L&amp;"Geneva,Gras italique"&amp;12GRANITE GOODS MADE IN CANADA&amp;C&amp;"Geneva,Gras"&amp;16&amp;A&amp;Rpage &amp;P / &amp;N</oddHeader>
    <oddFooter>&amp;L&amp;6&amp;F
&amp;A&amp;C&amp;D&amp;Rpage &amp;P / &amp;N</oddFooter>
  </headerFooter>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5</vt:i4>
      </vt:variant>
      <vt:variant>
        <vt:lpstr>Plages nommées</vt:lpstr>
      </vt:variant>
      <vt:variant>
        <vt:i4>87</vt:i4>
      </vt:variant>
    </vt:vector>
  </HeadingPairs>
  <TitlesOfParts>
    <vt:vector size="92" baseType="lpstr">
      <vt:lpstr>Paramètres</vt:lpstr>
      <vt:lpstr>Source</vt:lpstr>
      <vt:lpstr>Traduction</vt:lpstr>
      <vt:lpstr>Bon #BL25-0002</vt:lpstr>
      <vt:lpstr>Proforma Invoice</vt:lpstr>
      <vt:lpstr>brokerNom</vt:lpstr>
      <vt:lpstr>brokerPrenom</vt:lpstr>
      <vt:lpstr>brokerSociete</vt:lpstr>
      <vt:lpstr>brokerType</vt:lpstr>
      <vt:lpstr>BrokerUse</vt:lpstr>
      <vt:lpstr>clientAdresse1</vt:lpstr>
      <vt:lpstr>clientAdresse2</vt:lpstr>
      <vt:lpstr>clientCP</vt:lpstr>
      <vt:lpstr>clientPays</vt:lpstr>
      <vt:lpstr>clientRegion</vt:lpstr>
      <vt:lpstr>clientVille</vt:lpstr>
      <vt:lpstr>contactCel</vt:lpstr>
      <vt:lpstr>contactFax</vt:lpstr>
      <vt:lpstr>contactNom</vt:lpstr>
      <vt:lpstr>contactPrenom</vt:lpstr>
      <vt:lpstr>contactTel</vt:lpstr>
      <vt:lpstr>CourtageIn</vt:lpstr>
      <vt:lpstr>CourtagePx</vt:lpstr>
      <vt:lpstr>dateEmission</vt:lpstr>
      <vt:lpstr>dateEmissionAn</vt:lpstr>
      <vt:lpstr>dateEmissionJour</vt:lpstr>
      <vt:lpstr>dateEmissionMois</vt:lpstr>
      <vt:lpstr>DebutInvoice</vt:lpstr>
      <vt:lpstr>Devise</vt:lpstr>
      <vt:lpstr>DeviseInterne</vt:lpstr>
      <vt:lpstr>dirPdf</vt:lpstr>
      <vt:lpstr>Export</vt:lpstr>
      <vt:lpstr>Feuille</vt:lpstr>
      <vt:lpstr>FraisDouane</vt:lpstr>
      <vt:lpstr>FretIn</vt:lpstr>
      <vt:lpstr>FretPx</vt:lpstr>
      <vt:lpstr>'Bon #BL25-0002'!Impression_des_titres</vt:lpstr>
      <vt:lpstr>'Proforma Invoice'!Impression_des_titres</vt:lpstr>
      <vt:lpstr>Source!Impression_des_titres</vt:lpstr>
      <vt:lpstr>Imprimante</vt:lpstr>
      <vt:lpstr>Incoterm</vt:lpstr>
      <vt:lpstr>IRS</vt:lpstr>
      <vt:lpstr>Langue</vt:lpstr>
      <vt:lpstr>LangueColonne</vt:lpstr>
      <vt:lpstr>Ligne1</vt:lpstr>
      <vt:lpstr>Ligne1BL</vt:lpstr>
      <vt:lpstr>Ligne1PI</vt:lpstr>
      <vt:lpstr>livraison</vt:lpstr>
      <vt:lpstr>livraisonAdresse</vt:lpstr>
      <vt:lpstr>livraisonAdresse1</vt:lpstr>
      <vt:lpstr>livraisonAdresse2</vt:lpstr>
      <vt:lpstr>livraisonCel</vt:lpstr>
      <vt:lpstr>livraisonCP</vt:lpstr>
      <vt:lpstr>livraisonFax</vt:lpstr>
      <vt:lpstr>livraisonNom</vt:lpstr>
      <vt:lpstr>livraisonPays</vt:lpstr>
      <vt:lpstr>livraisonPrenom</vt:lpstr>
      <vt:lpstr>livraisonRegion</vt:lpstr>
      <vt:lpstr>livraisonTel</vt:lpstr>
      <vt:lpstr>livraisonVille</vt:lpstr>
      <vt:lpstr>LOADAdresse1</vt:lpstr>
      <vt:lpstr>LOADAdresse2</vt:lpstr>
      <vt:lpstr>LOADAdresse3</vt:lpstr>
      <vt:lpstr>LOADCode</vt:lpstr>
      <vt:lpstr>LOADName</vt:lpstr>
      <vt:lpstr>LOADPays</vt:lpstr>
      <vt:lpstr>LOADPaysTraduit</vt:lpstr>
      <vt:lpstr>LOADRegion</vt:lpstr>
      <vt:lpstr>LOADRegiondsp</vt:lpstr>
      <vt:lpstr>LOADVille</vt:lpstr>
      <vt:lpstr>NbrPalette</vt:lpstr>
      <vt:lpstr>nomClient</vt:lpstr>
      <vt:lpstr>NumeroBL</vt:lpstr>
      <vt:lpstr>projet</vt:lpstr>
      <vt:lpstr>sctAdresse1</vt:lpstr>
      <vt:lpstr>sctAdresse2</vt:lpstr>
      <vt:lpstr>sctAdresse3</vt:lpstr>
      <vt:lpstr>sctExpCode</vt:lpstr>
      <vt:lpstr>sctExportName</vt:lpstr>
      <vt:lpstr>sctExpPays</vt:lpstr>
      <vt:lpstr>sctExpPaysTraduit</vt:lpstr>
      <vt:lpstr>sctExpRegion</vt:lpstr>
      <vt:lpstr>sctExpVille</vt:lpstr>
      <vt:lpstr>sctVille</vt:lpstr>
      <vt:lpstr>tableauTraductions</vt:lpstr>
      <vt:lpstr>TauxChange</vt:lpstr>
      <vt:lpstr>TaxesIn</vt:lpstr>
      <vt:lpstr>TaxesPx</vt:lpstr>
      <vt:lpstr>Transporteur</vt:lpstr>
      <vt:lpstr>versionMacro</vt:lpstr>
      <vt:lpstr>'Bon #BL25-0002'!Zone_d_impression</vt:lpstr>
      <vt:lpstr>'Proforma Invoice'!Zone_d_impression</vt:lpstr>
    </vt:vector>
  </TitlesOfParts>
  <Company>Granite DRC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Granite DRC Inc.</dc:creator>
  <cp:lastModifiedBy>Thomas Leguen de Kergolan</cp:lastModifiedBy>
  <cp:lastPrinted>2025-12-26T10:36:36Z</cp:lastPrinted>
  <dcterms:created xsi:type="dcterms:W3CDTF">2000-05-24T12:08:00Z</dcterms:created>
  <dcterms:modified xsi:type="dcterms:W3CDTF">2025-12-26T10:36:36Z</dcterms:modified>
</cp:coreProperties>
</file>